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.xml" ContentType="application/vnd.openxmlformats-officedocument.drawing+xml"/>
  <Override PartName="/xl/worksheets/sheet26.xml" ContentType="application/vnd.openxmlformats-officedocument.spreadsheetml.worksheet+xml"/>
  <Override PartName="/xl/drawings/drawing2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trol_Panel" sheetId="1" state="visible" r:id="rId1"/>
    <sheet xmlns:r="http://schemas.openxmlformats.org/officeDocument/2006/relationships" name="Project_Setup" sheetId="2" state="visible" r:id="rId2"/>
    <sheet xmlns:r="http://schemas.openxmlformats.org/officeDocument/2006/relationships" name="Basis_of_Estimate" sheetId="3" state="visible" r:id="rId3"/>
    <sheet xmlns:r="http://schemas.openxmlformats.org/officeDocument/2006/relationships" name="WBS_CBS" sheetId="4" state="visible" r:id="rId4"/>
    <sheet xmlns:r="http://schemas.openxmlformats.org/officeDocument/2006/relationships" name="FX_Rates" sheetId="5" state="visible" r:id="rId5"/>
    <sheet xmlns:r="http://schemas.openxmlformats.org/officeDocument/2006/relationships" name="Lists_Config" sheetId="6" state="visible" r:id="rId6"/>
    <sheet xmlns:r="http://schemas.openxmlformats.org/officeDocument/2006/relationships" name="Data_Dictionary" sheetId="7" state="visible" r:id="rId7"/>
    <sheet xmlns:r="http://schemas.openxmlformats.org/officeDocument/2006/relationships" name="Equipment_Estimate" sheetId="8" state="visible" r:id="rId8"/>
    <sheet xmlns:r="http://schemas.openxmlformats.org/officeDocument/2006/relationships" name="Electrical_Estimate" sheetId="9" state="visible" r:id="rId9"/>
    <sheet xmlns:r="http://schemas.openxmlformats.org/officeDocument/2006/relationships" name="Instrumentation_Automation" sheetId="10" state="visible" r:id="rId10"/>
    <sheet xmlns:r="http://schemas.openxmlformats.org/officeDocument/2006/relationships" name="Bulk_Materials_QTO" sheetId="11" state="visible" r:id="rId11"/>
    <sheet xmlns:r="http://schemas.openxmlformats.org/officeDocument/2006/relationships" name="Construction_Estimate" sheetId="12" state="visible" r:id="rId12"/>
    <sheet xmlns:r="http://schemas.openxmlformats.org/officeDocument/2006/relationships" name="Resource_Rates" sheetId="13" state="visible" r:id="rId13"/>
    <sheet xmlns:r="http://schemas.openxmlformats.org/officeDocument/2006/relationships" name="Manpower_Plan" sheetId="14" state="visible" r:id="rId14"/>
    <sheet xmlns:r="http://schemas.openxmlformats.org/officeDocument/2006/relationships" name="Indirect_Owner_Costs" sheetId="15" state="visible" r:id="rId15"/>
    <sheet xmlns:r="http://schemas.openxmlformats.org/officeDocument/2006/relationships" name="Other_Costs" sheetId="16" state="visible" r:id="rId16"/>
    <sheet xmlns:r="http://schemas.openxmlformats.org/officeDocument/2006/relationships" name="Cost_Register" sheetId="17" state="visible" r:id="rId17"/>
    <sheet xmlns:r="http://schemas.openxmlformats.org/officeDocument/2006/relationships" name="Estimate_BuildUp" sheetId="18" state="visible" r:id="rId18"/>
    <sheet xmlns:r="http://schemas.openxmlformats.org/officeDocument/2006/relationships" name="Contingency" sheetId="19" state="visible" r:id="rId19"/>
    <sheet xmlns:r="http://schemas.openxmlformats.org/officeDocument/2006/relationships" name="Escalation" sheetId="20" state="visible" r:id="rId20"/>
    <sheet xmlns:r="http://schemas.openxmlformats.org/officeDocument/2006/relationships" name="CashFlow" sheetId="21" state="visible" r:id="rId21"/>
    <sheet xmlns:r="http://schemas.openxmlformats.org/officeDocument/2006/relationships" name="MonteCarlo_Inputs" sheetId="22" state="visible" r:id="rId22"/>
    <sheet xmlns:r="http://schemas.openxmlformats.org/officeDocument/2006/relationships" name="MonteCarlo_Results" sheetId="23" state="visible" r:id="rId23"/>
    <sheet xmlns:r="http://schemas.openxmlformats.org/officeDocument/2006/relationships" name="Estimate_Summary" sheetId="24" state="visible" r:id="rId24"/>
    <sheet xmlns:r="http://schemas.openxmlformats.org/officeDocument/2006/relationships" name="Dashboard" sheetId="25" state="visible" r:id="rId25"/>
    <sheet xmlns:r="http://schemas.openxmlformats.org/officeDocument/2006/relationships" name="Charts" sheetId="26" state="visible" r:id="rId26"/>
    <sheet xmlns:r="http://schemas.openxmlformats.org/officeDocument/2006/relationships" name="QA_Checks" sheetId="27" state="visible" r:id="rId27"/>
    <sheet xmlns:r="http://schemas.openxmlformats.org/officeDocument/2006/relationships" name="Error_Log" sheetId="28" state="visible" r:id="rId28"/>
    <sheet xmlns:r="http://schemas.openxmlformats.org/officeDocument/2006/relationships" name="Assumptions_Log" sheetId="29" state="visible" r:id="rId29"/>
    <sheet xmlns:r="http://schemas.openxmlformats.org/officeDocument/2006/relationships" name="Change_Log" sheetId="30" state="visible" r:id="rId30"/>
    <sheet xmlns:r="http://schemas.openxmlformats.org/officeDocument/2006/relationships" name="Version_History" sheetId="31" state="visible" r:id="rId31"/>
    <sheet xmlns:r="http://schemas.openxmlformats.org/officeDocument/2006/relationships" name="Validation_Log" sheetId="32" state="visible" r:id="rId32"/>
    <sheet xmlns:r="http://schemas.openxmlformats.org/officeDocument/2006/relationships" name="ReadMe" sheetId="33" state="visible" r:id="rId33"/>
    <sheet xmlns:r="http://schemas.openxmlformats.org/officeDocument/2006/relationships" name="Functional_Spec" sheetId="34" state="visible" r:id="rId34"/>
    <sheet xmlns:r="http://schemas.openxmlformats.org/officeDocument/2006/relationships" name="Technical_Architecture" sheetId="35" state="visible" r:id="rId35"/>
    <sheet xmlns:r="http://schemas.openxmlformats.org/officeDocument/2006/relationships" name="Data_Flow_Map" sheetId="36" state="visible" r:id="rId36"/>
    <sheet xmlns:r="http://schemas.openxmlformats.org/officeDocument/2006/relationships" name="Gap_Analysis" sheetId="37" state="visible" r:id="rId37"/>
    <sheet xmlns:r="http://schemas.openxmlformats.org/officeDocument/2006/relationships" name="UAT_Report" sheetId="38" state="visible" r:id="rId38"/>
    <sheet xmlns:r="http://schemas.openxmlformats.org/officeDocument/2006/relationships" name="Release_Notes" sheetId="39" state="visible" r:id="rId39"/>
  </sheets>
  <definedNames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0.0%"/>
    <numFmt numFmtId="166" formatCode="0.0000"/>
    <numFmt numFmtId="167" formatCode="0.0"/>
  </numFmts>
  <fonts count="11">
    <font>
      <name val="Carlito"/>
      <sz val="11"/>
    </font>
    <font>
      <name val="Carlito"/>
      <b val="1"/>
      <color rgb="00FFFFFF"/>
      <sz val="16"/>
    </font>
    <font>
      <name val="Carlito"/>
      <i val="1"/>
      <color rgb="001F4E78"/>
      <sz val="11"/>
    </font>
    <font>
      <name val="Carlito"/>
      <b val="1"/>
      <color rgb="00FFFFFF"/>
      <sz val="11"/>
    </font>
    <font>
      <name val="Carlito"/>
      <b val="1"/>
      <sz val="11"/>
    </font>
    <font>
      <name val="Carlito"/>
      <b val="1"/>
      <color rgb="00FFFFFF"/>
      <sz val="12"/>
    </font>
    <font>
      <name val="Carlito"/>
      <i val="1"/>
      <color rgb="0038546B"/>
      <sz val="11"/>
    </font>
    <font>
      <name val="Carlito"/>
      <b val="1"/>
      <color rgb="00FFFFFF"/>
      <sz val="14"/>
    </font>
    <font>
      <b val="1"/>
      <color rgb="00FFFFFF"/>
      <sz val="14"/>
    </font>
    <font>
      <b val="1"/>
      <color rgb="00FFFFFF"/>
    </font>
    <font>
      <b val="1"/>
    </font>
  </fonts>
  <fills count="1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5B9BD5"/>
      </patternFill>
    </fill>
    <fill>
      <patternFill patternType="solid">
        <fgColor rgb="00F7FBFD"/>
      </patternFill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7F6000"/>
      </patternFill>
    </fill>
    <fill>
      <patternFill patternType="solid">
        <fgColor rgb="00F4B183"/>
      </patternFill>
    </fill>
  </fills>
  <borders count="3">
    <border/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1"/>
  </cellStyleXfs>
  <cellXfs count="178">
    <xf numFmtId="0" fontId="0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wrapText="1"/>
    </xf>
    <xf numFmtId="0" fontId="3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  <xf numFmtId="164" fontId="0" fillId="5" borderId="0" applyAlignment="1" pivotButton="0" quotePrefix="0" xfId="0">
      <alignment wrapText="1"/>
    </xf>
    <xf numFmtId="1" fontId="0" fillId="5" borderId="0" applyAlignment="1" pivotButton="0" quotePrefix="0" xfId="0">
      <alignment wrapText="1"/>
    </xf>
    <xf numFmtId="3" fontId="0" fillId="5" borderId="0" applyAlignment="1" pivotButton="0" quotePrefix="0" xfId="0">
      <alignment wrapText="1"/>
    </xf>
    <xf numFmtId="165" fontId="0" fillId="5" borderId="0" applyAlignment="1" pivotButton="0" quotePrefix="0" xfId="0">
      <alignment wrapText="1"/>
    </xf>
    <xf numFmtId="9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0" fillId="6" borderId="0" pivotButton="0" quotePrefix="0" xfId="0"/>
    <xf numFmtId="4" fontId="0" fillId="5" borderId="0" pivotButton="0" quotePrefix="0" xfId="0"/>
    <xf numFmtId="3" fontId="0" fillId="5" borderId="0" pivotButton="0" quotePrefix="0" xfId="0"/>
    <xf numFmtId="4" fontId="0" fillId="6" borderId="0" pivotButton="0" quotePrefix="0" xfId="0"/>
    <xf numFmtId="9" fontId="0" fillId="6" borderId="0" pivotButton="0" quotePrefix="0" xfId="0"/>
    <xf numFmtId="3" fontId="0" fillId="6" borderId="0" pivotButton="0" quotePrefix="0" xfId="0"/>
    <xf numFmtId="3" fontId="0" fillId="0" borderId="0" pivotButton="0" quotePrefix="0" xfId="0"/>
    <xf numFmtId="2" fontId="0" fillId="0" borderId="0" pivotButton="0" quotePrefix="0" xfId="0"/>
    <xf numFmtId="2" fontId="0" fillId="5" borderId="0" pivotButton="0" quotePrefix="0" xfId="0"/>
    <xf numFmtId="1" fontId="0" fillId="0" borderId="0" pivotButton="0" quotePrefix="0" xfId="0"/>
    <xf numFmtId="165" fontId="0" fillId="0" borderId="0" pivotButton="0" quotePrefix="0" xfId="0"/>
    <xf numFmtId="17" fontId="0" fillId="0" borderId="0" pivotButton="0" quotePrefix="0" xfId="0"/>
    <xf numFmtId="0" fontId="4" fillId="7" borderId="0" pivotButton="0" quotePrefix="0" xfId="0"/>
    <xf numFmtId="2" fontId="4" fillId="7" borderId="0" pivotButton="0" quotePrefix="0" xfId="0"/>
    <xf numFmtId="0" fontId="4" fillId="6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2" fillId="3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wrapText="1"/>
    </xf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wrapText="1"/>
    </xf>
    <xf numFmtId="164" fontId="0" fillId="5" borderId="1" applyAlignment="1" pivotButton="0" quotePrefix="0" xfId="0">
      <alignment wrapText="1"/>
    </xf>
    <xf numFmtId="1" fontId="0" fillId="5" borderId="1" applyAlignment="1" pivotButton="0" quotePrefix="0" xfId="0">
      <alignment wrapText="1"/>
    </xf>
    <xf numFmtId="3" fontId="0" fillId="5" borderId="1" applyAlignment="1" pivotButton="0" quotePrefix="0" xfId="0">
      <alignment wrapText="1"/>
    </xf>
    <xf numFmtId="165" fontId="0" fillId="5" borderId="1" applyAlignment="1" pivotButton="0" quotePrefix="0" xfId="0">
      <alignment wrapText="1"/>
    </xf>
    <xf numFmtId="9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0" fontId="0" fillId="6" borderId="1" pivotButton="0" quotePrefix="0" xfId="0"/>
    <xf numFmtId="4" fontId="0" fillId="5" borderId="1" pivotButton="0" quotePrefix="0" xfId="0"/>
    <xf numFmtId="3" fontId="0" fillId="5" borderId="1" pivotButton="0" quotePrefix="0" xfId="0"/>
    <xf numFmtId="4" fontId="0" fillId="6" borderId="1" pivotButton="0" quotePrefix="0" xfId="0"/>
    <xf numFmtId="9" fontId="0" fillId="6" borderId="1" pivotButton="0" quotePrefix="0" xfId="0"/>
    <xf numFmtId="3" fontId="0" fillId="6" borderId="1" pivotButton="0" quotePrefix="0" xfId="0"/>
    <xf numFmtId="3" fontId="0" fillId="0" borderId="1" pivotButton="0" quotePrefix="0" xfId="0"/>
    <xf numFmtId="2" fontId="0" fillId="0" borderId="1" pivotButton="0" quotePrefix="0" xfId="0"/>
    <xf numFmtId="2" fontId="0" fillId="5" borderId="1" pivotButton="0" quotePrefix="0" xfId="0"/>
    <xf numFmtId="1" fontId="0" fillId="0" borderId="1" pivotButton="0" quotePrefix="0" xfId="0"/>
    <xf numFmtId="165" fontId="0" fillId="0" borderId="1" pivotButton="0" quotePrefix="0" xfId="0"/>
    <xf numFmtId="17" fontId="0" fillId="0" borderId="1" pivotButton="0" quotePrefix="0" xfId="0"/>
    <xf numFmtId="0" fontId="4" fillId="7" borderId="1" pivotButton="0" quotePrefix="0" xfId="0"/>
    <xf numFmtId="2" fontId="4" fillId="7" borderId="1" pivotButton="0" quotePrefix="0" xfId="0"/>
    <xf numFmtId="0" fontId="4" fillId="6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pivotButton="0" quotePrefix="0" xfId="0"/>
    <xf numFmtId="17" fontId="3" fillId="4" borderId="0" applyAlignment="1" pivotButton="0" quotePrefix="0" xfId="0">
      <alignment horizontal="center" vertical="center" wrapText="1"/>
    </xf>
    <xf numFmtId="17" fontId="0" fillId="0" borderId="0" pivotButton="0" quotePrefix="0" xfId="0"/>
    <xf numFmtId="0" fontId="0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wrapText="1"/>
    </xf>
    <xf numFmtId="0" fontId="3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  <xf numFmtId="164" fontId="0" fillId="5" borderId="0" applyAlignment="1" pivotButton="0" quotePrefix="0" xfId="0">
      <alignment wrapText="1"/>
    </xf>
    <xf numFmtId="1" fontId="0" fillId="5" borderId="0" applyAlignment="1" pivotButton="0" quotePrefix="0" xfId="0">
      <alignment wrapText="1"/>
    </xf>
    <xf numFmtId="3" fontId="0" fillId="5" borderId="0" applyAlignment="1" pivotButton="0" quotePrefix="0" xfId="0">
      <alignment wrapText="1"/>
    </xf>
    <xf numFmtId="165" fontId="0" fillId="5" borderId="0" applyAlignment="1" pivotButton="0" quotePrefix="0" xfId="0">
      <alignment wrapText="1"/>
    </xf>
    <xf numFmtId="9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0" fillId="6" borderId="0" pivotButton="0" quotePrefix="0" xfId="0"/>
    <xf numFmtId="4" fontId="0" fillId="5" borderId="0" pivotButton="0" quotePrefix="0" xfId="0"/>
    <xf numFmtId="3" fontId="0" fillId="5" borderId="0" pivotButton="0" quotePrefix="0" xfId="0"/>
    <xf numFmtId="4" fontId="0" fillId="6" borderId="0" pivotButton="0" quotePrefix="0" xfId="0"/>
    <xf numFmtId="9" fontId="0" fillId="6" borderId="0" pivotButton="0" quotePrefix="0" xfId="0"/>
    <xf numFmtId="3" fontId="0" fillId="6" borderId="0" pivotButton="0" quotePrefix="0" xfId="0"/>
    <xf numFmtId="3" fontId="0" fillId="0" borderId="0" pivotButton="0" quotePrefix="0" xfId="0"/>
    <xf numFmtId="2" fontId="0" fillId="0" borderId="0" pivotButton="0" quotePrefix="0" xfId="0"/>
    <xf numFmtId="2" fontId="0" fillId="5" borderId="0" pivotButton="0" quotePrefix="0" xfId="0"/>
    <xf numFmtId="1" fontId="0" fillId="0" borderId="0" pivotButton="0" quotePrefix="0" xfId="0"/>
    <xf numFmtId="165" fontId="0" fillId="0" borderId="0" pivotButton="0" quotePrefix="0" xfId="0"/>
    <xf numFmtId="17" fontId="0" fillId="0" borderId="0" pivotButton="0" quotePrefix="0" xfId="0"/>
    <xf numFmtId="0" fontId="4" fillId="7" borderId="0" pivotButton="0" quotePrefix="0" xfId="0"/>
    <xf numFmtId="2" fontId="4" fillId="7" borderId="0" pivotButton="0" quotePrefix="0" xfId="0"/>
    <xf numFmtId="0" fontId="4" fillId="6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center" wrapText="1"/>
    </xf>
    <xf numFmtId="0" fontId="2" fillId="3" borderId="0" pivotButton="0" quotePrefix="0" xfId="0"/>
    <xf numFmtId="0" fontId="1" fillId="8" borderId="0" applyAlignment="1" pivotButton="0" quotePrefix="0" xfId="0">
      <alignment horizontal="left" vertical="center" wrapText="1"/>
    </xf>
    <xf numFmtId="0" fontId="0" fillId="8" borderId="0" applyAlignment="1" pivotButton="0" quotePrefix="0" xfId="0">
      <alignment wrapText="1"/>
    </xf>
    <xf numFmtId="0" fontId="5" fillId="8" borderId="0" applyAlignment="1" pivotButton="0" quotePrefix="0" xfId="0">
      <alignment horizontal="left" vertical="center" wrapText="1"/>
    </xf>
    <xf numFmtId="0" fontId="5" fillId="8" borderId="0" applyAlignment="1" pivotButton="0" quotePrefix="0" xfId="0">
      <alignment wrapText="1"/>
    </xf>
    <xf numFmtId="0" fontId="2" fillId="9" borderId="0" pivotButton="0" quotePrefix="0" xfId="0"/>
    <xf numFmtId="0" fontId="0" fillId="9" borderId="0" pivotButton="0" quotePrefix="0" xfId="0"/>
    <xf numFmtId="0" fontId="6" fillId="9" borderId="0" pivotButton="0" quotePrefix="0" xfId="0"/>
    <xf numFmtId="0" fontId="3" fillId="10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3" fillId="10" borderId="0" pivotButton="0" quotePrefix="0" xfId="0"/>
    <xf numFmtId="0" fontId="3" fillId="10" borderId="0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0" fontId="7" fillId="8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wrapText="1"/>
    </xf>
    <xf numFmtId="0" fontId="4" fillId="11" borderId="0" pivotButton="0" quotePrefix="0" xfId="0"/>
    <xf numFmtId="2" fontId="4" fillId="11" borderId="0" pivotButton="0" quotePrefix="0" xfId="0"/>
    <xf numFmtId="0" fontId="0" fillId="11" borderId="0" pivotButton="0" quotePrefix="0" xfId="0"/>
    <xf numFmtId="2" fontId="4" fillId="11" borderId="0" pivotButton="0" quotePrefix="0" xfId="0"/>
    <xf numFmtId="165" fontId="4" fillId="11" borderId="0" pivotButton="0" quotePrefix="0" xfId="0"/>
    <xf numFmtId="2" fontId="0" fillId="11" borderId="0" pivotButton="0" quotePrefix="0" xfId="0"/>
    <xf numFmtId="0" fontId="0" fillId="2" borderId="0" applyAlignment="1" pivotButton="0" quotePrefix="0" xfId="0">
      <alignment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wrapText="1"/>
    </xf>
    <xf numFmtId="49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3" fillId="12" borderId="0" applyAlignment="1" pivotButton="0" quotePrefix="0" xfId="0">
      <alignment horizontal="center" vertical="center" wrapText="1"/>
    </xf>
    <xf numFmtId="0" fontId="0" fillId="12" borderId="0" pivotButton="0" quotePrefix="0" xfId="0"/>
    <xf numFmtId="0" fontId="3" fillId="12" borderId="0" pivotButton="0" quotePrefix="0" xfId="0"/>
    <xf numFmtId="0" fontId="6" fillId="9" borderId="0" applyAlignment="1" pivotButton="0" quotePrefix="0" xfId="0">
      <alignment wrapText="1"/>
    </xf>
    <xf numFmtId="0" fontId="5" fillId="12" borderId="0" applyAlignment="1" pivotButton="0" quotePrefix="0" xfId="0">
      <alignment horizontal="left" vertical="center" wrapText="1"/>
    </xf>
    <xf numFmtId="0" fontId="1" fillId="12" borderId="0" applyAlignment="1" pivotButton="0" quotePrefix="0" xfId="0">
      <alignment horizontal="left" vertical="center" wrapText="1"/>
    </xf>
    <xf numFmtId="0" fontId="3" fillId="12" borderId="0" applyAlignment="1" pivotButton="0" quotePrefix="0" xfId="0">
      <alignment horizontal="center"/>
    </xf>
    <xf numFmtId="0" fontId="7" fillId="12" borderId="0" applyAlignment="1" pivotButton="0" quotePrefix="0" xfId="0">
      <alignment horizontal="left" vertical="center" wrapText="1"/>
    </xf>
    <xf numFmtId="0" fontId="8" fillId="12" borderId="1" applyAlignment="1" pivotButton="0" quotePrefix="0" xfId="0">
      <alignment vertical="center"/>
    </xf>
    <xf numFmtId="0" fontId="8" fillId="12" borderId="0" applyAlignment="1" pivotButton="0" quotePrefix="0" xfId="0">
      <alignment vertical="center"/>
    </xf>
    <xf numFmtId="0" fontId="9" fillId="1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9" fillId="14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0" fillId="15" borderId="2" pivotButton="0" quotePrefix="0" xfId="0"/>
    <xf numFmtId="4" fontId="0" fillId="6" borderId="2" pivotButton="0" quotePrefix="0" xfId="0"/>
    <xf numFmtId="3" fontId="0" fillId="6" borderId="2" pivotButton="0" quotePrefix="0" xfId="0"/>
    <xf numFmtId="3" fontId="0" fillId="15" borderId="2" pivotButton="0" quotePrefix="0" xfId="0"/>
    <xf numFmtId="9" fontId="0" fillId="15" borderId="2" pivotButton="0" quotePrefix="0" xfId="0"/>
    <xf numFmtId="17" fontId="3" fillId="4" borderId="0" applyAlignment="1" pivotButton="0" quotePrefix="0" xfId="0">
      <alignment horizontal="center" vertical="center" wrapText="1"/>
    </xf>
    <xf numFmtId="167" fontId="0" fillId="0" borderId="0" pivotButton="0" quotePrefix="0" xfId="0"/>
    <xf numFmtId="0" fontId="9" fillId="12" borderId="2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8" fillId="12" borderId="0" pivotButton="0" quotePrefix="0" xfId="0"/>
    <xf numFmtId="0" fontId="8" fillId="12" borderId="0" applyAlignment="1" pivotButton="0" quotePrefix="0" xfId="0">
      <alignment wrapText="1"/>
    </xf>
    <xf numFmtId="0" fontId="6" fillId="9" borderId="1" pivotButton="0" quotePrefix="0" xfId="0"/>
    <xf numFmtId="0" fontId="4" fillId="11" borderId="2" pivotButton="0" quotePrefix="0" xfId="0"/>
    <xf numFmtId="3" fontId="4" fillId="11" borderId="2" pivotButton="0" quotePrefix="0" xfId="0"/>
    <xf numFmtId="0" fontId="0" fillId="11" borderId="2" pivotButton="0" quotePrefix="0" xfId="0"/>
    <xf numFmtId="3" fontId="0" fillId="11" borderId="2" pivotButton="0" quotePrefix="0" xfId="0"/>
    <xf numFmtId="0" fontId="6" fillId="9" borderId="1" applyAlignment="1" pivotButton="0" quotePrefix="0" xfId="0">
      <alignment wrapText="1"/>
    </xf>
    <xf numFmtId="49" fontId="0" fillId="0" borderId="0" pivotButton="0" quotePrefix="0" xfId="0"/>
    <xf numFmtId="0" fontId="9" fillId="12" borderId="2" pivotButton="0" quotePrefix="0" xfId="0"/>
    <xf numFmtId="167" fontId="9" fillId="12" borderId="2" pivotButton="0" quotePrefix="0" xfId="0"/>
    <xf numFmtId="9" fontId="9" fillId="12" borderId="2" pivotButton="0" quotePrefix="0" xfId="0"/>
    <xf numFmtId="167" fontId="0" fillId="0" borderId="2" pivotButton="0" quotePrefix="0" xfId="0"/>
    <xf numFmtId="9" fontId="0" fillId="0" borderId="2" pivotButton="0" quotePrefix="0" xfId="0"/>
    <xf numFmtId="3" fontId="0" fillId="0" borderId="2" pivotButton="0" quotePrefix="0" xfId="0"/>
    <xf numFmtId="0" fontId="9" fillId="16" borderId="2" applyAlignment="1" pivotButton="0" quotePrefix="0" xfId="0">
      <alignment horizontal="center" vertical="center" wrapText="1"/>
    </xf>
    <xf numFmtId="0" fontId="9" fillId="17" borderId="2" pivotButton="0" quotePrefix="0" xfId="0"/>
    <xf numFmtId="0" fontId="10" fillId="18" borderId="2" pivotButton="0" quotePrefix="0" xfId="0"/>
    <xf numFmtId="0" fontId="10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CAPEX Breakdown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'Dashboard'!$AA$69:$AA$77</f>
            </numRef>
          </cat>
          <val>
            <numRef>
              <f>'Dashboard'!$AB$69:$AB$77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CAPEX Composition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'Dashboard'!$AD$69:$AD$76</f>
            </numRef>
          </cat>
          <val>
            <numRef>
              <f>'Dashboard'!$AE$69:$AE$76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M€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Cash Flow S-Curve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'Dashboard'!$AG$69:$AG$104</f>
            </numRef>
          </cat>
          <val>
            <numRef>
              <f>'Dashboard'!$AJ$69:$AJ$104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Monte Carlo S-Curve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'Dashboard'!$AP$69:$AP$119</f>
            </numRef>
          </cat>
          <val>
            <numRef>
              <f>'Dashboard'!$AQ$69:$AQ$119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Project Cost (M€)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Probability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Monte Carlo Distribution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'Dashboard'!$AL$69:$AL$88</f>
            </numRef>
          </cat>
          <val>
            <numRef>
              <f>'Dashboard'!$AM$69:$AM$88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CAPEX by Discipline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'Dashboard'!$AS$69:$AS$79</f>
            </numRef>
          </cat>
          <val>
            <numRef>
              <f>'Dashboard'!$AT$69:$AT$79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M€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CAPEX Breakdown by Cost Type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'Charts'!$AA$69:$AA$77</f>
            </numRef>
          </cat>
          <val>
            <numRef>
              <f>'Charts'!$AB$69:$AB$77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CAPEX Composition Waterfall-Style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'Charts'!$AD$69:$AD$76</f>
            </numRef>
          </cat>
          <val>
            <numRef>
              <f>'Charts'!$AE$69:$AE$76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M€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Cash Flow S-Curve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'Charts'!$AG$69:$AG$104</f>
            </numRef>
          </cat>
          <val>
            <numRef>
              <f>'Charts'!$AJ$69:$AJ$104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Monte Carlo S-Curve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'Charts'!$AP$69:$AP$119</f>
            </numRef>
          </cat>
          <val>
            <numRef>
              <f>'Charts'!$AQ$69:$AQ$119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Project Cost (M€)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Probability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Monte Carlo Distribution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'Charts'!$AL$69:$AL$88</f>
            </numRef>
          </cat>
          <val>
            <numRef>
              <f>'Charts'!$AM$69:$AM$88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CAPEX by Discipline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'Charts'!$AS$69:$AS$79</f>
            </numRef>
          </cat>
          <val>
            <numRef>
              <f>'Charts'!$AT$69:$AT$79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M€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Relationship Type="http://schemas.openxmlformats.org/officeDocument/2006/relationships/chart" Target="/xl/charts/chart10.xml" Id="rId4"/><Relationship Type="http://schemas.openxmlformats.org/officeDocument/2006/relationships/chart" Target="/xl/charts/chart11.xml" Id="rId5"/><Relationship Type="http://schemas.openxmlformats.org/officeDocument/2006/relationships/chart" Target="/xl/charts/chart12.xml" Id="rId6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21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41</row>
      <rowOff>0</rowOff>
    </from>
    <ext cx="576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41</row>
      <rowOff>0</rowOff>
    </from>
    <ext cx="576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25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576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47</row>
      <rowOff>0</rowOff>
    </from>
    <ext cx="576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4.25"/>
  <cols>
    <col width="24" customWidth="1" style="70" min="1" max="1"/>
    <col width="28" customWidth="1" style="70" min="2" max="2"/>
    <col width="72" customWidth="1" style="70" min="3" max="3"/>
  </cols>
  <sheetData>
    <row r="1" ht="27.95000076293945" customHeight="1" s="70">
      <c r="A1" s="66" t="inlineStr">
        <is>
          <t>Control Panel</t>
        </is>
      </c>
      <c r="B1" s="35" t="n"/>
      <c r="C1" s="35" t="n"/>
      <c r="D1" s="35" t="n"/>
      <c r="E1" s="35" t="n"/>
      <c r="F1" s="35" t="n"/>
      <c r="G1" s="35" t="n"/>
      <c r="H1" s="35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Application entry point. Button cells identify macro actions after VBA import.</t>
        </is>
      </c>
      <c r="B2" s="35" t="n"/>
      <c r="C2" s="35" t="n"/>
      <c r="D2" s="35" t="n"/>
      <c r="E2" s="35" t="n"/>
      <c r="F2" s="35" t="n"/>
      <c r="G2" s="35" t="n"/>
      <c r="H2" s="35" t="n"/>
    </row>
    <row r="4" ht="24" customHeight="1" s="70">
      <c r="A4" s="71" t="inlineStr">
        <is>
          <t>Action</t>
        </is>
      </c>
      <c r="B4" s="71" t="inlineStr">
        <is>
          <t>Macro / Target</t>
        </is>
      </c>
      <c r="C4" s="71" t="inlineStr">
        <is>
          <t>Status / Notes</t>
        </is>
      </c>
    </row>
    <row r="5" ht="24" customHeight="1" s="70">
      <c r="A5" s="99" t="inlineStr">
        <is>
          <t>Refresh All</t>
        </is>
      </c>
      <c r="B5" t="inlineStr">
        <is>
          <t>RefreshAll</t>
        </is>
      </c>
      <c r="C5" t="inlineStr">
        <is>
          <t>Rebuilds register, buildup, cash flow, escalation, contingency, dashboard and QA</t>
        </is>
      </c>
    </row>
    <row r="6" ht="24" customHeight="1" s="70">
      <c r="A6" s="99" t="inlineStr">
        <is>
          <t>Build Cost Register</t>
        </is>
      </c>
      <c r="B6" t="inlineStr">
        <is>
          <t>BuildCostRegister</t>
        </is>
      </c>
      <c r="C6" t="inlineStr">
        <is>
          <t>Header-based macro; reads input sheets only</t>
        </is>
      </c>
    </row>
    <row r="7" ht="24" customHeight="1" s="70">
      <c r="A7" s="99" t="inlineStr">
        <is>
          <t>Run QA</t>
        </is>
      </c>
      <c r="B7" t="inlineStr">
        <is>
          <t>RunQA</t>
        </is>
      </c>
      <c r="C7" t="inlineStr">
        <is>
          <t>Writes PASS/FAIL to QA_Checks</t>
        </is>
      </c>
    </row>
    <row r="8" ht="24" customHeight="1" s="70">
      <c r="A8" s="99" t="inlineStr">
        <is>
          <t>Run Monte Carlo</t>
        </is>
      </c>
      <c r="B8" t="inlineStr">
        <is>
          <t>RunMonteCarlo</t>
        </is>
      </c>
      <c r="C8" t="inlineStr">
        <is>
          <t>Populates MonteCarlo_Results only; does not touch charts</t>
        </is>
      </c>
    </row>
    <row r="9" ht="24" customHeight="1" s="70">
      <c r="A9" s="99" t="inlineStr">
        <is>
          <t>Load Demo Project</t>
        </is>
      </c>
      <c r="B9" t="inlineStr">
        <is>
          <t>LoadDemoProject</t>
        </is>
      </c>
      <c r="C9" t="inlineStr">
        <is>
          <t>Reloads 40 M€ demo dataset</t>
        </is>
      </c>
    </row>
    <row r="10" ht="24" customHeight="1" s="70">
      <c r="A10" s="99" t="inlineStr">
        <is>
          <t>Reset Demo Data</t>
        </is>
      </c>
      <c r="B10" t="inlineStr">
        <is>
          <t>ResetDemoData</t>
        </is>
      </c>
      <c r="C10" t="inlineStr">
        <is>
          <t>Clears demo input/output areas</t>
        </is>
      </c>
    </row>
    <row r="11" ht="24" customHeight="1" s="70">
      <c r="A11" s="99" t="inlineStr">
        <is>
          <t>Last Refresh</t>
        </is>
      </c>
      <c r="C11" t="inlineStr">
        <is>
          <t>2026-06-03 14:03:33</t>
        </is>
      </c>
    </row>
    <row r="12">
      <c r="A12" t="inlineStr">
        <is>
          <t>Last QA Status</t>
        </is>
      </c>
      <c r="C12">
        <f>NOW()</f>
        <v/>
      </c>
    </row>
    <row r="13">
      <c r="A13" t="inlineStr">
        <is>
          <t>Cost Items</t>
        </is>
      </c>
      <c r="C13" s="134">
        <f>MAX(0,COUNTA(Cost_Register!$C$5:$C$500))</f>
        <v/>
      </c>
    </row>
    <row r="14">
      <c r="A14" t="inlineStr">
        <is>
          <t>Base Cost EUR</t>
        </is>
      </c>
      <c r="C14" s="134">
        <f>SUM(Cost_Register!$P$5:$P$500)</f>
        <v/>
      </c>
    </row>
    <row r="15">
      <c r="A15" t="inlineStr">
        <is>
          <t>Total Project Cost EUR</t>
        </is>
      </c>
      <c r="C15" s="134">
        <f>'Estimate_Summary'!B18</f>
        <v/>
      </c>
    </row>
    <row r="17" ht="24" customHeight="1" s="70">
      <c r="A17" s="71" t="inlineStr">
        <is>
          <t>Key sheet</t>
        </is>
      </c>
      <c r="B17" s="71" t="inlineStr">
        <is>
          <t>Purpose</t>
        </is>
      </c>
    </row>
    <row r="18">
      <c r="A18" t="inlineStr">
        <is>
          <t>Project_Setup</t>
        </is>
      </c>
      <c r="B18" t="inlineStr">
        <is>
          <t>Project metadata and defaults</t>
        </is>
      </c>
    </row>
    <row r="19">
      <c r="A19" t="inlineStr">
        <is>
          <t>Cost_Register</t>
        </is>
      </c>
      <c r="B19" t="inlineStr">
        <is>
          <t>Single source of truth</t>
        </is>
      </c>
    </row>
    <row r="20">
      <c r="A20" t="inlineStr">
        <is>
          <t>Estimate_Summary</t>
        </is>
      </c>
      <c r="B20" t="inlineStr">
        <is>
          <t>Executive output</t>
        </is>
      </c>
    </row>
    <row r="21">
      <c r="A21" t="inlineStr">
        <is>
          <t>Dashboard</t>
        </is>
      </c>
      <c r="B21" t="inlineStr">
        <is>
          <t>Charts and KPI overview</t>
        </is>
      </c>
    </row>
    <row r="22">
      <c r="A22" t="inlineStr">
        <is>
          <t>QA_Checks</t>
        </is>
      </c>
      <c r="B22" t="inlineStr">
        <is>
          <t>Gate status</t>
        </is>
      </c>
    </row>
    <row r="23">
      <c r="A23" t="inlineStr">
        <is>
          <t>ReadMe</t>
        </is>
      </c>
      <c r="B23" t="inlineStr">
        <is>
          <t>Use instructions</t>
        </is>
      </c>
    </row>
    <row r="24">
      <c r="A24" t="inlineStr">
        <is>
          <t>Release_Notes</t>
        </is>
      </c>
      <c r="B24" t="inlineStr">
        <is>
          <t>Limitations and next steps</t>
        </is>
      </c>
    </row>
    <row r="25">
      <c r="A25" t="inlineStr">
        <is>
          <t>VBA source</t>
        </is>
      </c>
      <c r="B25" t="inlineStr">
        <is>
          <t>See exported .bas file</t>
        </is>
      </c>
    </row>
    <row r="27">
      <c r="A27" t="inlineStr">
        <is>
          <t>Configurable Parameter</t>
        </is>
      </c>
      <c r="B27" t="inlineStr">
        <is>
          <t>Source / Macro Use</t>
        </is>
      </c>
      <c r="C27" t="inlineStr">
        <is>
          <t>Value</t>
        </is>
      </c>
    </row>
    <row r="28">
      <c r="A28" t="inlineStr">
        <is>
          <t>Data Mode</t>
        </is>
      </c>
      <c r="B28" t="inlineStr">
        <is>
          <t>LoadDemoProject / ResetDemoData</t>
        </is>
      </c>
      <c r="C28">
        <f>'Project_Setup'!B18</f>
        <v/>
      </c>
    </row>
    <row r="29">
      <c r="A29" t="inlineStr">
        <is>
          <t>Monte Carlo Iterations</t>
        </is>
      </c>
      <c r="B29" t="inlineStr">
        <is>
          <t>RunMonteCarlo</t>
        </is>
      </c>
      <c r="C29">
        <f>'Project_Setup'!B19</f>
        <v/>
      </c>
    </row>
    <row r="30">
      <c r="A30" t="inlineStr">
        <is>
          <t>Standard Hours per Month</t>
        </is>
      </c>
      <c r="B30" t="inlineStr">
        <is>
          <t>Resource_Rates / Manpower</t>
        </is>
      </c>
      <c r="C30">
        <f>'Project_Setup'!B20</f>
        <v/>
      </c>
    </row>
    <row r="31">
      <c r="A31" t="inlineStr">
        <is>
          <t>Project Duration Months</t>
        </is>
      </c>
      <c r="B31" t="inlineStr">
        <is>
          <t>CashFlow / Manpower / Charts</t>
        </is>
      </c>
      <c r="C31">
        <f>'Project_Setup'!B12</f>
        <v/>
      </c>
    </row>
    <row r="32">
      <c r="A32" t="inlineStr">
        <is>
          <t>Annual Escalation Rate</t>
        </is>
      </c>
      <c r="B32" t="inlineStr">
        <is>
          <t>CalculateCashFlow / CalculateEscalation</t>
        </is>
      </c>
      <c r="C32">
        <f>'Project_Setup'!B15</f>
        <v/>
      </c>
    </row>
    <row r="33">
      <c r="A33" t="inlineStr">
        <is>
          <t>Selected Contingency Method</t>
        </is>
      </c>
      <c r="B33" t="inlineStr">
        <is>
          <t>CalculateContingency</t>
        </is>
      </c>
      <c r="C33">
        <f>'Project_Setup'!B14</f>
        <v/>
      </c>
    </row>
    <row r="34">
      <c r="A34" t="inlineStr">
        <is>
          <t>Release Package</t>
        </is>
      </c>
      <c r="B34" t="inlineStr">
        <is>
          <t>Workbook is xlsx; VBA provided as .bas for import into Excel</t>
        </is>
      </c>
      <c r="C34" t="inlineStr">
        <is>
          <t>See Release_Notes</t>
        </is>
      </c>
    </row>
    <row r="35">
      <c r="A35" t="inlineStr">
        <is>
          <t>Final Status</t>
        </is>
      </c>
      <c r="B35" t="inlineStr">
        <is>
          <t>Automated tests performed in artifact environment</t>
        </is>
      </c>
      <c r="C35" t="inlineStr">
        <is>
          <t>Candidate - Excel desktop VBA import required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4.25"/>
  <cols>
    <col width="28" customWidth="1" style="70" min="1" max="1"/>
    <col width="48" customWidth="1" style="70" min="2" max="2"/>
  </cols>
  <sheetData>
    <row r="1" ht="24" customHeight="1" s="70">
      <c r="A1" s="144" t="inlineStr">
        <is>
          <t>Project Setup</t>
        </is>
      </c>
      <c r="B1" s="35" t="n"/>
      <c r="C1" s="35" t="n"/>
      <c r="D1" s="35" t="n"/>
      <c r="E1" s="35" t="n"/>
      <c r="F1" s="35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Primary project metadata and global defaults.</t>
        </is>
      </c>
      <c r="B2" s="35" t="n"/>
      <c r="C2" s="35" t="n"/>
      <c r="D2" s="35" t="n"/>
      <c r="E2" s="35" t="n"/>
      <c r="F2" s="35" t="n"/>
    </row>
    <row r="4" ht="24" customHeight="1" s="70">
      <c r="A4" s="72" t="inlineStr">
        <is>
          <t>Project Name</t>
        </is>
      </c>
      <c r="B4" s="74" t="inlineStr">
        <is>
          <t>Industrial CAPEX Demo Project - Clean Build RC8</t>
        </is>
      </c>
    </row>
    <row r="5" ht="15" customHeight="1" s="70">
      <c r="A5" s="73" t="inlineStr">
        <is>
          <t>Project Code</t>
        </is>
      </c>
      <c r="B5" s="76" t="inlineStr">
        <is>
          <t>CAPEX-RC8-DEMO</t>
        </is>
      </c>
    </row>
    <row r="6" ht="15" customHeight="1" s="70">
      <c r="A6" s="73" t="inlineStr">
        <is>
          <t>Estimate Date</t>
        </is>
      </c>
      <c r="B6" s="77" t="n">
        <v>46176</v>
      </c>
    </row>
    <row r="7" ht="15" customHeight="1" s="70">
      <c r="A7" s="73" t="inlineStr">
        <is>
          <t>Estimate Class</t>
        </is>
      </c>
      <c r="B7" s="76" t="inlineStr">
        <is>
          <t>Class 3</t>
        </is>
      </c>
    </row>
    <row r="8" ht="15" customHeight="1" s="70">
      <c r="A8" s="73" t="inlineStr">
        <is>
          <t>Project Phase</t>
        </is>
      </c>
      <c r="B8" s="76" t="inlineStr">
        <is>
          <t>FEED</t>
        </is>
      </c>
    </row>
    <row r="9" ht="15" customHeight="1" s="70">
      <c r="A9" s="73" t="inlineStr">
        <is>
          <t>Base Currency</t>
        </is>
      </c>
      <c r="B9" s="76" t="inlineStr">
        <is>
          <t>EUR</t>
        </is>
      </c>
    </row>
    <row r="10" ht="15" customHeight="1" s="70">
      <c r="A10" s="73" t="inlineStr">
        <is>
          <t>Project Start Date</t>
        </is>
      </c>
      <c r="B10" s="76" t="n">
        <v>46204</v>
      </c>
    </row>
    <row r="11" ht="15" customHeight="1" s="70">
      <c r="A11" s="73" t="inlineStr">
        <is>
          <t>Project End Date</t>
        </is>
      </c>
      <c r="B11" s="77" t="n">
        <v>47299</v>
      </c>
    </row>
    <row r="12" ht="15" customHeight="1" s="70">
      <c r="A12" s="73" t="inlineStr">
        <is>
          <t>Project Duration Months</t>
        </is>
      </c>
      <c r="B12" s="77">
        <f>(YEAR(B11)-YEAR(B10))*12+MONTH(B11)-MONTH(B10)+1</f>
        <v/>
      </c>
    </row>
    <row r="13" ht="15" customHeight="1" s="70">
      <c r="A13" s="73" t="inlineStr">
        <is>
          <t>Base Cost Target EUR</t>
        </is>
      </c>
      <c r="B13" s="78" t="n">
        <v>40000000</v>
      </c>
    </row>
    <row r="14" ht="15" customHeight="1" s="70">
      <c r="A14" s="73" t="inlineStr">
        <is>
          <t>Default Contingency Method</t>
        </is>
      </c>
      <c r="B14" s="79" t="inlineStr">
        <is>
          <t>Monte Carlo P80 - Base Cost</t>
        </is>
      </c>
    </row>
    <row r="15" ht="15" customHeight="1" s="70">
      <c r="A15" s="73" t="inlineStr">
        <is>
          <t>Default Annual Escalation</t>
        </is>
      </c>
      <c r="B15" s="76" t="n">
        <v>0.03</v>
      </c>
    </row>
    <row r="16" ht="15" customHeight="1" s="70">
      <c r="A16" s="73" t="inlineStr">
        <is>
          <t>Excel Target</t>
        </is>
      </c>
      <c r="B16" s="80" t="inlineStr">
        <is>
          <t>Microsoft Excel desktop Windows</t>
        </is>
      </c>
    </row>
    <row r="17" ht="15" customHeight="1" s="70">
      <c r="A17" s="73" t="inlineStr">
        <is>
          <t>Build Rule</t>
        </is>
      </c>
      <c r="B17" s="76" t="inlineStr">
        <is>
          <t>Clean rebuild from functional references only</t>
        </is>
      </c>
    </row>
    <row r="18">
      <c r="A18" t="inlineStr">
        <is>
          <t>Data Mode</t>
        </is>
      </c>
      <c r="B18" t="inlineStr">
        <is>
          <t>Demo</t>
        </is>
      </c>
    </row>
    <row r="19">
      <c r="A19" t="inlineStr">
        <is>
          <t>Monte Carlo Iterations</t>
        </is>
      </c>
      <c r="B19" t="n">
        <v>10000</v>
      </c>
    </row>
    <row r="20">
      <c r="A20" t="inlineStr">
        <is>
          <t>Standard Hours per Month</t>
        </is>
      </c>
      <c r="B20" t="n">
        <v>160</v>
      </c>
    </row>
    <row r="21">
      <c r="A21" t="inlineStr">
        <is>
          <t>Max Cash Flow Months</t>
        </is>
      </c>
      <c r="B21" t="n">
        <v>60</v>
      </c>
    </row>
    <row r="22">
      <c r="A22" t="inlineStr">
        <is>
          <t>RC8.1 Status</t>
        </is>
      </c>
      <c r="B22" t="inlineStr">
        <is>
          <t>Patched workbook + corrected VBA module supplied separately</t>
        </is>
      </c>
    </row>
  </sheetData>
  <mergeCells count="2">
    <mergeCell ref="A2:F2"/>
    <mergeCell ref="A1:F1"/>
  </mergeCells>
  <dataValidations count="5">
    <dataValidation sqref="B7" showDropDown="0" showInputMessage="0" showErrorMessage="0" allowBlank="0" type="list">
      <formula1>"Class 5,Class 4,Class 3,Class 2,Class 1"</formula1>
    </dataValidation>
    <dataValidation sqref="B7" showDropDown="0" showInputMessage="0" showErrorMessage="0" allowBlank="1" errorTitle="Invalid selection" error="Select a value from the list." type="list">
      <formula1>Basis_of_Estimate!$A$5:$A$9</formula1>
    </dataValidation>
    <dataValidation sqref="B8" showDropDown="0" showInputMessage="0" showErrorMessage="0" allowBlank="1" errorTitle="Invalid selection" error="Select a value from the list." type="list">
      <formula1>Lists_Config!$D$5:$D$8</formula1>
    </dataValidation>
    <dataValidation sqref="B9" showDropDown="0" showInputMessage="0" showErrorMessage="0" allowBlank="1" errorTitle="Invalid selection" error="Select a value from the list." type="list">
      <formula1>FX_Rates!$A$5:$A$14</formula1>
    </dataValidation>
    <dataValidation sqref="B18" showDropDown="0" showInputMessage="0" showErrorMessage="0" allowBlank="1" errorTitle="Invalid selection" error="Select a value from the list." type="list">
      <formula1>"Blank,Demo,User Data"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4.25"/>
  <cols>
    <col width="16" customWidth="1" style="70" min="1" max="1"/>
    <col width="24" customWidth="1" style="70" min="2" max="2"/>
    <col width="15" customWidth="1" style="70" min="3" max="4"/>
    <col width="36" customWidth="1" style="70" min="5" max="5"/>
    <col width="14" customWidth="1" style="70" min="6" max="6"/>
    <col width="24" customWidth="1" style="70" min="7" max="7"/>
    <col width="32" customWidth="1" style="70" min="8" max="8"/>
  </cols>
  <sheetData>
    <row r="1" ht="27.95000076293945" customHeight="1" s="70">
      <c r="A1" s="66" t="inlineStr">
        <is>
          <t>Basis of Estimate</t>
        </is>
      </c>
      <c r="B1" s="35" t="n"/>
      <c r="C1" s="35" t="n"/>
      <c r="D1" s="35" t="n"/>
      <c r="E1" s="35" t="n"/>
      <c r="F1" s="35" t="n"/>
      <c r="G1" s="35" t="n"/>
      <c r="H1" s="35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Configurable AACE-style estimate classes and accuracy ranges.</t>
        </is>
      </c>
      <c r="B2" s="35" t="n"/>
      <c r="C2" s="35" t="n"/>
      <c r="D2" s="35" t="n"/>
      <c r="E2" s="35" t="n"/>
      <c r="F2" s="35" t="n"/>
      <c r="G2" s="35" t="n"/>
      <c r="H2" s="35" t="n"/>
    </row>
    <row r="4" ht="24" customHeight="1" s="70">
      <c r="A4" s="71" t="inlineStr">
        <is>
          <t>Estimate Class</t>
        </is>
      </c>
      <c r="B4" s="71" t="inlineStr">
        <is>
          <t>Description</t>
        </is>
      </c>
      <c r="C4" s="71" t="inlineStr">
        <is>
          <t>Low Accuracy %</t>
        </is>
      </c>
      <c r="D4" s="71" t="inlineStr">
        <is>
          <t>High Accuracy %</t>
        </is>
      </c>
      <c r="E4" s="71" t="inlineStr">
        <is>
          <t>Typical Deliverables</t>
        </is>
      </c>
      <c r="F4" s="71" t="inlineStr">
        <is>
          <t>Configurable</t>
        </is>
      </c>
      <c r="G4" s="71" t="inlineStr">
        <is>
          <t>Default Contingency Range</t>
        </is>
      </c>
      <c r="H4" s="71" t="inlineStr">
        <is>
          <t>Notes</t>
        </is>
      </c>
    </row>
    <row r="5">
      <c r="A5" t="inlineStr">
        <is>
          <t>Class 5</t>
        </is>
      </c>
      <c r="B5" t="inlineStr">
        <is>
          <t>Concept Screening</t>
        </is>
      </c>
      <c r="C5" s="116" t="n">
        <v>-0.5</v>
      </c>
      <c r="D5" s="116" t="n">
        <v>1</v>
      </c>
      <c r="E5" t="inlineStr">
        <is>
          <t>Stage gate package, scope definition, quantity maturity, vendor inputs</t>
        </is>
      </c>
      <c r="F5" t="inlineStr">
        <is>
          <t>Yes</t>
        </is>
      </c>
      <c r="G5" t="inlineStr">
        <is>
          <t>10%–25%</t>
        </is>
      </c>
      <c r="H5" t="inlineStr">
        <is>
          <t>Used by all input sheets</t>
        </is>
      </c>
    </row>
    <row r="6">
      <c r="A6" t="inlineStr">
        <is>
          <t>Class 4</t>
        </is>
      </c>
      <c r="B6" t="inlineStr">
        <is>
          <t>Concept Selection</t>
        </is>
      </c>
      <c r="C6" s="116" t="n">
        <v>-0.3</v>
      </c>
      <c r="D6" s="116" t="n">
        <v>0.5</v>
      </c>
      <c r="E6" t="inlineStr">
        <is>
          <t>Stage gate package, scope definition, quantity maturity, vendor inputs</t>
        </is>
      </c>
      <c r="F6" t="inlineStr">
        <is>
          <t>Yes</t>
        </is>
      </c>
      <c r="G6" t="inlineStr">
        <is>
          <t>10%–25%</t>
        </is>
      </c>
      <c r="H6" t="inlineStr">
        <is>
          <t>Used by all input sheets</t>
        </is>
      </c>
    </row>
    <row r="7">
      <c r="A7" t="inlineStr">
        <is>
          <t>Class 3</t>
        </is>
      </c>
      <c r="B7" t="inlineStr">
        <is>
          <t>FEED</t>
        </is>
      </c>
      <c r="C7" s="116" t="n">
        <v>-0.2</v>
      </c>
      <c r="D7" s="116" t="n">
        <v>0.3</v>
      </c>
      <c r="E7" t="inlineStr">
        <is>
          <t>Stage gate package, scope definition, quantity maturity, vendor inputs</t>
        </is>
      </c>
      <c r="F7" t="inlineStr">
        <is>
          <t>Yes</t>
        </is>
      </c>
      <c r="G7" t="inlineStr">
        <is>
          <t>8%–15%</t>
        </is>
      </c>
      <c r="H7" t="inlineStr">
        <is>
          <t>Used by all input sheets</t>
        </is>
      </c>
    </row>
    <row r="8">
      <c r="A8" t="inlineStr">
        <is>
          <t>Class 2</t>
        </is>
      </c>
      <c r="B8" t="inlineStr">
        <is>
          <t>Pre-Execution</t>
        </is>
      </c>
      <c r="C8" s="116" t="n">
        <v>-0.15</v>
      </c>
      <c r="D8" s="116" t="n">
        <v>0.2</v>
      </c>
      <c r="E8" t="inlineStr">
        <is>
          <t>Stage gate package, scope definition, quantity maturity, vendor inputs</t>
        </is>
      </c>
      <c r="F8" t="inlineStr">
        <is>
          <t>Yes</t>
        </is>
      </c>
      <c r="G8" t="inlineStr">
        <is>
          <t>8%–15%</t>
        </is>
      </c>
      <c r="H8" t="inlineStr">
        <is>
          <t>Used by all input sheets</t>
        </is>
      </c>
    </row>
    <row r="9">
      <c r="A9" t="inlineStr">
        <is>
          <t>Class 1</t>
        </is>
      </c>
      <c r="B9" t="inlineStr">
        <is>
          <t>Definitive Estimate</t>
        </is>
      </c>
      <c r="C9" s="116" t="n">
        <v>-0.1</v>
      </c>
      <c r="D9" s="116" t="n">
        <v>0.15</v>
      </c>
      <c r="E9" t="inlineStr">
        <is>
          <t>Stage gate package, scope definition, quantity maturity, vendor inputs</t>
        </is>
      </c>
      <c r="F9" t="inlineStr">
        <is>
          <t>Yes</t>
        </is>
      </c>
      <c r="G9" t="inlineStr">
        <is>
          <t>8%–15%</t>
        </is>
      </c>
      <c r="H9" t="inlineStr">
        <is>
          <t>Used by all input sheets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A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25"/>
  <cols>
    <col width="18" customWidth="1" style="70" min="1" max="1"/>
    <col width="28" customWidth="1" style="70" min="2" max="2"/>
    <col width="18" customWidth="1" style="70" min="3" max="3"/>
    <col width="18" customWidth="1" style="70" min="4" max="4"/>
    <col width="18" customWidth="1" style="70" min="5" max="6"/>
    <col width="18" customWidth="1" style="70" min="6" max="6"/>
    <col width="18" customWidth="1" style="70" min="7" max="7"/>
    <col width="18" customWidth="1" style="70" min="8" max="8"/>
    <col width="18" customWidth="1" style="70" min="9" max="9"/>
    <col width="18" customWidth="1" style="70" min="10" max="10"/>
    <col width="18" customWidth="1" style="70" min="11" max="11"/>
    <col width="18" customWidth="1" style="70" min="12" max="12"/>
    <col width="18" customWidth="1" style="70" min="13" max="13"/>
    <col width="18" customWidth="1" style="70" min="14" max="14"/>
  </cols>
  <sheetData>
    <row r="1" ht="24" customHeight="1" s="70">
      <c r="A1" s="144" t="inlineStr">
        <is>
          <t>WBS / CBS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145" t="n"/>
      <c r="L1" s="145" t="n"/>
      <c r="M1" s="145" t="n"/>
      <c r="N1" s="145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Standard breakdown structure used across Cost_Register and reports.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</row>
    <row r="4" ht="28" customHeight="1" s="70">
      <c r="A4" s="146" t="inlineStr">
        <is>
          <t>WBS</t>
        </is>
      </c>
      <c r="B4" s="146" t="inlineStr">
        <is>
          <t>WBS Description</t>
        </is>
      </c>
      <c r="C4" s="146" t="inlineStr">
        <is>
          <t>CBS</t>
        </is>
      </c>
      <c r="D4" s="146" t="inlineStr">
        <is>
          <t>CBS Description</t>
        </is>
      </c>
      <c r="E4" s="146" t="inlineStr">
        <is>
          <t>Default Discipline</t>
        </is>
      </c>
      <c r="F4" s="146" t="inlineStr">
        <is>
          <t>Default Phase</t>
        </is>
      </c>
      <c r="G4" s="146" t="inlineStr">
        <is>
          <t>WBS Display</t>
        </is>
      </c>
      <c r="H4" s="146" t="inlineStr">
        <is>
          <t>Active</t>
        </is>
      </c>
      <c r="I4" s="146" t="inlineStr">
        <is>
          <t>Notes</t>
        </is>
      </c>
      <c r="J4" s="146" t="inlineStr">
        <is>
          <t>Default Cost Category</t>
        </is>
      </c>
      <c r="K4" s="146" t="inlineStr">
        <is>
          <t>Default Spend Category</t>
        </is>
      </c>
      <c r="L4" s="146" t="inlineStr">
        <is>
          <t>Default Spend Curve</t>
        </is>
      </c>
      <c r="M4" s="146" t="inlineStr">
        <is>
          <t>Default Contingency Eligible</t>
        </is>
      </c>
      <c r="N4" s="146" t="inlineStr">
        <is>
          <t>Default Escalation Eligible</t>
        </is>
      </c>
    </row>
    <row r="5">
      <c r="A5" s="147" t="inlineStr">
        <is>
          <t>1.0</t>
        </is>
      </c>
      <c r="B5" s="147" t="inlineStr">
        <is>
          <t>Project Management</t>
        </is>
      </c>
      <c r="C5" s="147" t="inlineStr">
        <is>
          <t>PM</t>
        </is>
      </c>
      <c r="D5" s="147" t="inlineStr">
        <is>
          <t>Project Management</t>
        </is>
      </c>
      <c r="E5" s="147" t="inlineStr">
        <is>
          <t>Project Management</t>
        </is>
      </c>
      <c r="F5" s="147" t="inlineStr">
        <is>
          <t>Engineering</t>
        </is>
      </c>
      <c r="G5" s="147" t="inlineStr">
        <is>
          <t>1.0 - Project Management</t>
        </is>
      </c>
      <c r="H5" s="147" t="inlineStr">
        <is>
          <t>Yes</t>
        </is>
      </c>
      <c r="I5" s="147" t="inlineStr">
        <is>
          <t>Clean build standard list</t>
        </is>
      </c>
      <c r="J5" s="147" t="inlineStr">
        <is>
          <t>Indirect Cost</t>
        </is>
      </c>
      <c r="K5" s="147" t="inlineStr">
        <is>
          <t>Engineering</t>
        </is>
      </c>
      <c r="L5" s="147" t="inlineStr">
        <is>
          <t>Bell Curve</t>
        </is>
      </c>
      <c r="M5" s="147" t="inlineStr">
        <is>
          <t>Yes</t>
        </is>
      </c>
      <c r="N5" s="147" t="inlineStr">
        <is>
          <t>Yes</t>
        </is>
      </c>
    </row>
    <row r="6">
      <c r="A6" s="147" t="inlineStr">
        <is>
          <t>2.0</t>
        </is>
      </c>
      <c r="B6" s="147" t="inlineStr">
        <is>
          <t>Engineering</t>
        </is>
      </c>
      <c r="C6" s="147" t="inlineStr">
        <is>
          <t>ENG</t>
        </is>
      </c>
      <c r="D6" s="147" t="inlineStr">
        <is>
          <t>Engineering</t>
        </is>
      </c>
      <c r="E6" s="147" t="inlineStr">
        <is>
          <t>Project Management</t>
        </is>
      </c>
      <c r="F6" s="147" t="inlineStr">
        <is>
          <t>Engineering</t>
        </is>
      </c>
      <c r="G6" s="147" t="inlineStr">
        <is>
          <t>2.0 - Engineering</t>
        </is>
      </c>
      <c r="H6" s="147" t="inlineStr">
        <is>
          <t>Yes</t>
        </is>
      </c>
      <c r="I6" s="147" t="inlineStr">
        <is>
          <t>Clean build standard list</t>
        </is>
      </c>
      <c r="J6" s="147" t="inlineStr">
        <is>
          <t>Indirect Cost</t>
        </is>
      </c>
      <c r="K6" s="147" t="inlineStr">
        <is>
          <t>Engineering</t>
        </is>
      </c>
      <c r="L6" s="147" t="inlineStr">
        <is>
          <t>Bell Curve</t>
        </is>
      </c>
      <c r="M6" s="147" t="inlineStr">
        <is>
          <t>Yes</t>
        </is>
      </c>
      <c r="N6" s="147" t="inlineStr">
        <is>
          <t>Yes</t>
        </is>
      </c>
    </row>
    <row r="7">
      <c r="A7" s="147" t="inlineStr">
        <is>
          <t>3.0</t>
        </is>
      </c>
      <c r="B7" s="147" t="inlineStr">
        <is>
          <t>Procurement</t>
        </is>
      </c>
      <c r="C7" s="147" t="inlineStr">
        <is>
          <t>PROC</t>
        </is>
      </c>
      <c r="D7" s="147" t="inlineStr">
        <is>
          <t>Procurement</t>
        </is>
      </c>
      <c r="E7" s="147" t="inlineStr">
        <is>
          <t>Procurement</t>
        </is>
      </c>
      <c r="F7" s="147" t="inlineStr">
        <is>
          <t>Procurement</t>
        </is>
      </c>
      <c r="G7" s="147" t="inlineStr">
        <is>
          <t>3.0 - Procurement</t>
        </is>
      </c>
      <c r="H7" s="147" t="inlineStr">
        <is>
          <t>Yes</t>
        </is>
      </c>
      <c r="I7" s="147" t="inlineStr">
        <is>
          <t>Clean build standard list</t>
        </is>
      </c>
      <c r="J7" s="147" t="inlineStr">
        <is>
          <t>Indirect Cost</t>
        </is>
      </c>
      <c r="K7" s="147" t="inlineStr">
        <is>
          <t>Procurement</t>
        </is>
      </c>
      <c r="L7" s="147" t="inlineStr">
        <is>
          <t>Linear</t>
        </is>
      </c>
      <c r="M7" s="147" t="inlineStr">
        <is>
          <t>Yes</t>
        </is>
      </c>
      <c r="N7" s="147" t="inlineStr">
        <is>
          <t>Yes</t>
        </is>
      </c>
    </row>
    <row r="8">
      <c r="A8" s="147" t="inlineStr">
        <is>
          <t>4.0</t>
        </is>
      </c>
      <c r="B8" s="147" t="inlineStr">
        <is>
          <t>Equipment</t>
        </is>
      </c>
      <c r="C8" s="147" t="inlineStr">
        <is>
          <t>EQP</t>
        </is>
      </c>
      <c r="D8" s="147" t="inlineStr">
        <is>
          <t>Equipment</t>
        </is>
      </c>
      <c r="E8" s="147" t="inlineStr">
        <is>
          <t>Mechanical</t>
        </is>
      </c>
      <c r="F8" s="147" t="inlineStr">
        <is>
          <t>Procurement</t>
        </is>
      </c>
      <c r="G8" s="147" t="inlineStr">
        <is>
          <t>4.0 - Equipment</t>
        </is>
      </c>
      <c r="H8" s="147" t="inlineStr">
        <is>
          <t>Yes</t>
        </is>
      </c>
      <c r="I8" s="147" t="inlineStr">
        <is>
          <t>Clean build standard list</t>
        </is>
      </c>
      <c r="J8" s="147" t="inlineStr">
        <is>
          <t>Direct Cost</t>
        </is>
      </c>
      <c r="K8" s="147" t="inlineStr">
        <is>
          <t>Procurement</t>
        </is>
      </c>
      <c r="L8" s="147" t="inlineStr">
        <is>
          <t>Back Loaded</t>
        </is>
      </c>
      <c r="M8" s="147" t="inlineStr">
        <is>
          <t>Yes</t>
        </is>
      </c>
      <c r="N8" s="147" t="inlineStr">
        <is>
          <t>Yes</t>
        </is>
      </c>
    </row>
    <row r="9">
      <c r="A9" s="147" t="inlineStr">
        <is>
          <t>5.0</t>
        </is>
      </c>
      <c r="B9" s="147" t="inlineStr">
        <is>
          <t>Bulk Materials</t>
        </is>
      </c>
      <c r="C9" s="147" t="inlineStr">
        <is>
          <t>BULK</t>
        </is>
      </c>
      <c r="D9" s="147" t="inlineStr">
        <is>
          <t>Bulk Materials</t>
        </is>
      </c>
      <c r="E9" s="147" t="inlineStr">
        <is>
          <t>Piping</t>
        </is>
      </c>
      <c r="F9" s="147" t="inlineStr">
        <is>
          <t>Procurement</t>
        </is>
      </c>
      <c r="G9" s="147" t="inlineStr">
        <is>
          <t>5.0 - Bulk Materials</t>
        </is>
      </c>
      <c r="H9" s="147" t="inlineStr">
        <is>
          <t>Yes</t>
        </is>
      </c>
      <c r="I9" s="147" t="inlineStr">
        <is>
          <t>Clean build standard list</t>
        </is>
      </c>
      <c r="J9" s="147" t="inlineStr">
        <is>
          <t>Direct Cost</t>
        </is>
      </c>
      <c r="K9" s="147" t="inlineStr">
        <is>
          <t>Procurement</t>
        </is>
      </c>
      <c r="L9" s="147" t="inlineStr">
        <is>
          <t>Linear</t>
        </is>
      </c>
      <c r="M9" s="147" t="inlineStr">
        <is>
          <t>Yes</t>
        </is>
      </c>
      <c r="N9" s="147" t="inlineStr">
        <is>
          <t>Yes</t>
        </is>
      </c>
    </row>
    <row r="10">
      <c r="A10" s="147" t="inlineStr">
        <is>
          <t>6.0</t>
        </is>
      </c>
      <c r="B10" s="147" t="inlineStr">
        <is>
          <t>Civil &amp; Structural</t>
        </is>
      </c>
      <c r="C10" s="147" t="inlineStr">
        <is>
          <t>CIV</t>
        </is>
      </c>
      <c r="D10" s="147" t="inlineStr">
        <is>
          <t>Civil</t>
        </is>
      </c>
      <c r="E10" s="147" t="inlineStr">
        <is>
          <t>Civil</t>
        </is>
      </c>
      <c r="F10" s="147" t="inlineStr">
        <is>
          <t>Construction</t>
        </is>
      </c>
      <c r="G10" s="147" t="inlineStr">
        <is>
          <t>6.0 - Civil &amp; Structural</t>
        </is>
      </c>
      <c r="H10" s="147" t="inlineStr">
        <is>
          <t>Yes</t>
        </is>
      </c>
      <c r="I10" s="147" t="inlineStr">
        <is>
          <t>Clean build standard list</t>
        </is>
      </c>
      <c r="J10" s="147" t="inlineStr">
        <is>
          <t>Direct Cost</t>
        </is>
      </c>
      <c r="K10" s="147" t="inlineStr">
        <is>
          <t>Construction</t>
        </is>
      </c>
      <c r="L10" s="147" t="inlineStr">
        <is>
          <t>Front Loaded</t>
        </is>
      </c>
      <c r="M10" s="147" t="inlineStr">
        <is>
          <t>Yes</t>
        </is>
      </c>
      <c r="N10" s="147" t="inlineStr">
        <is>
          <t>Yes</t>
        </is>
      </c>
    </row>
    <row r="11">
      <c r="A11" s="147" t="inlineStr">
        <is>
          <t>7.0</t>
        </is>
      </c>
      <c r="B11" s="147" t="inlineStr">
        <is>
          <t>Electrical</t>
        </is>
      </c>
      <c r="C11" s="147" t="inlineStr">
        <is>
          <t>ELE</t>
        </is>
      </c>
      <c r="D11" s="147" t="inlineStr">
        <is>
          <t>Electrical</t>
        </is>
      </c>
      <c r="E11" s="147" t="inlineStr">
        <is>
          <t>Electrical</t>
        </is>
      </c>
      <c r="F11" s="147" t="inlineStr">
        <is>
          <t>Construction</t>
        </is>
      </c>
      <c r="G11" s="147" t="inlineStr">
        <is>
          <t>7.0 - Electrical</t>
        </is>
      </c>
      <c r="H11" s="147" t="inlineStr">
        <is>
          <t>Yes</t>
        </is>
      </c>
      <c r="I11" s="147" t="inlineStr">
        <is>
          <t>Clean build standard list</t>
        </is>
      </c>
      <c r="J11" s="147" t="inlineStr">
        <is>
          <t>Direct Cost</t>
        </is>
      </c>
      <c r="K11" s="147" t="inlineStr">
        <is>
          <t>Construction</t>
        </is>
      </c>
      <c r="L11" s="147" t="inlineStr">
        <is>
          <t>Bell Curve</t>
        </is>
      </c>
      <c r="M11" s="147" t="inlineStr">
        <is>
          <t>Yes</t>
        </is>
      </c>
      <c r="N11" s="147" t="inlineStr">
        <is>
          <t>Yes</t>
        </is>
      </c>
    </row>
    <row r="12">
      <c r="A12" s="147" t="inlineStr">
        <is>
          <t>8.0</t>
        </is>
      </c>
      <c r="B12" s="147" t="inlineStr">
        <is>
          <t>Instrumentation &amp; Automation</t>
        </is>
      </c>
      <c r="C12" s="147" t="inlineStr">
        <is>
          <t>I&amp;A</t>
        </is>
      </c>
      <c r="D12" s="147" t="inlineStr">
        <is>
          <t>Instrumentation &amp; Automation</t>
        </is>
      </c>
      <c r="E12" s="147" t="inlineStr">
        <is>
          <t>Instrumentation</t>
        </is>
      </c>
      <c r="F12" s="147" t="inlineStr">
        <is>
          <t>Construction</t>
        </is>
      </c>
      <c r="G12" s="147" t="inlineStr">
        <is>
          <t>8.0 - Instrumentation &amp; Automation</t>
        </is>
      </c>
      <c r="H12" s="147" t="inlineStr">
        <is>
          <t>Yes</t>
        </is>
      </c>
      <c r="I12" s="147" t="inlineStr">
        <is>
          <t>Clean build standard list</t>
        </is>
      </c>
      <c r="J12" s="147" t="inlineStr">
        <is>
          <t>Direct Cost</t>
        </is>
      </c>
      <c r="K12" s="147" t="inlineStr">
        <is>
          <t>Construction</t>
        </is>
      </c>
      <c r="L12" s="147" t="inlineStr">
        <is>
          <t>Bell Curve</t>
        </is>
      </c>
      <c r="M12" s="147" t="inlineStr">
        <is>
          <t>Yes</t>
        </is>
      </c>
      <c r="N12" s="147" t="inlineStr">
        <is>
          <t>Yes</t>
        </is>
      </c>
    </row>
    <row r="13">
      <c r="A13" s="147" t="inlineStr">
        <is>
          <t>9.0</t>
        </is>
      </c>
      <c r="B13" s="147" t="inlineStr">
        <is>
          <t>Construction</t>
        </is>
      </c>
      <c r="C13" s="147" t="inlineStr">
        <is>
          <t>CON</t>
        </is>
      </c>
      <c r="D13" s="147" t="inlineStr">
        <is>
          <t>Construction</t>
        </is>
      </c>
      <c r="E13" s="147" t="inlineStr">
        <is>
          <t>Construction</t>
        </is>
      </c>
      <c r="F13" s="147" t="inlineStr">
        <is>
          <t>Construction</t>
        </is>
      </c>
      <c r="G13" s="147" t="inlineStr">
        <is>
          <t>9.0 - Construction</t>
        </is>
      </c>
      <c r="H13" s="147" t="inlineStr">
        <is>
          <t>Yes</t>
        </is>
      </c>
      <c r="I13" s="147" t="inlineStr">
        <is>
          <t>Clean build standard list</t>
        </is>
      </c>
      <c r="J13" s="147" t="inlineStr">
        <is>
          <t>Direct Cost</t>
        </is>
      </c>
      <c r="K13" s="147" t="inlineStr">
        <is>
          <t>Construction</t>
        </is>
      </c>
      <c r="L13" s="147" t="inlineStr">
        <is>
          <t>Bell Curve</t>
        </is>
      </c>
      <c r="M13" s="147" t="inlineStr">
        <is>
          <t>Yes</t>
        </is>
      </c>
      <c r="N13" s="147" t="inlineStr">
        <is>
          <t>Yes</t>
        </is>
      </c>
    </row>
    <row r="14">
      <c r="A14" s="147" t="inlineStr">
        <is>
          <t>10.0</t>
        </is>
      </c>
      <c r="B14" s="147" t="inlineStr">
        <is>
          <t>Commissioning &amp; Start-up</t>
        </is>
      </c>
      <c r="C14" s="147" t="inlineStr">
        <is>
          <t>COM</t>
        </is>
      </c>
      <c r="D14" s="147" t="inlineStr">
        <is>
          <t>Commissioning</t>
        </is>
      </c>
      <c r="E14" s="147" t="inlineStr">
        <is>
          <t>Commissioning</t>
        </is>
      </c>
      <c r="F14" s="147" t="inlineStr">
        <is>
          <t>Commissioning</t>
        </is>
      </c>
      <c r="G14" s="147" t="inlineStr">
        <is>
          <t>10.0 - Commissioning &amp; Start-up</t>
        </is>
      </c>
      <c r="H14" s="147" t="inlineStr">
        <is>
          <t>Yes</t>
        </is>
      </c>
      <c r="I14" s="147" t="inlineStr">
        <is>
          <t>Clean build standard list</t>
        </is>
      </c>
      <c r="J14" s="147" t="inlineStr">
        <is>
          <t>Direct Cost</t>
        </is>
      </c>
      <c r="K14" s="147" t="inlineStr">
        <is>
          <t>Commissioning</t>
        </is>
      </c>
      <c r="L14" s="147" t="inlineStr">
        <is>
          <t>Back Loaded</t>
        </is>
      </c>
      <c r="M14" s="147" t="inlineStr">
        <is>
          <t>Yes</t>
        </is>
      </c>
      <c r="N14" s="147" t="inlineStr">
        <is>
          <t>Yes</t>
        </is>
      </c>
    </row>
    <row r="15">
      <c r="A15" s="147" t="inlineStr">
        <is>
          <t>11.0</t>
        </is>
      </c>
      <c r="B15" s="147" t="inlineStr">
        <is>
          <t>Owner Costs</t>
        </is>
      </c>
      <c r="C15" s="147" t="inlineStr">
        <is>
          <t>OWN</t>
        </is>
      </c>
      <c r="D15" s="147" t="inlineStr">
        <is>
          <t>Owner Costs</t>
        </is>
      </c>
      <c r="E15" s="147" t="inlineStr">
        <is>
          <t>Owner</t>
        </is>
      </c>
      <c r="F15" s="147" t="inlineStr">
        <is>
          <t>Other</t>
        </is>
      </c>
      <c r="G15" s="147" t="inlineStr">
        <is>
          <t>11.0 - Owner Costs</t>
        </is>
      </c>
      <c r="H15" s="147" t="inlineStr">
        <is>
          <t>Yes</t>
        </is>
      </c>
      <c r="I15" s="147" t="inlineStr">
        <is>
          <t>Clean build standard list</t>
        </is>
      </c>
      <c r="J15" s="147" t="inlineStr">
        <is>
          <t>Owner Cost</t>
        </is>
      </c>
      <c r="K15" s="147" t="inlineStr">
        <is>
          <t>Other</t>
        </is>
      </c>
      <c r="L15" s="147" t="inlineStr">
        <is>
          <t>Front Loaded</t>
        </is>
      </c>
      <c r="M15" s="147" t="inlineStr">
        <is>
          <t>Yes</t>
        </is>
      </c>
      <c r="N15" s="147" t="inlineStr">
        <is>
          <t>Yes</t>
        </is>
      </c>
    </row>
    <row r="16">
      <c r="A16" s="147" t="inlineStr">
        <is>
          <t>12.0</t>
        </is>
      </c>
      <c r="B16" s="147" t="inlineStr">
        <is>
          <t>Other Costs</t>
        </is>
      </c>
      <c r="C16" s="147" t="inlineStr">
        <is>
          <t>OTH</t>
        </is>
      </c>
      <c r="D16" s="147" t="inlineStr">
        <is>
          <t>Other Costs</t>
        </is>
      </c>
      <c r="E16" s="147" t="inlineStr">
        <is>
          <t>Other</t>
        </is>
      </c>
      <c r="F16" s="147" t="inlineStr">
        <is>
          <t>Other</t>
        </is>
      </c>
      <c r="G16" s="147" t="inlineStr">
        <is>
          <t>12.0 - Other Costs</t>
        </is>
      </c>
      <c r="H16" s="147" t="inlineStr">
        <is>
          <t>Yes</t>
        </is>
      </c>
      <c r="I16" s="147" t="inlineStr">
        <is>
          <t>Clean build standard list</t>
        </is>
      </c>
      <c r="J16" s="147" t="inlineStr">
        <is>
          <t>Other Cost</t>
        </is>
      </c>
      <c r="K16" s="147" t="inlineStr">
        <is>
          <t>Other</t>
        </is>
      </c>
      <c r="L16" s="147" t="inlineStr">
        <is>
          <t>Back Loaded</t>
        </is>
      </c>
      <c r="M16" s="147" t="inlineStr">
        <is>
          <t>Yes</t>
        </is>
      </c>
      <c r="N16" s="147" t="inlineStr">
        <is>
          <t>Yes</t>
        </is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4.25"/>
  <cols>
    <col width="12" customWidth="1" style="70" min="1" max="2"/>
    <col width="42" customWidth="1" style="70" min="3" max="3"/>
    <col width="14" customWidth="1" style="70" min="4" max="5"/>
    <col width="10" customWidth="1" style="70" min="6" max="6"/>
  </cols>
  <sheetData>
    <row r="1" ht="27.95000076293945" customHeight="1" s="70">
      <c r="A1" s="66" t="inlineStr">
        <is>
          <t>FX Rates</t>
        </is>
      </c>
      <c r="B1" s="35" t="n"/>
      <c r="C1" s="35" t="n"/>
      <c r="D1" s="35" t="n"/>
      <c r="E1" s="35" t="n"/>
      <c r="F1" s="35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Configurable rate to EUR. EUR is the base currency.</t>
        </is>
      </c>
      <c r="B2" s="35" t="n"/>
      <c r="C2" s="35" t="n"/>
      <c r="D2" s="35" t="n"/>
      <c r="E2" s="35" t="n"/>
      <c r="F2" s="35" t="n"/>
    </row>
    <row r="4" ht="24" customHeight="1" s="70">
      <c r="A4" s="71" t="inlineStr">
        <is>
          <t>Currency</t>
        </is>
      </c>
      <c r="B4" s="71" t="inlineStr">
        <is>
          <t>Rate to EUR</t>
        </is>
      </c>
      <c r="C4" s="71" t="inlineStr">
        <is>
          <t>Source / Notes</t>
        </is>
      </c>
      <c r="D4" s="71" t="inlineStr">
        <is>
          <t>Last Updated</t>
        </is>
      </c>
      <c r="E4" s="71" t="inlineStr">
        <is>
          <t>Active</t>
        </is>
      </c>
      <c r="F4" s="71" t="inlineStr">
        <is>
          <t>QA</t>
        </is>
      </c>
    </row>
    <row r="5">
      <c r="A5" t="inlineStr">
        <is>
          <t>EUR</t>
        </is>
      </c>
      <c r="B5" s="82" t="n">
        <v>1</v>
      </c>
      <c r="C5" t="inlineStr">
        <is>
          <t>Demo static rate. Replace with approved project FX.</t>
        </is>
      </c>
      <c r="D5" s="83" t="n">
        <v>46176</v>
      </c>
      <c r="E5" t="inlineStr">
        <is>
          <t>Yes</t>
        </is>
      </c>
      <c r="F5" t="inlineStr">
        <is>
          <t>PASS</t>
        </is>
      </c>
    </row>
    <row r="6">
      <c r="A6" t="inlineStr">
        <is>
          <t>USD</t>
        </is>
      </c>
      <c r="B6" s="82" t="n">
        <v>0.92</v>
      </c>
      <c r="C6" t="inlineStr">
        <is>
          <t>Demo static rate. Replace with approved project FX.</t>
        </is>
      </c>
      <c r="D6" s="83" t="n">
        <v>46176</v>
      </c>
      <c r="E6" t="inlineStr">
        <is>
          <t>Yes</t>
        </is>
      </c>
      <c r="F6" t="inlineStr">
        <is>
          <t>PASS</t>
        </is>
      </c>
    </row>
    <row r="7">
      <c r="A7" t="inlineStr">
        <is>
          <t>GBP</t>
        </is>
      </c>
      <c r="B7" s="82" t="n">
        <v>1.17</v>
      </c>
      <c r="C7" t="inlineStr">
        <is>
          <t>Demo static rate. Replace with approved project FX.</t>
        </is>
      </c>
      <c r="D7" s="83" t="n">
        <v>46176</v>
      </c>
      <c r="E7" t="inlineStr">
        <is>
          <t>Yes</t>
        </is>
      </c>
      <c r="F7" t="inlineStr">
        <is>
          <t>PASS</t>
        </is>
      </c>
    </row>
    <row r="8">
      <c r="A8" t="inlineStr">
        <is>
          <t>CHF</t>
        </is>
      </c>
      <c r="B8" s="82" t="n">
        <v>1.04</v>
      </c>
      <c r="C8" t="inlineStr">
        <is>
          <t>Demo static rate. Replace with approved project FX.</t>
        </is>
      </c>
      <c r="D8" s="83" t="n">
        <v>46176</v>
      </c>
      <c r="E8" t="inlineStr">
        <is>
          <t>Yes</t>
        </is>
      </c>
      <c r="F8" t="inlineStr">
        <is>
          <t>PASS</t>
        </is>
      </c>
    </row>
    <row r="9">
      <c r="A9" t="inlineStr">
        <is>
          <t>DKK</t>
        </is>
      </c>
      <c r="B9" s="82" t="n">
        <v>0.134</v>
      </c>
      <c r="C9" t="inlineStr">
        <is>
          <t>Demo static rate. Replace with approved project FX.</t>
        </is>
      </c>
      <c r="D9" s="83" t="n">
        <v>46176</v>
      </c>
      <c r="E9" t="inlineStr">
        <is>
          <t>Yes</t>
        </is>
      </c>
      <c r="F9" t="inlineStr">
        <is>
          <t>PASS</t>
        </is>
      </c>
    </row>
    <row r="10">
      <c r="A10" t="inlineStr">
        <is>
          <t>SEK</t>
        </is>
      </c>
      <c r="B10" s="82" t="n">
        <v>0.08699999999999999</v>
      </c>
      <c r="C10" t="inlineStr">
        <is>
          <t>Demo static rate. Replace with approved project FX.</t>
        </is>
      </c>
      <c r="D10" s="83" t="n">
        <v>46176</v>
      </c>
      <c r="E10" t="inlineStr">
        <is>
          <t>Yes</t>
        </is>
      </c>
      <c r="F10" t="inlineStr">
        <is>
          <t>PASS</t>
        </is>
      </c>
    </row>
    <row r="11">
      <c r="A11" t="inlineStr">
        <is>
          <t>NOK</t>
        </is>
      </c>
      <c r="B11" s="82" t="n">
        <v>0.08599999999999999</v>
      </c>
      <c r="C11" t="inlineStr">
        <is>
          <t>Demo static rate. Replace with approved project FX.</t>
        </is>
      </c>
      <c r="D11" s="83" t="n">
        <v>46176</v>
      </c>
      <c r="E11" t="inlineStr">
        <is>
          <t>Yes</t>
        </is>
      </c>
      <c r="F11" t="inlineStr">
        <is>
          <t>PASS</t>
        </is>
      </c>
    </row>
    <row r="12">
      <c r="A12" t="inlineStr">
        <is>
          <t>PLN</t>
        </is>
      </c>
      <c r="B12" s="82" t="n">
        <v>0.235</v>
      </c>
      <c r="C12" t="inlineStr">
        <is>
          <t>Demo static rate. Replace with approved project FX.</t>
        </is>
      </c>
      <c r="D12" s="83" t="n">
        <v>46176</v>
      </c>
      <c r="E12" t="inlineStr">
        <is>
          <t>Yes</t>
        </is>
      </c>
      <c r="F12" t="inlineStr">
        <is>
          <t>PASS</t>
        </is>
      </c>
    </row>
    <row r="13">
      <c r="A13" t="inlineStr">
        <is>
          <t>TRY</t>
        </is>
      </c>
      <c r="B13" s="82" t="n">
        <v>0.028</v>
      </c>
      <c r="C13" t="inlineStr">
        <is>
          <t>Demo static rate. Replace with approved project FX.</t>
        </is>
      </c>
      <c r="D13" s="83" t="n">
        <v>46176</v>
      </c>
      <c r="E13" t="inlineStr">
        <is>
          <t>Yes</t>
        </is>
      </c>
      <c r="F13" t="inlineStr">
        <is>
          <t>PASS</t>
        </is>
      </c>
    </row>
    <row r="14">
      <c r="A14" t="inlineStr">
        <is>
          <t>MAD</t>
        </is>
      </c>
      <c r="B14" s="82" t="n">
        <v>0.092</v>
      </c>
      <c r="C14" t="inlineStr">
        <is>
          <t>Demo static rate. Replace with approved project FX.</t>
        </is>
      </c>
      <c r="D14" s="83" t="n">
        <v>46176</v>
      </c>
      <c r="E14" t="inlineStr">
        <is>
          <t>Yes</t>
        </is>
      </c>
      <c r="F14" t="inlineStr">
        <is>
          <t>PASS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4.25"/>
  <cols>
    <col width="20" customWidth="1" style="70" min="1" max="11"/>
  </cols>
  <sheetData>
    <row r="1" ht="27.95000076293945" customHeight="1" s="70">
      <c r="A1" s="66" t="inlineStr">
        <is>
          <t>Lists Config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Central dropdown values. Input sheets use these lists.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</row>
    <row r="4" ht="24" customHeight="1" s="70">
      <c r="A4" s="71" t="inlineStr">
        <is>
          <t>Discipline</t>
        </is>
      </c>
      <c r="B4" s="71" t="inlineStr">
        <is>
          <t>Cost Category</t>
        </is>
      </c>
      <c r="C4" s="71" t="inlineStr">
        <is>
          <t>Cost Type</t>
        </is>
      </c>
      <c r="D4" s="71" t="inlineStr">
        <is>
          <t>Phase</t>
        </is>
      </c>
      <c r="E4" s="71" t="inlineStr">
        <is>
          <t>Y/N</t>
        </is>
      </c>
      <c r="F4" s="71" t="inlineStr">
        <is>
          <t>Currency</t>
        </is>
      </c>
      <c r="G4" s="71" t="inlineStr">
        <is>
          <t>Estimate Basis</t>
        </is>
      </c>
      <c r="H4" s="71" t="inlineStr">
        <is>
          <t>Spend Category</t>
        </is>
      </c>
      <c r="I4" s="71" t="inlineStr">
        <is>
          <t>Spend Curve</t>
        </is>
      </c>
      <c r="J4" s="71" t="inlineStr">
        <is>
          <t>Unit</t>
        </is>
      </c>
      <c r="K4" s="71" t="inlineStr">
        <is>
          <t>Location</t>
        </is>
      </c>
    </row>
    <row r="5">
      <c r="A5" t="inlineStr">
        <is>
          <t>Process</t>
        </is>
      </c>
      <c r="B5" t="inlineStr">
        <is>
          <t>Direct Cost</t>
        </is>
      </c>
      <c r="C5" t="inlineStr">
        <is>
          <t>Equipment</t>
        </is>
      </c>
      <c r="D5" t="inlineStr">
        <is>
          <t>Engineering</t>
        </is>
      </c>
      <c r="E5" t="inlineStr">
        <is>
          <t>Yes</t>
        </is>
      </c>
      <c r="F5" t="inlineStr">
        <is>
          <t>EUR</t>
        </is>
      </c>
      <c r="G5" t="inlineStr">
        <is>
          <t>Class 5</t>
        </is>
      </c>
      <c r="H5" t="inlineStr">
        <is>
          <t>Engineering</t>
        </is>
      </c>
      <c r="I5" t="inlineStr">
        <is>
          <t>Linear</t>
        </is>
      </c>
      <c r="J5" t="inlineStr">
        <is>
          <t>lot</t>
        </is>
      </c>
      <c r="K5" t="inlineStr">
        <is>
          <t>Spain</t>
        </is>
      </c>
    </row>
    <row r="6">
      <c r="A6" t="inlineStr">
        <is>
          <t>Mechanical</t>
        </is>
      </c>
      <c r="B6" t="inlineStr">
        <is>
          <t>Indirect Cost</t>
        </is>
      </c>
      <c r="C6" t="inlineStr">
        <is>
          <t>Bulk Material</t>
        </is>
      </c>
      <c r="D6" t="inlineStr">
        <is>
          <t>Procurement</t>
        </is>
      </c>
      <c r="E6" t="inlineStr">
        <is>
          <t>No</t>
        </is>
      </c>
      <c r="F6" t="inlineStr">
        <is>
          <t>USD</t>
        </is>
      </c>
      <c r="G6" t="inlineStr">
        <is>
          <t>Class 4</t>
        </is>
      </c>
      <c r="H6" t="inlineStr">
        <is>
          <t>Procurement</t>
        </is>
      </c>
      <c r="I6" t="inlineStr">
        <is>
          <t>Front Loaded</t>
        </is>
      </c>
      <c r="J6" t="inlineStr">
        <is>
          <t>each</t>
        </is>
      </c>
      <c r="K6" t="inlineStr">
        <is>
          <t>France</t>
        </is>
      </c>
    </row>
    <row r="7">
      <c r="A7" t="inlineStr">
        <is>
          <t>Piping</t>
        </is>
      </c>
      <c r="B7" t="inlineStr">
        <is>
          <t>Owner Cost</t>
        </is>
      </c>
      <c r="C7" t="inlineStr">
        <is>
          <t>Construction</t>
        </is>
      </c>
      <c r="D7" t="inlineStr">
        <is>
          <t>Construction</t>
        </is>
      </c>
      <c r="F7" t="inlineStr">
        <is>
          <t>GBP</t>
        </is>
      </c>
      <c r="G7" t="inlineStr">
        <is>
          <t>Class 3</t>
        </is>
      </c>
      <c r="H7" t="inlineStr">
        <is>
          <t>Construction</t>
        </is>
      </c>
      <c r="I7" t="inlineStr">
        <is>
          <t>Back Loaded</t>
        </is>
      </c>
      <c r="J7" t="inlineStr">
        <is>
          <t>m</t>
        </is>
      </c>
      <c r="K7" t="inlineStr">
        <is>
          <t>Germany</t>
        </is>
      </c>
    </row>
    <row r="8">
      <c r="A8" t="inlineStr">
        <is>
          <t>Civil</t>
        </is>
      </c>
      <c r="B8" t="inlineStr">
        <is>
          <t>Manpower Cost</t>
        </is>
      </c>
      <c r="C8" t="inlineStr">
        <is>
          <t>Engineering</t>
        </is>
      </c>
      <c r="D8" t="inlineStr">
        <is>
          <t>Commissioning</t>
        </is>
      </c>
      <c r="F8" t="inlineStr">
        <is>
          <t>CHF</t>
        </is>
      </c>
      <c r="G8" t="inlineStr">
        <is>
          <t>Class 2</t>
        </is>
      </c>
      <c r="H8" t="inlineStr">
        <is>
          <t>Commissioning</t>
        </is>
      </c>
      <c r="I8" t="inlineStr">
        <is>
          <t>Bell Curve</t>
        </is>
      </c>
      <c r="J8" t="inlineStr">
        <is>
          <t>m2</t>
        </is>
      </c>
      <c r="K8" t="inlineStr">
        <is>
          <t>Italy</t>
        </is>
      </c>
    </row>
    <row r="9">
      <c r="A9" t="inlineStr">
        <is>
          <t>Electrical</t>
        </is>
      </c>
      <c r="B9" t="inlineStr">
        <is>
          <t>Other Cost</t>
        </is>
      </c>
      <c r="C9" t="inlineStr">
        <is>
          <t>EPCM</t>
        </is>
      </c>
      <c r="D9" t="inlineStr">
        <is>
          <t>Other</t>
        </is>
      </c>
      <c r="F9" t="inlineStr">
        <is>
          <t>DKK</t>
        </is>
      </c>
      <c r="G9" t="inlineStr">
        <is>
          <t>Class 1</t>
        </is>
      </c>
      <c r="H9" t="inlineStr">
        <is>
          <t>Other</t>
        </is>
      </c>
      <c r="I9" t="inlineStr">
        <is>
          <t>Manual</t>
        </is>
      </c>
      <c r="J9" t="inlineStr">
        <is>
          <t>m3</t>
        </is>
      </c>
      <c r="K9" t="inlineStr">
        <is>
          <t>Netherlands</t>
        </is>
      </c>
    </row>
    <row r="10">
      <c r="A10" t="inlineStr">
        <is>
          <t>Instrumentation</t>
        </is>
      </c>
      <c r="C10" t="inlineStr">
        <is>
          <t>Owner</t>
        </is>
      </c>
      <c r="F10" t="inlineStr">
        <is>
          <t>SEK</t>
        </is>
      </c>
      <c r="J10" t="inlineStr">
        <is>
          <t>kg</t>
        </is>
      </c>
      <c r="K10" t="inlineStr">
        <is>
          <t>Belgium</t>
        </is>
      </c>
    </row>
    <row r="11">
      <c r="A11" t="inlineStr">
        <is>
          <t>Automation</t>
        </is>
      </c>
      <c r="C11" t="inlineStr">
        <is>
          <t>Labour</t>
        </is>
      </c>
      <c r="F11" t="inlineStr">
        <is>
          <t>NOK</t>
        </is>
      </c>
      <c r="J11" t="inlineStr">
        <is>
          <t>ton</t>
        </is>
      </c>
      <c r="K11" t="inlineStr">
        <is>
          <t>UK</t>
        </is>
      </c>
    </row>
    <row r="12">
      <c r="A12" t="inlineStr">
        <is>
          <t>Construction</t>
        </is>
      </c>
      <c r="C12" t="inlineStr">
        <is>
          <t>Freight</t>
        </is>
      </c>
      <c r="F12" t="inlineStr">
        <is>
          <t>PLN</t>
        </is>
      </c>
      <c r="J12" t="inlineStr">
        <is>
          <t>h</t>
        </is>
      </c>
      <c r="K12" t="inlineStr">
        <is>
          <t>Poland</t>
        </is>
      </c>
    </row>
    <row r="13">
      <c r="A13" t="inlineStr">
        <is>
          <t>Project Management</t>
        </is>
      </c>
      <c r="C13" t="inlineStr">
        <is>
          <t>Spares</t>
        </is>
      </c>
      <c r="F13" t="inlineStr">
        <is>
          <t>TRY</t>
        </is>
      </c>
      <c r="J13" t="inlineStr">
        <is>
          <t>month</t>
        </is>
      </c>
      <c r="K13" t="inlineStr">
        <is>
          <t>Remote</t>
        </is>
      </c>
    </row>
    <row r="14">
      <c r="A14" t="inlineStr">
        <is>
          <t>Procurement</t>
        </is>
      </c>
      <c r="C14" t="inlineStr">
        <is>
          <t>Other</t>
        </is>
      </c>
      <c r="F14" t="inlineStr">
        <is>
          <t>MAD</t>
        </is>
      </c>
      <c r="J14" t="inlineStr">
        <is>
          <t>FTE-month</t>
        </is>
      </c>
    </row>
    <row r="15">
      <c r="A15" t="inlineStr">
        <is>
          <t>HSE</t>
        </is>
      </c>
    </row>
    <row r="16">
      <c r="A16" t="inlineStr">
        <is>
          <t>Commissioning</t>
        </is>
      </c>
    </row>
    <row r="17">
      <c r="A17" t="inlineStr">
        <is>
          <t>Owner</t>
        </is>
      </c>
    </row>
    <row r="18">
      <c r="A18" t="inlineStr">
        <is>
          <t>Other</t>
        </is>
      </c>
    </row>
  </sheetData>
  <mergeCells count="2">
    <mergeCell ref="A2:N2"/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AD240"/>
  <sheetViews>
    <sheetView workbookViewId="0">
      <selection activeCell="A1" sqref="A1"/>
    </sheetView>
  </sheetViews>
  <sheetFormatPr baseColWidth="8" defaultRowHeight="14.25"/>
  <cols>
    <col width="30" customWidth="1" style="70" min="1" max="1"/>
    <col width="24" customWidth="1" style="70" min="2" max="2"/>
    <col width="36" customWidth="1" style="70" min="3" max="3"/>
    <col width="14" customWidth="1" style="70" min="4" max="4"/>
    <col width="10" customWidth="1" style="70" min="5" max="5"/>
    <col width="22" customWidth="1" style="70" min="6" max="6"/>
    <col width="24" customWidth="1" style="70" min="7" max="8"/>
    <col width="32" customWidth="1" style="70" min="9" max="9"/>
    <col width="36" customWidth="1" style="70" min="10" max="10"/>
  </cols>
  <sheetData>
    <row r="1" ht="27.95000076293945" customHeight="1" s="70">
      <c r="A1" s="66" t="inlineStr">
        <is>
          <t>Data Dictionary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Column-level definition of operational sheets.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</row>
    <row r="4" ht="24" customHeight="1" s="70">
      <c r="A4" s="71" t="inlineStr">
        <is>
          <t>Sheet</t>
        </is>
      </c>
      <c r="B4" s="71" t="inlineStr">
        <is>
          <t>Column</t>
        </is>
      </c>
      <c r="C4" s="71" t="inlineStr">
        <is>
          <t>Description</t>
        </is>
      </c>
      <c r="D4" s="71" t="inlineStr">
        <is>
          <t>Type</t>
        </is>
      </c>
      <c r="E4" s="71" t="inlineStr">
        <is>
          <t>Required</t>
        </is>
      </c>
      <c r="F4" s="71" t="inlineStr">
        <is>
          <t>Input / Formula / Macro</t>
        </is>
      </c>
      <c r="G4" s="71" t="inlineStr">
        <is>
          <t>Source</t>
        </is>
      </c>
      <c r="H4" s="71" t="inlineStr">
        <is>
          <t>Validation</t>
        </is>
      </c>
      <c r="I4" s="71" t="inlineStr">
        <is>
          <t>Used By</t>
        </is>
      </c>
      <c r="J4" s="71" t="inlineStr">
        <is>
          <t>Notes</t>
        </is>
      </c>
    </row>
    <row r="5">
      <c r="A5" t="inlineStr">
        <is>
          <t>Equipment_Estimate</t>
        </is>
      </c>
      <c r="B5" t="inlineStr">
        <is>
          <t>Item ID</t>
        </is>
      </c>
      <c r="C5" t="inlineStr">
        <is>
          <t>Item ID for elementary cost item</t>
        </is>
      </c>
      <c r="D5" t="inlineStr">
        <is>
          <t>Text/Number</t>
        </is>
      </c>
      <c r="E5" t="inlineStr">
        <is>
          <t>Yes</t>
        </is>
      </c>
      <c r="F5" t="inlineStr">
        <is>
          <t>Input</t>
        </is>
      </c>
      <c r="G5" t="inlineStr">
        <is>
          <t>User / Config</t>
        </is>
      </c>
      <c r="H5" t="inlineStr">
        <is>
          <t>Lists_Config / formula</t>
        </is>
      </c>
      <c r="I5" t="inlineStr">
        <is>
          <t>BuildCostRegister, QA, Summary</t>
        </is>
      </c>
      <c r="J5" t="inlineStr">
        <is>
          <t>Header-based mapping required</t>
        </is>
      </c>
    </row>
    <row r="6">
      <c r="A6" t="inlineStr">
        <is>
          <t>Equipment_Estimate</t>
        </is>
      </c>
      <c r="B6" t="inlineStr">
        <is>
          <t>Description</t>
        </is>
      </c>
      <c r="C6" t="inlineStr">
        <is>
          <t>Description for elementary cost item</t>
        </is>
      </c>
      <c r="D6" t="inlineStr">
        <is>
          <t>Text/Number</t>
        </is>
      </c>
      <c r="E6" t="inlineStr">
        <is>
          <t>Yes</t>
        </is>
      </c>
      <c r="F6" t="inlineStr">
        <is>
          <t>Input</t>
        </is>
      </c>
      <c r="G6" t="inlineStr">
        <is>
          <t>User / Config</t>
        </is>
      </c>
      <c r="H6" t="inlineStr">
        <is>
          <t>Lists_Config / formula</t>
        </is>
      </c>
      <c r="I6" t="inlineStr">
        <is>
          <t>BuildCostRegister, QA, Summary</t>
        </is>
      </c>
      <c r="J6" t="inlineStr">
        <is>
          <t>Header-based mapping required</t>
        </is>
      </c>
    </row>
    <row r="7">
      <c r="A7" t="inlineStr">
        <is>
          <t>Equipment_Estimate</t>
        </is>
      </c>
      <c r="B7" t="inlineStr">
        <is>
          <t>Discipline</t>
        </is>
      </c>
      <c r="C7" t="inlineStr">
        <is>
          <t>Discipline for elementary cost item</t>
        </is>
      </c>
      <c r="D7" t="inlineStr">
        <is>
          <t>Text/Number</t>
        </is>
      </c>
      <c r="E7" t="inlineStr">
        <is>
          <t>Yes</t>
        </is>
      </c>
      <c r="F7" t="inlineStr">
        <is>
          <t>Input</t>
        </is>
      </c>
      <c r="G7" t="inlineStr">
        <is>
          <t>User / Config</t>
        </is>
      </c>
      <c r="H7" t="inlineStr">
        <is>
          <t>Lists_Config / formula</t>
        </is>
      </c>
      <c r="I7" t="inlineStr">
        <is>
          <t>BuildCostRegister, QA, Summary</t>
        </is>
      </c>
      <c r="J7" t="inlineStr">
        <is>
          <t>Header-based mapping required</t>
        </is>
      </c>
    </row>
    <row r="8">
      <c r="A8" t="inlineStr">
        <is>
          <t>Equipment_Estimate</t>
        </is>
      </c>
      <c r="B8" t="inlineStr">
        <is>
          <t>WBS</t>
        </is>
      </c>
      <c r="C8" t="inlineStr">
        <is>
          <t>WBS for elementary cost item</t>
        </is>
      </c>
      <c r="D8" t="inlineStr">
        <is>
          <t>Text/Number</t>
        </is>
      </c>
      <c r="E8" t="inlineStr">
        <is>
          <t>Yes</t>
        </is>
      </c>
      <c r="F8" t="inlineStr">
        <is>
          <t>Input</t>
        </is>
      </c>
      <c r="G8" t="inlineStr">
        <is>
          <t>User / Config</t>
        </is>
      </c>
      <c r="H8" t="inlineStr">
        <is>
          <t>Lists_Config / formula</t>
        </is>
      </c>
      <c r="I8" t="inlineStr">
        <is>
          <t>BuildCostRegister, QA, Summary</t>
        </is>
      </c>
      <c r="J8" t="inlineStr">
        <is>
          <t>Header-based mapping required</t>
        </is>
      </c>
    </row>
    <row r="9">
      <c r="A9" t="inlineStr">
        <is>
          <t>Equipment_Estimate</t>
        </is>
      </c>
      <c r="B9" t="inlineStr">
        <is>
          <t>CBS</t>
        </is>
      </c>
      <c r="C9" t="inlineStr">
        <is>
          <t>CBS for elementary cost item</t>
        </is>
      </c>
      <c r="D9" t="inlineStr">
        <is>
          <t>Text/Number</t>
        </is>
      </c>
      <c r="E9" t="inlineStr">
        <is>
          <t>Yes</t>
        </is>
      </c>
      <c r="F9" t="inlineStr">
        <is>
          <t>Input</t>
        </is>
      </c>
      <c r="G9" t="inlineStr">
        <is>
          <t>User / Config</t>
        </is>
      </c>
      <c r="H9" t="inlineStr">
        <is>
          <t>Lists_Config / formula</t>
        </is>
      </c>
      <c r="I9" t="inlineStr">
        <is>
          <t>BuildCostRegister, QA, Summary</t>
        </is>
      </c>
      <c r="J9" t="inlineStr">
        <is>
          <t>Header-based mapping required</t>
        </is>
      </c>
    </row>
    <row r="10">
      <c r="A10" t="inlineStr">
        <is>
          <t>Equipment_Estimate</t>
        </is>
      </c>
      <c r="B10" t="inlineStr">
        <is>
          <t>Cost Category</t>
        </is>
      </c>
      <c r="C10" t="inlineStr">
        <is>
          <t>Cost Category for elementary cost item</t>
        </is>
      </c>
      <c r="D10" t="inlineStr">
        <is>
          <t>Text/Number</t>
        </is>
      </c>
      <c r="E10" t="inlineStr">
        <is>
          <t>Yes</t>
        </is>
      </c>
      <c r="F10" t="inlineStr">
        <is>
          <t>Input</t>
        </is>
      </c>
      <c r="G10" t="inlineStr">
        <is>
          <t>User / Config</t>
        </is>
      </c>
      <c r="H10" t="inlineStr">
        <is>
          <t>Lists_Config / formula</t>
        </is>
      </c>
      <c r="I10" t="inlineStr">
        <is>
          <t>BuildCostRegister, QA, Summary</t>
        </is>
      </c>
      <c r="J10" t="inlineStr">
        <is>
          <t>Header-based mapping required</t>
        </is>
      </c>
    </row>
    <row r="11">
      <c r="A11" t="inlineStr">
        <is>
          <t>Equipment_Estimate</t>
        </is>
      </c>
      <c r="B11" t="inlineStr">
        <is>
          <t>Cost Type</t>
        </is>
      </c>
      <c r="C11" t="inlineStr">
        <is>
          <t>Cost Type for elementary cost item</t>
        </is>
      </c>
      <c r="D11" t="inlineStr">
        <is>
          <t>Text/Number</t>
        </is>
      </c>
      <c r="E11" t="inlineStr">
        <is>
          <t>Yes</t>
        </is>
      </c>
      <c r="F11" t="inlineStr">
        <is>
          <t>Input</t>
        </is>
      </c>
      <c r="G11" t="inlineStr">
        <is>
          <t>User / Config</t>
        </is>
      </c>
      <c r="H11" t="inlineStr">
        <is>
          <t>Lists_Config / formula</t>
        </is>
      </c>
      <c r="I11" t="inlineStr">
        <is>
          <t>BuildCostRegister, QA, Summary</t>
        </is>
      </c>
      <c r="J11" t="inlineStr">
        <is>
          <t>Header-based mapping required</t>
        </is>
      </c>
    </row>
    <row r="12">
      <c r="A12" t="inlineStr">
        <is>
          <t>Equipment_Estimate</t>
        </is>
      </c>
      <c r="B12" t="inlineStr">
        <is>
          <t>Quantity</t>
        </is>
      </c>
      <c r="C12" t="inlineStr">
        <is>
          <t>Quantity for elementary cost item</t>
        </is>
      </c>
      <c r="D12" t="inlineStr">
        <is>
          <t>Text/Number</t>
        </is>
      </c>
      <c r="E12" t="inlineStr">
        <is>
          <t>Yes</t>
        </is>
      </c>
      <c r="F12" t="inlineStr">
        <is>
          <t>Input</t>
        </is>
      </c>
      <c r="G12" t="inlineStr">
        <is>
          <t>User / Config</t>
        </is>
      </c>
      <c r="H12" t="inlineStr">
        <is>
          <t>Lists_Config / formula</t>
        </is>
      </c>
      <c r="I12" t="inlineStr">
        <is>
          <t>BuildCostRegister, QA, Summary</t>
        </is>
      </c>
      <c r="J12" t="inlineStr">
        <is>
          <t>Header-based mapping required</t>
        </is>
      </c>
    </row>
    <row r="13">
      <c r="A13" t="inlineStr">
        <is>
          <t>Equipment_Estimate</t>
        </is>
      </c>
      <c r="B13" t="inlineStr">
        <is>
          <t>Unit</t>
        </is>
      </c>
      <c r="C13" t="inlineStr">
        <is>
          <t>Unit for elementary cost item</t>
        </is>
      </c>
      <c r="D13" t="inlineStr">
        <is>
          <t>Text/Number</t>
        </is>
      </c>
      <c r="E13" t="inlineStr">
        <is>
          <t>Yes</t>
        </is>
      </c>
      <c r="F13" t="inlineStr">
        <is>
          <t>Input</t>
        </is>
      </c>
      <c r="G13" t="inlineStr">
        <is>
          <t>User / Config</t>
        </is>
      </c>
      <c r="H13" t="inlineStr">
        <is>
          <t>Lists_Config / formula</t>
        </is>
      </c>
      <c r="I13" t="inlineStr">
        <is>
          <t>BuildCostRegister, QA, Summary</t>
        </is>
      </c>
      <c r="J13" t="inlineStr">
        <is>
          <t>Header-based mapping required</t>
        </is>
      </c>
    </row>
    <row r="14">
      <c r="A14" t="inlineStr">
        <is>
          <t>Equipment_Estimate</t>
        </is>
      </c>
      <c r="B14" t="inlineStr">
        <is>
          <t>Unit Rate</t>
        </is>
      </c>
      <c r="C14" t="inlineStr">
        <is>
          <t>Unit Rate for elementary cost item</t>
        </is>
      </c>
      <c r="D14" t="inlineStr">
        <is>
          <t>Text/Number</t>
        </is>
      </c>
      <c r="E14" t="inlineStr">
        <is>
          <t>Yes</t>
        </is>
      </c>
      <c r="F14" t="inlineStr">
        <is>
          <t>Input</t>
        </is>
      </c>
      <c r="G14" t="inlineStr">
        <is>
          <t>User / Config</t>
        </is>
      </c>
      <c r="H14" t="inlineStr">
        <is>
          <t>Lists_Config / formula</t>
        </is>
      </c>
      <c r="I14" t="inlineStr">
        <is>
          <t>BuildCostRegister, QA, Summary</t>
        </is>
      </c>
      <c r="J14" t="inlineStr">
        <is>
          <t>Header-based mapping required</t>
        </is>
      </c>
    </row>
    <row r="15">
      <c r="A15" t="inlineStr">
        <is>
          <t>Equipment_Estimate</t>
        </is>
      </c>
      <c r="B15" t="inlineStr">
        <is>
          <t>Currency</t>
        </is>
      </c>
      <c r="C15" t="inlineStr">
        <is>
          <t>Currency for elementary cost item</t>
        </is>
      </c>
      <c r="D15" t="inlineStr">
        <is>
          <t>Text/Number</t>
        </is>
      </c>
      <c r="E15" t="inlineStr">
        <is>
          <t>Yes</t>
        </is>
      </c>
      <c r="F15" t="inlineStr">
        <is>
          <t>Input</t>
        </is>
      </c>
      <c r="G15" t="inlineStr">
        <is>
          <t>User / Config</t>
        </is>
      </c>
      <c r="H15" t="inlineStr">
        <is>
          <t>Lists_Config / formula</t>
        </is>
      </c>
      <c r="I15" t="inlineStr">
        <is>
          <t>BuildCostRegister, QA, Summary</t>
        </is>
      </c>
      <c r="J15" t="inlineStr">
        <is>
          <t>Header-based mapping required</t>
        </is>
      </c>
    </row>
    <row r="16">
      <c r="A16" t="inlineStr">
        <is>
          <t>Equipment_Estimate</t>
        </is>
      </c>
      <c r="B16" t="inlineStr">
        <is>
          <t>FX Rate</t>
        </is>
      </c>
      <c r="C16" t="inlineStr">
        <is>
          <t>FX Rate for elementary cost item</t>
        </is>
      </c>
      <c r="D16" t="inlineStr">
        <is>
          <t>Text/Number</t>
        </is>
      </c>
      <c r="E16" t="inlineStr">
        <is>
          <t>Yes</t>
        </is>
      </c>
      <c r="F16" t="inlineStr">
        <is>
          <t>Formula</t>
        </is>
      </c>
      <c r="G16" t="inlineStr">
        <is>
          <t>User / Config</t>
        </is>
      </c>
      <c r="H16" t="inlineStr">
        <is>
          <t>Lists_Config / formula</t>
        </is>
      </c>
      <c r="I16" t="inlineStr">
        <is>
          <t>BuildCostRegister, QA, Summary</t>
        </is>
      </c>
      <c r="J16" t="inlineStr">
        <is>
          <t>Header-based mapping required</t>
        </is>
      </c>
    </row>
    <row r="17">
      <c r="A17" t="inlineStr">
        <is>
          <t>Equipment_Estimate</t>
        </is>
      </c>
      <c r="B17" t="inlineStr">
        <is>
          <t>Base Cost</t>
        </is>
      </c>
      <c r="C17" t="inlineStr">
        <is>
          <t>Base Cost for elementary cost item</t>
        </is>
      </c>
      <c r="D17" t="inlineStr">
        <is>
          <t>Text/Number</t>
        </is>
      </c>
      <c r="E17" t="inlineStr">
        <is>
          <t>Yes</t>
        </is>
      </c>
      <c r="F17" t="inlineStr">
        <is>
          <t>Formula</t>
        </is>
      </c>
      <c r="G17" t="inlineStr">
        <is>
          <t>User / Config</t>
        </is>
      </c>
      <c r="H17" t="inlineStr">
        <is>
          <t>Lists_Config / formula</t>
        </is>
      </c>
      <c r="I17" t="inlineStr">
        <is>
          <t>BuildCostRegister, QA, Summary</t>
        </is>
      </c>
      <c r="J17" t="inlineStr">
        <is>
          <t>Header-based mapping required</t>
        </is>
      </c>
    </row>
    <row r="18">
      <c r="A18" t="inlineStr">
        <is>
          <t>Equipment_Estimate</t>
        </is>
      </c>
      <c r="B18" t="inlineStr">
        <is>
          <t>Base Cost EUR</t>
        </is>
      </c>
      <c r="C18" t="inlineStr">
        <is>
          <t>Base Cost EUR for elementary cost item</t>
        </is>
      </c>
      <c r="D18" t="inlineStr">
        <is>
          <t>Text/Number</t>
        </is>
      </c>
      <c r="E18" t="inlineStr">
        <is>
          <t>Yes</t>
        </is>
      </c>
      <c r="F18" t="inlineStr">
        <is>
          <t>Formula</t>
        </is>
      </c>
      <c r="G18" t="inlineStr">
        <is>
          <t>User / Config</t>
        </is>
      </c>
      <c r="H18" t="inlineStr">
        <is>
          <t>Lists_Config / formula</t>
        </is>
      </c>
      <c r="I18" t="inlineStr">
        <is>
          <t>BuildCostRegister, QA, Summary</t>
        </is>
      </c>
      <c r="J18" t="inlineStr">
        <is>
          <t>Header-based mapping required</t>
        </is>
      </c>
    </row>
    <row r="19">
      <c r="A19" t="inlineStr">
        <is>
          <t>Equipment_Estimate</t>
        </is>
      </c>
      <c r="B19" t="inlineStr">
        <is>
          <t>Estimate Basis</t>
        </is>
      </c>
      <c r="C19" t="inlineStr">
        <is>
          <t>Estimate Basis for elementary cost item</t>
        </is>
      </c>
      <c r="D19" t="inlineStr">
        <is>
          <t>Text/Number</t>
        </is>
      </c>
      <c r="E19" t="inlineStr">
        <is>
          <t>Yes</t>
        </is>
      </c>
      <c r="F19" t="inlineStr">
        <is>
          <t>Input</t>
        </is>
      </c>
      <c r="G19" t="inlineStr">
        <is>
          <t>User / Config</t>
        </is>
      </c>
      <c r="H19" t="inlineStr">
        <is>
          <t>Lists_Config / formula</t>
        </is>
      </c>
      <c r="I19" t="inlineStr">
        <is>
          <t>BuildCostRegister, QA, Summary</t>
        </is>
      </c>
      <c r="J19" t="inlineStr">
        <is>
          <t>Header-based mapping required</t>
        </is>
      </c>
    </row>
    <row r="20">
      <c r="A20" t="inlineStr">
        <is>
          <t>Equipment_Estimate</t>
        </is>
      </c>
      <c r="B20" t="inlineStr">
        <is>
          <t>Accuracy Low %</t>
        </is>
      </c>
      <c r="C20" t="inlineStr">
        <is>
          <t>Accuracy Low % for elementary cost item</t>
        </is>
      </c>
      <c r="D20" t="inlineStr">
        <is>
          <t>Text/Number</t>
        </is>
      </c>
      <c r="E20" t="inlineStr">
        <is>
          <t>Yes</t>
        </is>
      </c>
      <c r="F20" t="inlineStr">
        <is>
          <t>Formula</t>
        </is>
      </c>
      <c r="G20" t="inlineStr">
        <is>
          <t>User / Config</t>
        </is>
      </c>
      <c r="H20" t="inlineStr">
        <is>
          <t>Lists_Config / formula</t>
        </is>
      </c>
      <c r="I20" t="inlineStr">
        <is>
          <t>BuildCostRegister, QA, Summary</t>
        </is>
      </c>
      <c r="J20" t="inlineStr">
        <is>
          <t>Header-based mapping required</t>
        </is>
      </c>
    </row>
    <row r="21">
      <c r="A21" t="inlineStr">
        <is>
          <t>Equipment_Estimate</t>
        </is>
      </c>
      <c r="B21" t="inlineStr">
        <is>
          <t>Accuracy High %</t>
        </is>
      </c>
      <c r="C21" t="inlineStr">
        <is>
          <t>Accuracy High % for elementary cost item</t>
        </is>
      </c>
      <c r="D21" t="inlineStr">
        <is>
          <t>Text/Number</t>
        </is>
      </c>
      <c r="E21" t="inlineStr">
        <is>
          <t>Yes</t>
        </is>
      </c>
      <c r="F21" t="inlineStr">
        <is>
          <t>Formula</t>
        </is>
      </c>
      <c r="G21" t="inlineStr">
        <is>
          <t>User / Config</t>
        </is>
      </c>
      <c r="H21" t="inlineStr">
        <is>
          <t>Lists_Config / formula</t>
        </is>
      </c>
      <c r="I21" t="inlineStr">
        <is>
          <t>BuildCostRegister, QA, Summary</t>
        </is>
      </c>
      <c r="J21" t="inlineStr">
        <is>
          <t>Header-based mapping required</t>
        </is>
      </c>
    </row>
    <row r="22">
      <c r="A22" t="inlineStr">
        <is>
          <t>Equipment_Estimate</t>
        </is>
      </c>
      <c r="B22" t="inlineStr">
        <is>
          <t>Low Cost</t>
        </is>
      </c>
      <c r="C22" t="inlineStr">
        <is>
          <t>Low Cost for elementary cost item</t>
        </is>
      </c>
      <c r="D22" t="inlineStr">
        <is>
          <t>Text/Number</t>
        </is>
      </c>
      <c r="E22" t="inlineStr">
        <is>
          <t>Yes</t>
        </is>
      </c>
      <c r="F22" t="inlineStr">
        <is>
          <t>Formula</t>
        </is>
      </c>
      <c r="G22" t="inlineStr">
        <is>
          <t>User / Config</t>
        </is>
      </c>
      <c r="H22" t="inlineStr">
        <is>
          <t>Lists_Config / formula</t>
        </is>
      </c>
      <c r="I22" t="inlineStr">
        <is>
          <t>BuildCostRegister, QA, Summary</t>
        </is>
      </c>
      <c r="J22" t="inlineStr">
        <is>
          <t>Header-based mapping required</t>
        </is>
      </c>
    </row>
    <row r="23">
      <c r="A23" t="inlineStr">
        <is>
          <t>Equipment_Estimate</t>
        </is>
      </c>
      <c r="B23" t="inlineStr">
        <is>
          <t>Most Likely Cost</t>
        </is>
      </c>
      <c r="C23" t="inlineStr">
        <is>
          <t>Most Likely Cost for elementary cost item</t>
        </is>
      </c>
      <c r="D23" t="inlineStr">
        <is>
          <t>Text/Number</t>
        </is>
      </c>
      <c r="E23" t="inlineStr">
        <is>
          <t>Yes</t>
        </is>
      </c>
      <c r="F23" t="inlineStr">
        <is>
          <t>Formula</t>
        </is>
      </c>
      <c r="G23" t="inlineStr">
        <is>
          <t>User / Config</t>
        </is>
      </c>
      <c r="H23" t="inlineStr">
        <is>
          <t>Lists_Config / formula</t>
        </is>
      </c>
      <c r="I23" t="inlineStr">
        <is>
          <t>BuildCostRegister, QA, Summary</t>
        </is>
      </c>
      <c r="J23" t="inlineStr">
        <is>
          <t>Header-based mapping required</t>
        </is>
      </c>
    </row>
    <row r="24">
      <c r="A24" t="inlineStr">
        <is>
          <t>Equipment_Estimate</t>
        </is>
      </c>
      <c r="B24" t="inlineStr">
        <is>
          <t>High Cost</t>
        </is>
      </c>
      <c r="C24" t="inlineStr">
        <is>
          <t>High Cost for elementary cost item</t>
        </is>
      </c>
      <c r="D24" t="inlineStr">
        <is>
          <t>Text/Number</t>
        </is>
      </c>
      <c r="E24" t="inlineStr">
        <is>
          <t>Yes</t>
        </is>
      </c>
      <c r="F24" t="inlineStr">
        <is>
          <t>Formula</t>
        </is>
      </c>
      <c r="G24" t="inlineStr">
        <is>
          <t>User / Config</t>
        </is>
      </c>
      <c r="H24" t="inlineStr">
        <is>
          <t>Lists_Config / formula</t>
        </is>
      </c>
      <c r="I24" t="inlineStr">
        <is>
          <t>BuildCostRegister, QA, Summary</t>
        </is>
      </c>
      <c r="J24" t="inlineStr">
        <is>
          <t>Header-based mapping required</t>
        </is>
      </c>
    </row>
    <row r="25">
      <c r="A25" t="inlineStr">
        <is>
          <t>Equipment_Estimate</t>
        </is>
      </c>
      <c r="B25" t="inlineStr">
        <is>
          <t>Contingency Eligible</t>
        </is>
      </c>
      <c r="C25" t="inlineStr">
        <is>
          <t>Contingency Eligible for elementary cost item</t>
        </is>
      </c>
      <c r="D25" t="inlineStr">
        <is>
          <t>Text/Number</t>
        </is>
      </c>
      <c r="E25" t="inlineStr">
        <is>
          <t>Yes</t>
        </is>
      </c>
      <c r="F25" t="inlineStr">
        <is>
          <t>Input</t>
        </is>
      </c>
      <c r="G25" t="inlineStr">
        <is>
          <t>User / Config</t>
        </is>
      </c>
      <c r="H25" t="inlineStr">
        <is>
          <t>Lists_Config / formula</t>
        </is>
      </c>
      <c r="I25" t="inlineStr">
        <is>
          <t>BuildCostRegister, QA, Summary</t>
        </is>
      </c>
      <c r="J25" t="inlineStr">
        <is>
          <t>Header-based mapping required</t>
        </is>
      </c>
    </row>
    <row r="26">
      <c r="A26" t="inlineStr">
        <is>
          <t>Equipment_Estimate</t>
        </is>
      </c>
      <c r="B26" t="inlineStr">
        <is>
          <t>Escalation Eligible</t>
        </is>
      </c>
      <c r="C26" t="inlineStr">
        <is>
          <t>Escalation Eligible for elementary cost item</t>
        </is>
      </c>
      <c r="D26" t="inlineStr">
        <is>
          <t>Text/Number</t>
        </is>
      </c>
      <c r="E26" t="inlineStr">
        <is>
          <t>Yes</t>
        </is>
      </c>
      <c r="F26" t="inlineStr">
        <is>
          <t>Input</t>
        </is>
      </c>
      <c r="G26" t="inlineStr">
        <is>
          <t>User / Config</t>
        </is>
      </c>
      <c r="H26" t="inlineStr">
        <is>
          <t>Lists_Config / formula</t>
        </is>
      </c>
      <c r="I26" t="inlineStr">
        <is>
          <t>BuildCostRegister, QA, Summary</t>
        </is>
      </c>
      <c r="J26" t="inlineStr">
        <is>
          <t>Header-based mapping required</t>
        </is>
      </c>
    </row>
    <row r="27">
      <c r="A27" t="inlineStr">
        <is>
          <t>Equipment_Estimate</t>
        </is>
      </c>
      <c r="B27" t="inlineStr">
        <is>
          <t>Spend Category</t>
        </is>
      </c>
      <c r="C27" t="inlineStr">
        <is>
          <t>Spend Category for elementary cost item</t>
        </is>
      </c>
      <c r="D27" t="inlineStr">
        <is>
          <t>Text/Number</t>
        </is>
      </c>
      <c r="E27" t="inlineStr">
        <is>
          <t>Yes</t>
        </is>
      </c>
      <c r="F27" t="inlineStr">
        <is>
          <t>Input</t>
        </is>
      </c>
      <c r="G27" t="inlineStr">
        <is>
          <t>User / Config</t>
        </is>
      </c>
      <c r="H27" t="inlineStr">
        <is>
          <t>Lists_Config / formula</t>
        </is>
      </c>
      <c r="I27" t="inlineStr">
        <is>
          <t>BuildCostRegister, QA, Summary</t>
        </is>
      </c>
      <c r="J27" t="inlineStr">
        <is>
          <t>Header-based mapping required</t>
        </is>
      </c>
    </row>
    <row r="28">
      <c r="A28" t="inlineStr">
        <is>
          <t>Equipment_Estimate</t>
        </is>
      </c>
      <c r="B28" t="inlineStr">
        <is>
          <t>Phase</t>
        </is>
      </c>
      <c r="C28" t="inlineStr">
        <is>
          <t>Phase for elementary cost item</t>
        </is>
      </c>
      <c r="D28" t="inlineStr">
        <is>
          <t>Text/Number</t>
        </is>
      </c>
      <c r="E28" t="inlineStr">
        <is>
          <t>Yes</t>
        </is>
      </c>
      <c r="F28" t="inlineStr">
        <is>
          <t>Input</t>
        </is>
      </c>
      <c r="G28" t="inlineStr">
        <is>
          <t>User / Config</t>
        </is>
      </c>
      <c r="H28" t="inlineStr">
        <is>
          <t>Lists_Config / formula</t>
        </is>
      </c>
      <c r="I28" t="inlineStr">
        <is>
          <t>BuildCostRegister, QA, Summary</t>
        </is>
      </c>
      <c r="J28" t="inlineStr">
        <is>
          <t>Header-based mapping required</t>
        </is>
      </c>
    </row>
    <row r="29">
      <c r="A29" t="inlineStr">
        <is>
          <t>Equipment_Estimate</t>
        </is>
      </c>
      <c r="B29" t="inlineStr">
        <is>
          <t>Start Month</t>
        </is>
      </c>
      <c r="C29" t="inlineStr">
        <is>
          <t>Start Month for elementary cost item</t>
        </is>
      </c>
      <c r="D29" t="inlineStr">
        <is>
          <t>Text/Number</t>
        </is>
      </c>
      <c r="E29" t="inlineStr">
        <is>
          <t>Yes</t>
        </is>
      </c>
      <c r="F29" t="inlineStr">
        <is>
          <t>Input</t>
        </is>
      </c>
      <c r="G29" t="inlineStr">
        <is>
          <t>User / Config</t>
        </is>
      </c>
      <c r="H29" t="inlineStr">
        <is>
          <t>Lists_Config / formula</t>
        </is>
      </c>
      <c r="I29" t="inlineStr">
        <is>
          <t>BuildCostRegister, QA, Summary</t>
        </is>
      </c>
      <c r="J29" t="inlineStr">
        <is>
          <t>Header-based mapping required</t>
        </is>
      </c>
    </row>
    <row r="30">
      <c r="A30" t="inlineStr">
        <is>
          <t>Equipment_Estimate</t>
        </is>
      </c>
      <c r="B30" t="inlineStr">
        <is>
          <t>End Month</t>
        </is>
      </c>
      <c r="C30" t="inlineStr">
        <is>
          <t>End Month for elementary cost item</t>
        </is>
      </c>
      <c r="D30" t="inlineStr">
        <is>
          <t>Text/Number</t>
        </is>
      </c>
      <c r="E30" t="inlineStr">
        <is>
          <t>Yes</t>
        </is>
      </c>
      <c r="F30" t="inlineStr">
        <is>
          <t>Input</t>
        </is>
      </c>
      <c r="G30" t="inlineStr">
        <is>
          <t>User / Config</t>
        </is>
      </c>
      <c r="H30" t="inlineStr">
        <is>
          <t>Lists_Config / formula</t>
        </is>
      </c>
      <c r="I30" t="inlineStr">
        <is>
          <t>BuildCostRegister, QA, Summary</t>
        </is>
      </c>
      <c r="J30" t="inlineStr">
        <is>
          <t>Header-based mapping required</t>
        </is>
      </c>
    </row>
    <row r="31">
      <c r="A31" t="inlineStr">
        <is>
          <t>Equipment_Estimate</t>
        </is>
      </c>
      <c r="B31" t="inlineStr">
        <is>
          <t>Spend Curve</t>
        </is>
      </c>
      <c r="C31" t="inlineStr">
        <is>
          <t>Spend Curve for elementary cost item</t>
        </is>
      </c>
      <c r="D31" t="inlineStr">
        <is>
          <t>Text/Number</t>
        </is>
      </c>
      <c r="E31" t="inlineStr">
        <is>
          <t>Yes</t>
        </is>
      </c>
      <c r="F31" t="inlineStr">
        <is>
          <t>Input</t>
        </is>
      </c>
      <c r="G31" t="inlineStr">
        <is>
          <t>User / Config</t>
        </is>
      </c>
      <c r="H31" t="inlineStr">
        <is>
          <t>Lists_Config / formula</t>
        </is>
      </c>
      <c r="I31" t="inlineStr">
        <is>
          <t>BuildCostRegister, QA, Summary</t>
        </is>
      </c>
      <c r="J31" t="inlineStr">
        <is>
          <t>Header-based mapping required</t>
        </is>
      </c>
    </row>
    <row r="32">
      <c r="A32" t="inlineStr">
        <is>
          <t>Equipment_Estimate</t>
        </is>
      </c>
      <c r="B32" t="inlineStr">
        <is>
          <t>Notes</t>
        </is>
      </c>
      <c r="C32" t="inlineStr">
        <is>
          <t>Notes for elementary cost item</t>
        </is>
      </c>
      <c r="D32" t="inlineStr">
        <is>
          <t>Text/Number</t>
        </is>
      </c>
      <c r="E32" t="inlineStr">
        <is>
          <t>No</t>
        </is>
      </c>
      <c r="F32" t="inlineStr">
        <is>
          <t>Input</t>
        </is>
      </c>
      <c r="G32" t="inlineStr">
        <is>
          <t>User / Config</t>
        </is>
      </c>
      <c r="H32" t="inlineStr">
        <is>
          <t>Lists_Config / formula</t>
        </is>
      </c>
      <c r="I32" t="inlineStr">
        <is>
          <t>BuildCostRegister, QA, Summary</t>
        </is>
      </c>
      <c r="J32" t="inlineStr">
        <is>
          <t>Header-based mapping required</t>
        </is>
      </c>
    </row>
    <row r="33">
      <c r="A33" t="inlineStr">
        <is>
          <t>Electrical_Estimate</t>
        </is>
      </c>
      <c r="B33" t="inlineStr">
        <is>
          <t>Item ID</t>
        </is>
      </c>
      <c r="C33" t="inlineStr">
        <is>
          <t>Item ID for elementary cost item</t>
        </is>
      </c>
      <c r="D33" t="inlineStr">
        <is>
          <t>Text/Number</t>
        </is>
      </c>
      <c r="E33" t="inlineStr">
        <is>
          <t>Yes</t>
        </is>
      </c>
      <c r="F33" t="inlineStr">
        <is>
          <t>Input</t>
        </is>
      </c>
      <c r="G33" t="inlineStr">
        <is>
          <t>User / Config</t>
        </is>
      </c>
      <c r="H33" t="inlineStr">
        <is>
          <t>Lists_Config / formula</t>
        </is>
      </c>
      <c r="I33" t="inlineStr">
        <is>
          <t>BuildCostRegister, QA, Summary</t>
        </is>
      </c>
      <c r="J33" t="inlineStr">
        <is>
          <t>Header-based mapping required</t>
        </is>
      </c>
    </row>
    <row r="34">
      <c r="A34" t="inlineStr">
        <is>
          <t>Electrical_Estimate</t>
        </is>
      </c>
      <c r="B34" t="inlineStr">
        <is>
          <t>Description</t>
        </is>
      </c>
      <c r="C34" t="inlineStr">
        <is>
          <t>Description for elementary cost item</t>
        </is>
      </c>
      <c r="D34" t="inlineStr">
        <is>
          <t>Text/Number</t>
        </is>
      </c>
      <c r="E34" t="inlineStr">
        <is>
          <t>Yes</t>
        </is>
      </c>
      <c r="F34" t="inlineStr">
        <is>
          <t>Input</t>
        </is>
      </c>
      <c r="G34" t="inlineStr">
        <is>
          <t>User / Config</t>
        </is>
      </c>
      <c r="H34" t="inlineStr">
        <is>
          <t>Lists_Config / formula</t>
        </is>
      </c>
      <c r="I34" t="inlineStr">
        <is>
          <t>BuildCostRegister, QA, Summary</t>
        </is>
      </c>
      <c r="J34" t="inlineStr">
        <is>
          <t>Header-based mapping required</t>
        </is>
      </c>
    </row>
    <row r="35">
      <c r="A35" t="inlineStr">
        <is>
          <t>Electrical_Estimate</t>
        </is>
      </c>
      <c r="B35" t="inlineStr">
        <is>
          <t>Discipline</t>
        </is>
      </c>
      <c r="C35" t="inlineStr">
        <is>
          <t>Discipline for elementary cost item</t>
        </is>
      </c>
      <c r="D35" t="inlineStr">
        <is>
          <t>Text/Number</t>
        </is>
      </c>
      <c r="E35" t="inlineStr">
        <is>
          <t>Yes</t>
        </is>
      </c>
      <c r="F35" t="inlineStr">
        <is>
          <t>Input</t>
        </is>
      </c>
      <c r="G35" t="inlineStr">
        <is>
          <t>User / Config</t>
        </is>
      </c>
      <c r="H35" t="inlineStr">
        <is>
          <t>Lists_Config / formula</t>
        </is>
      </c>
      <c r="I35" t="inlineStr">
        <is>
          <t>BuildCostRegister, QA, Summary</t>
        </is>
      </c>
      <c r="J35" t="inlineStr">
        <is>
          <t>Header-based mapping required</t>
        </is>
      </c>
    </row>
    <row r="36">
      <c r="A36" t="inlineStr">
        <is>
          <t>Electrical_Estimate</t>
        </is>
      </c>
      <c r="B36" t="inlineStr">
        <is>
          <t>WBS</t>
        </is>
      </c>
      <c r="C36" t="inlineStr">
        <is>
          <t>WBS for elementary cost item</t>
        </is>
      </c>
      <c r="D36" t="inlineStr">
        <is>
          <t>Text/Number</t>
        </is>
      </c>
      <c r="E36" t="inlineStr">
        <is>
          <t>Yes</t>
        </is>
      </c>
      <c r="F36" t="inlineStr">
        <is>
          <t>Input</t>
        </is>
      </c>
      <c r="G36" t="inlineStr">
        <is>
          <t>User / Config</t>
        </is>
      </c>
      <c r="H36" t="inlineStr">
        <is>
          <t>Lists_Config / formula</t>
        </is>
      </c>
      <c r="I36" t="inlineStr">
        <is>
          <t>BuildCostRegister, QA, Summary</t>
        </is>
      </c>
      <c r="J36" t="inlineStr">
        <is>
          <t>Header-based mapping required</t>
        </is>
      </c>
    </row>
    <row r="37">
      <c r="A37" t="inlineStr">
        <is>
          <t>Electrical_Estimate</t>
        </is>
      </c>
      <c r="B37" t="inlineStr">
        <is>
          <t>CBS</t>
        </is>
      </c>
      <c r="C37" t="inlineStr">
        <is>
          <t>CBS for elementary cost item</t>
        </is>
      </c>
      <c r="D37" t="inlineStr">
        <is>
          <t>Text/Number</t>
        </is>
      </c>
      <c r="E37" t="inlineStr">
        <is>
          <t>Yes</t>
        </is>
      </c>
      <c r="F37" t="inlineStr">
        <is>
          <t>Input</t>
        </is>
      </c>
      <c r="G37" t="inlineStr">
        <is>
          <t>User / Config</t>
        </is>
      </c>
      <c r="H37" t="inlineStr">
        <is>
          <t>Lists_Config / formula</t>
        </is>
      </c>
      <c r="I37" t="inlineStr">
        <is>
          <t>BuildCostRegister, QA, Summary</t>
        </is>
      </c>
      <c r="J37" t="inlineStr">
        <is>
          <t>Header-based mapping required</t>
        </is>
      </c>
    </row>
    <row r="38">
      <c r="A38" t="inlineStr">
        <is>
          <t>Electrical_Estimate</t>
        </is>
      </c>
      <c r="B38" t="inlineStr">
        <is>
          <t>Cost Category</t>
        </is>
      </c>
      <c r="C38" t="inlineStr">
        <is>
          <t>Cost Category for elementary cost item</t>
        </is>
      </c>
      <c r="D38" t="inlineStr">
        <is>
          <t>Text/Number</t>
        </is>
      </c>
      <c r="E38" t="inlineStr">
        <is>
          <t>Yes</t>
        </is>
      </c>
      <c r="F38" t="inlineStr">
        <is>
          <t>Input</t>
        </is>
      </c>
      <c r="G38" t="inlineStr">
        <is>
          <t>User / Config</t>
        </is>
      </c>
      <c r="H38" t="inlineStr">
        <is>
          <t>Lists_Config / formula</t>
        </is>
      </c>
      <c r="I38" t="inlineStr">
        <is>
          <t>BuildCostRegister, QA, Summary</t>
        </is>
      </c>
      <c r="J38" t="inlineStr">
        <is>
          <t>Header-based mapping required</t>
        </is>
      </c>
    </row>
    <row r="39">
      <c r="A39" t="inlineStr">
        <is>
          <t>Electrical_Estimate</t>
        </is>
      </c>
      <c r="B39" t="inlineStr">
        <is>
          <t>Cost Type</t>
        </is>
      </c>
      <c r="C39" t="inlineStr">
        <is>
          <t>Cost Type for elementary cost item</t>
        </is>
      </c>
      <c r="D39" t="inlineStr">
        <is>
          <t>Text/Number</t>
        </is>
      </c>
      <c r="E39" t="inlineStr">
        <is>
          <t>Yes</t>
        </is>
      </c>
      <c r="F39" t="inlineStr">
        <is>
          <t>Input</t>
        </is>
      </c>
      <c r="G39" t="inlineStr">
        <is>
          <t>User / Config</t>
        </is>
      </c>
      <c r="H39" t="inlineStr">
        <is>
          <t>Lists_Config / formula</t>
        </is>
      </c>
      <c r="I39" t="inlineStr">
        <is>
          <t>BuildCostRegister, QA, Summary</t>
        </is>
      </c>
      <c r="J39" t="inlineStr">
        <is>
          <t>Header-based mapping required</t>
        </is>
      </c>
    </row>
    <row r="40">
      <c r="A40" t="inlineStr">
        <is>
          <t>Electrical_Estimate</t>
        </is>
      </c>
      <c r="B40" t="inlineStr">
        <is>
          <t>Quantity</t>
        </is>
      </c>
      <c r="C40" t="inlineStr">
        <is>
          <t>Quantity for elementary cost item</t>
        </is>
      </c>
      <c r="D40" t="inlineStr">
        <is>
          <t>Text/Number</t>
        </is>
      </c>
      <c r="E40" t="inlineStr">
        <is>
          <t>Yes</t>
        </is>
      </c>
      <c r="F40" t="inlineStr">
        <is>
          <t>Input</t>
        </is>
      </c>
      <c r="G40" t="inlineStr">
        <is>
          <t>User / Config</t>
        </is>
      </c>
      <c r="H40" t="inlineStr">
        <is>
          <t>Lists_Config / formula</t>
        </is>
      </c>
      <c r="I40" t="inlineStr">
        <is>
          <t>BuildCostRegister, QA, Summary</t>
        </is>
      </c>
      <c r="J40" t="inlineStr">
        <is>
          <t>Header-based mapping required</t>
        </is>
      </c>
    </row>
    <row r="41">
      <c r="A41" t="inlineStr">
        <is>
          <t>Electrical_Estimate</t>
        </is>
      </c>
      <c r="B41" t="inlineStr">
        <is>
          <t>Unit</t>
        </is>
      </c>
      <c r="C41" t="inlineStr">
        <is>
          <t>Unit for elementary cost item</t>
        </is>
      </c>
      <c r="D41" t="inlineStr">
        <is>
          <t>Text/Number</t>
        </is>
      </c>
      <c r="E41" t="inlineStr">
        <is>
          <t>Yes</t>
        </is>
      </c>
      <c r="F41" t="inlineStr">
        <is>
          <t>Input</t>
        </is>
      </c>
      <c r="G41" t="inlineStr">
        <is>
          <t>User / Config</t>
        </is>
      </c>
      <c r="H41" t="inlineStr">
        <is>
          <t>Lists_Config / formula</t>
        </is>
      </c>
      <c r="I41" t="inlineStr">
        <is>
          <t>BuildCostRegister, QA, Summary</t>
        </is>
      </c>
      <c r="J41" t="inlineStr">
        <is>
          <t>Header-based mapping required</t>
        </is>
      </c>
    </row>
    <row r="42">
      <c r="A42" t="inlineStr">
        <is>
          <t>Electrical_Estimate</t>
        </is>
      </c>
      <c r="B42" t="inlineStr">
        <is>
          <t>Unit Rate</t>
        </is>
      </c>
      <c r="C42" t="inlineStr">
        <is>
          <t>Unit Rate for elementary cost item</t>
        </is>
      </c>
      <c r="D42" t="inlineStr">
        <is>
          <t>Text/Number</t>
        </is>
      </c>
      <c r="E42" t="inlineStr">
        <is>
          <t>Yes</t>
        </is>
      </c>
      <c r="F42" t="inlineStr">
        <is>
          <t>Input</t>
        </is>
      </c>
      <c r="G42" t="inlineStr">
        <is>
          <t>User / Config</t>
        </is>
      </c>
      <c r="H42" t="inlineStr">
        <is>
          <t>Lists_Config / formula</t>
        </is>
      </c>
      <c r="I42" t="inlineStr">
        <is>
          <t>BuildCostRegister, QA, Summary</t>
        </is>
      </c>
      <c r="J42" t="inlineStr">
        <is>
          <t>Header-based mapping required</t>
        </is>
      </c>
    </row>
    <row r="43">
      <c r="A43" t="inlineStr">
        <is>
          <t>Electrical_Estimate</t>
        </is>
      </c>
      <c r="B43" t="inlineStr">
        <is>
          <t>Currency</t>
        </is>
      </c>
      <c r="C43" t="inlineStr">
        <is>
          <t>Currency for elementary cost item</t>
        </is>
      </c>
      <c r="D43" t="inlineStr">
        <is>
          <t>Text/Number</t>
        </is>
      </c>
      <c r="E43" t="inlineStr">
        <is>
          <t>Yes</t>
        </is>
      </c>
      <c r="F43" t="inlineStr">
        <is>
          <t>Input</t>
        </is>
      </c>
      <c r="G43" t="inlineStr">
        <is>
          <t>User / Config</t>
        </is>
      </c>
      <c r="H43" t="inlineStr">
        <is>
          <t>Lists_Config / formula</t>
        </is>
      </c>
      <c r="I43" t="inlineStr">
        <is>
          <t>BuildCostRegister, QA, Summary</t>
        </is>
      </c>
      <c r="J43" t="inlineStr">
        <is>
          <t>Header-based mapping required</t>
        </is>
      </c>
    </row>
    <row r="44">
      <c r="A44" t="inlineStr">
        <is>
          <t>Electrical_Estimate</t>
        </is>
      </c>
      <c r="B44" t="inlineStr">
        <is>
          <t>FX Rate</t>
        </is>
      </c>
      <c r="C44" t="inlineStr">
        <is>
          <t>FX Rate for elementary cost item</t>
        </is>
      </c>
      <c r="D44" t="inlineStr">
        <is>
          <t>Text/Number</t>
        </is>
      </c>
      <c r="E44" t="inlineStr">
        <is>
          <t>Yes</t>
        </is>
      </c>
      <c r="F44" t="inlineStr">
        <is>
          <t>Formula</t>
        </is>
      </c>
      <c r="G44" t="inlineStr">
        <is>
          <t>User / Config</t>
        </is>
      </c>
      <c r="H44" t="inlineStr">
        <is>
          <t>Lists_Config / formula</t>
        </is>
      </c>
      <c r="I44" t="inlineStr">
        <is>
          <t>BuildCostRegister, QA, Summary</t>
        </is>
      </c>
      <c r="J44" t="inlineStr">
        <is>
          <t>Header-based mapping required</t>
        </is>
      </c>
    </row>
    <row r="45">
      <c r="A45" t="inlineStr">
        <is>
          <t>Electrical_Estimate</t>
        </is>
      </c>
      <c r="B45" t="inlineStr">
        <is>
          <t>Base Cost</t>
        </is>
      </c>
      <c r="C45" t="inlineStr">
        <is>
          <t>Base Cost for elementary cost item</t>
        </is>
      </c>
      <c r="D45" t="inlineStr">
        <is>
          <t>Text/Number</t>
        </is>
      </c>
      <c r="E45" t="inlineStr">
        <is>
          <t>Yes</t>
        </is>
      </c>
      <c r="F45" t="inlineStr">
        <is>
          <t>Formula</t>
        </is>
      </c>
      <c r="G45" t="inlineStr">
        <is>
          <t>User / Config</t>
        </is>
      </c>
      <c r="H45" t="inlineStr">
        <is>
          <t>Lists_Config / formula</t>
        </is>
      </c>
      <c r="I45" t="inlineStr">
        <is>
          <t>BuildCostRegister, QA, Summary</t>
        </is>
      </c>
      <c r="J45" t="inlineStr">
        <is>
          <t>Header-based mapping required</t>
        </is>
      </c>
    </row>
    <row r="46">
      <c r="A46" t="inlineStr">
        <is>
          <t>Electrical_Estimate</t>
        </is>
      </c>
      <c r="B46" t="inlineStr">
        <is>
          <t>Base Cost EUR</t>
        </is>
      </c>
      <c r="C46" t="inlineStr">
        <is>
          <t>Base Cost EUR for elementary cost item</t>
        </is>
      </c>
      <c r="D46" t="inlineStr">
        <is>
          <t>Text/Number</t>
        </is>
      </c>
      <c r="E46" t="inlineStr">
        <is>
          <t>Yes</t>
        </is>
      </c>
      <c r="F46" t="inlineStr">
        <is>
          <t>Formula</t>
        </is>
      </c>
      <c r="G46" t="inlineStr">
        <is>
          <t>User / Config</t>
        </is>
      </c>
      <c r="H46" t="inlineStr">
        <is>
          <t>Lists_Config / formula</t>
        </is>
      </c>
      <c r="I46" t="inlineStr">
        <is>
          <t>BuildCostRegister, QA, Summary</t>
        </is>
      </c>
      <c r="J46" t="inlineStr">
        <is>
          <t>Header-based mapping required</t>
        </is>
      </c>
    </row>
    <row r="47">
      <c r="A47" t="inlineStr">
        <is>
          <t>Electrical_Estimate</t>
        </is>
      </c>
      <c r="B47" t="inlineStr">
        <is>
          <t>Estimate Basis</t>
        </is>
      </c>
      <c r="C47" t="inlineStr">
        <is>
          <t>Estimate Basis for elementary cost item</t>
        </is>
      </c>
      <c r="D47" t="inlineStr">
        <is>
          <t>Text/Number</t>
        </is>
      </c>
      <c r="E47" t="inlineStr">
        <is>
          <t>Yes</t>
        </is>
      </c>
      <c r="F47" t="inlineStr">
        <is>
          <t>Input</t>
        </is>
      </c>
      <c r="G47" t="inlineStr">
        <is>
          <t>User / Config</t>
        </is>
      </c>
      <c r="H47" t="inlineStr">
        <is>
          <t>Lists_Config / formula</t>
        </is>
      </c>
      <c r="I47" t="inlineStr">
        <is>
          <t>BuildCostRegister, QA, Summary</t>
        </is>
      </c>
      <c r="J47" t="inlineStr">
        <is>
          <t>Header-based mapping required</t>
        </is>
      </c>
    </row>
    <row r="48">
      <c r="A48" t="inlineStr">
        <is>
          <t>Electrical_Estimate</t>
        </is>
      </c>
      <c r="B48" t="inlineStr">
        <is>
          <t>Accuracy Low %</t>
        </is>
      </c>
      <c r="C48" t="inlineStr">
        <is>
          <t>Accuracy Low % for elementary cost item</t>
        </is>
      </c>
      <c r="D48" t="inlineStr">
        <is>
          <t>Text/Number</t>
        </is>
      </c>
      <c r="E48" t="inlineStr">
        <is>
          <t>Yes</t>
        </is>
      </c>
      <c r="F48" t="inlineStr">
        <is>
          <t>Formula</t>
        </is>
      </c>
      <c r="G48" t="inlineStr">
        <is>
          <t>User / Config</t>
        </is>
      </c>
      <c r="H48" t="inlineStr">
        <is>
          <t>Lists_Config / formula</t>
        </is>
      </c>
      <c r="I48" t="inlineStr">
        <is>
          <t>BuildCostRegister, QA, Summary</t>
        </is>
      </c>
      <c r="J48" t="inlineStr">
        <is>
          <t>Header-based mapping required</t>
        </is>
      </c>
    </row>
    <row r="49">
      <c r="A49" t="inlineStr">
        <is>
          <t>Electrical_Estimate</t>
        </is>
      </c>
      <c r="B49" t="inlineStr">
        <is>
          <t>Accuracy High %</t>
        </is>
      </c>
      <c r="C49" t="inlineStr">
        <is>
          <t>Accuracy High % for elementary cost item</t>
        </is>
      </c>
      <c r="D49" t="inlineStr">
        <is>
          <t>Text/Number</t>
        </is>
      </c>
      <c r="E49" t="inlineStr">
        <is>
          <t>Yes</t>
        </is>
      </c>
      <c r="F49" t="inlineStr">
        <is>
          <t>Formula</t>
        </is>
      </c>
      <c r="G49" t="inlineStr">
        <is>
          <t>User / Config</t>
        </is>
      </c>
      <c r="H49" t="inlineStr">
        <is>
          <t>Lists_Config / formula</t>
        </is>
      </c>
      <c r="I49" t="inlineStr">
        <is>
          <t>BuildCostRegister, QA, Summary</t>
        </is>
      </c>
      <c r="J49" t="inlineStr">
        <is>
          <t>Header-based mapping required</t>
        </is>
      </c>
    </row>
    <row r="50">
      <c r="A50" t="inlineStr">
        <is>
          <t>Electrical_Estimate</t>
        </is>
      </c>
      <c r="B50" t="inlineStr">
        <is>
          <t>Low Cost</t>
        </is>
      </c>
      <c r="C50" t="inlineStr">
        <is>
          <t>Low Cost for elementary cost item</t>
        </is>
      </c>
      <c r="D50" t="inlineStr">
        <is>
          <t>Text/Number</t>
        </is>
      </c>
      <c r="E50" t="inlineStr">
        <is>
          <t>Yes</t>
        </is>
      </c>
      <c r="F50" t="inlineStr">
        <is>
          <t>Formula</t>
        </is>
      </c>
      <c r="G50" t="inlineStr">
        <is>
          <t>User / Config</t>
        </is>
      </c>
      <c r="H50" t="inlineStr">
        <is>
          <t>Lists_Config / formula</t>
        </is>
      </c>
      <c r="I50" t="inlineStr">
        <is>
          <t>BuildCostRegister, QA, Summary</t>
        </is>
      </c>
      <c r="J50" t="inlineStr">
        <is>
          <t>Header-based mapping required</t>
        </is>
      </c>
    </row>
    <row r="51">
      <c r="A51" t="inlineStr">
        <is>
          <t>Electrical_Estimate</t>
        </is>
      </c>
      <c r="B51" t="inlineStr">
        <is>
          <t>Most Likely Cost</t>
        </is>
      </c>
      <c r="C51" t="inlineStr">
        <is>
          <t>Most Likely Cost for elementary cost item</t>
        </is>
      </c>
      <c r="D51" t="inlineStr">
        <is>
          <t>Text/Number</t>
        </is>
      </c>
      <c r="E51" t="inlineStr">
        <is>
          <t>Yes</t>
        </is>
      </c>
      <c r="F51" t="inlineStr">
        <is>
          <t>Formula</t>
        </is>
      </c>
      <c r="G51" t="inlineStr">
        <is>
          <t>User / Config</t>
        </is>
      </c>
      <c r="H51" t="inlineStr">
        <is>
          <t>Lists_Config / formula</t>
        </is>
      </c>
      <c r="I51" t="inlineStr">
        <is>
          <t>BuildCostRegister, QA, Summary</t>
        </is>
      </c>
      <c r="J51" t="inlineStr">
        <is>
          <t>Header-based mapping required</t>
        </is>
      </c>
    </row>
    <row r="52">
      <c r="A52" t="inlineStr">
        <is>
          <t>Electrical_Estimate</t>
        </is>
      </c>
      <c r="B52" t="inlineStr">
        <is>
          <t>High Cost</t>
        </is>
      </c>
      <c r="C52" t="inlineStr">
        <is>
          <t>High Cost for elementary cost item</t>
        </is>
      </c>
      <c r="D52" t="inlineStr">
        <is>
          <t>Text/Number</t>
        </is>
      </c>
      <c r="E52" t="inlineStr">
        <is>
          <t>Yes</t>
        </is>
      </c>
      <c r="F52" t="inlineStr">
        <is>
          <t>Formula</t>
        </is>
      </c>
      <c r="G52" t="inlineStr">
        <is>
          <t>User / Config</t>
        </is>
      </c>
      <c r="H52" t="inlineStr">
        <is>
          <t>Lists_Config / formula</t>
        </is>
      </c>
      <c r="I52" t="inlineStr">
        <is>
          <t>BuildCostRegister, QA, Summary</t>
        </is>
      </c>
      <c r="J52" t="inlineStr">
        <is>
          <t>Header-based mapping required</t>
        </is>
      </c>
    </row>
    <row r="53">
      <c r="A53" t="inlineStr">
        <is>
          <t>Electrical_Estimate</t>
        </is>
      </c>
      <c r="B53" t="inlineStr">
        <is>
          <t>Contingency Eligible</t>
        </is>
      </c>
      <c r="C53" t="inlineStr">
        <is>
          <t>Contingency Eligible for elementary cost item</t>
        </is>
      </c>
      <c r="D53" t="inlineStr">
        <is>
          <t>Text/Number</t>
        </is>
      </c>
      <c r="E53" t="inlineStr">
        <is>
          <t>Yes</t>
        </is>
      </c>
      <c r="F53" t="inlineStr">
        <is>
          <t>Input</t>
        </is>
      </c>
      <c r="G53" t="inlineStr">
        <is>
          <t>User / Config</t>
        </is>
      </c>
      <c r="H53" t="inlineStr">
        <is>
          <t>Lists_Config / formula</t>
        </is>
      </c>
      <c r="I53" t="inlineStr">
        <is>
          <t>BuildCostRegister, QA, Summary</t>
        </is>
      </c>
      <c r="J53" t="inlineStr">
        <is>
          <t>Header-based mapping required</t>
        </is>
      </c>
    </row>
    <row r="54">
      <c r="A54" t="inlineStr">
        <is>
          <t>Electrical_Estimate</t>
        </is>
      </c>
      <c r="B54" t="inlineStr">
        <is>
          <t>Escalation Eligible</t>
        </is>
      </c>
      <c r="C54" t="inlineStr">
        <is>
          <t>Escalation Eligible for elementary cost item</t>
        </is>
      </c>
      <c r="D54" t="inlineStr">
        <is>
          <t>Text/Number</t>
        </is>
      </c>
      <c r="E54" t="inlineStr">
        <is>
          <t>Yes</t>
        </is>
      </c>
      <c r="F54" t="inlineStr">
        <is>
          <t>Input</t>
        </is>
      </c>
      <c r="G54" t="inlineStr">
        <is>
          <t>User / Config</t>
        </is>
      </c>
      <c r="H54" t="inlineStr">
        <is>
          <t>Lists_Config / formula</t>
        </is>
      </c>
      <c r="I54" t="inlineStr">
        <is>
          <t>BuildCostRegister, QA, Summary</t>
        </is>
      </c>
      <c r="J54" t="inlineStr">
        <is>
          <t>Header-based mapping required</t>
        </is>
      </c>
    </row>
    <row r="55">
      <c r="A55" t="inlineStr">
        <is>
          <t>Electrical_Estimate</t>
        </is>
      </c>
      <c r="B55" t="inlineStr">
        <is>
          <t>Spend Category</t>
        </is>
      </c>
      <c r="C55" t="inlineStr">
        <is>
          <t>Spend Category for elementary cost item</t>
        </is>
      </c>
      <c r="D55" t="inlineStr">
        <is>
          <t>Text/Number</t>
        </is>
      </c>
      <c r="E55" t="inlineStr">
        <is>
          <t>Yes</t>
        </is>
      </c>
      <c r="F55" t="inlineStr">
        <is>
          <t>Input</t>
        </is>
      </c>
      <c r="G55" t="inlineStr">
        <is>
          <t>User / Config</t>
        </is>
      </c>
      <c r="H55" t="inlineStr">
        <is>
          <t>Lists_Config / formula</t>
        </is>
      </c>
      <c r="I55" t="inlineStr">
        <is>
          <t>BuildCostRegister, QA, Summary</t>
        </is>
      </c>
      <c r="J55" t="inlineStr">
        <is>
          <t>Header-based mapping required</t>
        </is>
      </c>
    </row>
    <row r="56">
      <c r="A56" t="inlineStr">
        <is>
          <t>Electrical_Estimate</t>
        </is>
      </c>
      <c r="B56" t="inlineStr">
        <is>
          <t>Phase</t>
        </is>
      </c>
      <c r="C56" t="inlineStr">
        <is>
          <t>Phase for elementary cost item</t>
        </is>
      </c>
      <c r="D56" t="inlineStr">
        <is>
          <t>Text/Number</t>
        </is>
      </c>
      <c r="E56" t="inlineStr">
        <is>
          <t>Yes</t>
        </is>
      </c>
      <c r="F56" t="inlineStr">
        <is>
          <t>Input</t>
        </is>
      </c>
      <c r="G56" t="inlineStr">
        <is>
          <t>User / Config</t>
        </is>
      </c>
      <c r="H56" t="inlineStr">
        <is>
          <t>Lists_Config / formula</t>
        </is>
      </c>
      <c r="I56" t="inlineStr">
        <is>
          <t>BuildCostRegister, QA, Summary</t>
        </is>
      </c>
      <c r="J56" t="inlineStr">
        <is>
          <t>Header-based mapping required</t>
        </is>
      </c>
    </row>
    <row r="57">
      <c r="A57" t="inlineStr">
        <is>
          <t>Electrical_Estimate</t>
        </is>
      </c>
      <c r="B57" t="inlineStr">
        <is>
          <t>Start Month</t>
        </is>
      </c>
      <c r="C57" t="inlineStr">
        <is>
          <t>Start Month for elementary cost item</t>
        </is>
      </c>
      <c r="D57" t="inlineStr">
        <is>
          <t>Text/Number</t>
        </is>
      </c>
      <c r="E57" t="inlineStr">
        <is>
          <t>Yes</t>
        </is>
      </c>
      <c r="F57" t="inlineStr">
        <is>
          <t>Input</t>
        </is>
      </c>
      <c r="G57" t="inlineStr">
        <is>
          <t>User / Config</t>
        </is>
      </c>
      <c r="H57" t="inlineStr">
        <is>
          <t>Lists_Config / formula</t>
        </is>
      </c>
      <c r="I57" t="inlineStr">
        <is>
          <t>BuildCostRegister, QA, Summary</t>
        </is>
      </c>
      <c r="J57" t="inlineStr">
        <is>
          <t>Header-based mapping required</t>
        </is>
      </c>
    </row>
    <row r="58">
      <c r="A58" t="inlineStr">
        <is>
          <t>Electrical_Estimate</t>
        </is>
      </c>
      <c r="B58" t="inlineStr">
        <is>
          <t>End Month</t>
        </is>
      </c>
      <c r="C58" t="inlineStr">
        <is>
          <t>End Month for elementary cost item</t>
        </is>
      </c>
      <c r="D58" t="inlineStr">
        <is>
          <t>Text/Number</t>
        </is>
      </c>
      <c r="E58" t="inlineStr">
        <is>
          <t>Yes</t>
        </is>
      </c>
      <c r="F58" t="inlineStr">
        <is>
          <t>Input</t>
        </is>
      </c>
      <c r="G58" t="inlineStr">
        <is>
          <t>User / Config</t>
        </is>
      </c>
      <c r="H58" t="inlineStr">
        <is>
          <t>Lists_Config / formula</t>
        </is>
      </c>
      <c r="I58" t="inlineStr">
        <is>
          <t>BuildCostRegister, QA, Summary</t>
        </is>
      </c>
      <c r="J58" t="inlineStr">
        <is>
          <t>Header-based mapping required</t>
        </is>
      </c>
    </row>
    <row r="59">
      <c r="A59" t="inlineStr">
        <is>
          <t>Electrical_Estimate</t>
        </is>
      </c>
      <c r="B59" t="inlineStr">
        <is>
          <t>Spend Curve</t>
        </is>
      </c>
      <c r="C59" t="inlineStr">
        <is>
          <t>Spend Curve for elementary cost item</t>
        </is>
      </c>
      <c r="D59" t="inlineStr">
        <is>
          <t>Text/Number</t>
        </is>
      </c>
      <c r="E59" t="inlineStr">
        <is>
          <t>Yes</t>
        </is>
      </c>
      <c r="F59" t="inlineStr">
        <is>
          <t>Input</t>
        </is>
      </c>
      <c r="G59" t="inlineStr">
        <is>
          <t>User / Config</t>
        </is>
      </c>
      <c r="H59" t="inlineStr">
        <is>
          <t>Lists_Config / formula</t>
        </is>
      </c>
      <c r="I59" t="inlineStr">
        <is>
          <t>BuildCostRegister, QA, Summary</t>
        </is>
      </c>
      <c r="J59" t="inlineStr">
        <is>
          <t>Header-based mapping required</t>
        </is>
      </c>
    </row>
    <row r="60">
      <c r="A60" t="inlineStr">
        <is>
          <t>Electrical_Estimate</t>
        </is>
      </c>
      <c r="B60" t="inlineStr">
        <is>
          <t>Notes</t>
        </is>
      </c>
      <c r="C60" t="inlineStr">
        <is>
          <t>Notes for elementary cost item</t>
        </is>
      </c>
      <c r="D60" t="inlineStr">
        <is>
          <t>Text/Number</t>
        </is>
      </c>
      <c r="E60" t="inlineStr">
        <is>
          <t>No</t>
        </is>
      </c>
      <c r="F60" t="inlineStr">
        <is>
          <t>Input</t>
        </is>
      </c>
      <c r="G60" t="inlineStr">
        <is>
          <t>User / Config</t>
        </is>
      </c>
      <c r="H60" t="inlineStr">
        <is>
          <t>Lists_Config / formula</t>
        </is>
      </c>
      <c r="I60" t="inlineStr">
        <is>
          <t>BuildCostRegister, QA, Summary</t>
        </is>
      </c>
      <c r="J60" t="inlineStr">
        <is>
          <t>Header-based mapping required</t>
        </is>
      </c>
    </row>
    <row r="61">
      <c r="A61" t="inlineStr">
        <is>
          <t>Instrumentation_Automation</t>
        </is>
      </c>
      <c r="B61" t="inlineStr">
        <is>
          <t>Item ID</t>
        </is>
      </c>
      <c r="C61" t="inlineStr">
        <is>
          <t>Item ID for elementary cost item</t>
        </is>
      </c>
      <c r="D61" t="inlineStr">
        <is>
          <t>Text/Number</t>
        </is>
      </c>
      <c r="E61" t="inlineStr">
        <is>
          <t>Yes</t>
        </is>
      </c>
      <c r="F61" t="inlineStr">
        <is>
          <t>Input</t>
        </is>
      </c>
      <c r="G61" t="inlineStr">
        <is>
          <t>User / Config</t>
        </is>
      </c>
      <c r="H61" t="inlineStr">
        <is>
          <t>Lists_Config / formula</t>
        </is>
      </c>
      <c r="I61" t="inlineStr">
        <is>
          <t>BuildCostRegister, QA, Summary</t>
        </is>
      </c>
      <c r="J61" t="inlineStr">
        <is>
          <t>Header-based mapping required</t>
        </is>
      </c>
    </row>
    <row r="62">
      <c r="A62" t="inlineStr">
        <is>
          <t>Instrumentation_Automation</t>
        </is>
      </c>
      <c r="B62" t="inlineStr">
        <is>
          <t>Description</t>
        </is>
      </c>
      <c r="C62" t="inlineStr">
        <is>
          <t>Description for elementary cost item</t>
        </is>
      </c>
      <c r="D62" t="inlineStr">
        <is>
          <t>Text/Number</t>
        </is>
      </c>
      <c r="E62" t="inlineStr">
        <is>
          <t>Yes</t>
        </is>
      </c>
      <c r="F62" t="inlineStr">
        <is>
          <t>Input</t>
        </is>
      </c>
      <c r="G62" t="inlineStr">
        <is>
          <t>User / Config</t>
        </is>
      </c>
      <c r="H62" t="inlineStr">
        <is>
          <t>Lists_Config / formula</t>
        </is>
      </c>
      <c r="I62" t="inlineStr">
        <is>
          <t>BuildCostRegister, QA, Summary</t>
        </is>
      </c>
      <c r="J62" t="inlineStr">
        <is>
          <t>Header-based mapping required</t>
        </is>
      </c>
    </row>
    <row r="63">
      <c r="A63" t="inlineStr">
        <is>
          <t>Instrumentation_Automation</t>
        </is>
      </c>
      <c r="B63" t="inlineStr">
        <is>
          <t>Discipline</t>
        </is>
      </c>
      <c r="C63" t="inlineStr">
        <is>
          <t>Discipline for elementary cost item</t>
        </is>
      </c>
      <c r="D63" t="inlineStr">
        <is>
          <t>Text/Number</t>
        </is>
      </c>
      <c r="E63" t="inlineStr">
        <is>
          <t>Yes</t>
        </is>
      </c>
      <c r="F63" t="inlineStr">
        <is>
          <t>Input</t>
        </is>
      </c>
      <c r="G63" t="inlineStr">
        <is>
          <t>User / Config</t>
        </is>
      </c>
      <c r="H63" t="inlineStr">
        <is>
          <t>Lists_Config / formula</t>
        </is>
      </c>
      <c r="I63" t="inlineStr">
        <is>
          <t>BuildCostRegister, QA, Summary</t>
        </is>
      </c>
      <c r="J63" t="inlineStr">
        <is>
          <t>Header-based mapping required</t>
        </is>
      </c>
    </row>
    <row r="64">
      <c r="A64" t="inlineStr">
        <is>
          <t>Instrumentation_Automation</t>
        </is>
      </c>
      <c r="B64" t="inlineStr">
        <is>
          <t>WBS</t>
        </is>
      </c>
      <c r="C64" t="inlineStr">
        <is>
          <t>WBS for elementary cost item</t>
        </is>
      </c>
      <c r="D64" t="inlineStr">
        <is>
          <t>Text/Number</t>
        </is>
      </c>
      <c r="E64" t="inlineStr">
        <is>
          <t>Yes</t>
        </is>
      </c>
      <c r="F64" t="inlineStr">
        <is>
          <t>Input</t>
        </is>
      </c>
      <c r="G64" t="inlineStr">
        <is>
          <t>User / Config</t>
        </is>
      </c>
      <c r="H64" t="inlineStr">
        <is>
          <t>Lists_Config / formula</t>
        </is>
      </c>
      <c r="I64" t="inlineStr">
        <is>
          <t>BuildCostRegister, QA, Summary</t>
        </is>
      </c>
      <c r="J64" t="inlineStr">
        <is>
          <t>Header-based mapping required</t>
        </is>
      </c>
    </row>
    <row r="65">
      <c r="A65" t="inlineStr">
        <is>
          <t>Instrumentation_Automation</t>
        </is>
      </c>
      <c r="B65" t="inlineStr">
        <is>
          <t>CBS</t>
        </is>
      </c>
      <c r="C65" t="inlineStr">
        <is>
          <t>CBS for elementary cost item</t>
        </is>
      </c>
      <c r="D65" t="inlineStr">
        <is>
          <t>Text/Number</t>
        </is>
      </c>
      <c r="E65" t="inlineStr">
        <is>
          <t>Yes</t>
        </is>
      </c>
      <c r="F65" t="inlineStr">
        <is>
          <t>Input</t>
        </is>
      </c>
      <c r="G65" t="inlineStr">
        <is>
          <t>User / Config</t>
        </is>
      </c>
      <c r="H65" t="inlineStr">
        <is>
          <t>Lists_Config / formula</t>
        </is>
      </c>
      <c r="I65" t="inlineStr">
        <is>
          <t>BuildCostRegister, QA, Summary</t>
        </is>
      </c>
      <c r="J65" t="inlineStr">
        <is>
          <t>Header-based mapping required</t>
        </is>
      </c>
    </row>
    <row r="66">
      <c r="A66" t="inlineStr">
        <is>
          <t>Instrumentation_Automation</t>
        </is>
      </c>
      <c r="B66" t="inlineStr">
        <is>
          <t>Cost Category</t>
        </is>
      </c>
      <c r="C66" t="inlineStr">
        <is>
          <t>Cost Category for elementary cost item</t>
        </is>
      </c>
      <c r="D66" t="inlineStr">
        <is>
          <t>Text/Number</t>
        </is>
      </c>
      <c r="E66" t="inlineStr">
        <is>
          <t>Yes</t>
        </is>
      </c>
      <c r="F66" t="inlineStr">
        <is>
          <t>Input</t>
        </is>
      </c>
      <c r="G66" t="inlineStr">
        <is>
          <t>User / Config</t>
        </is>
      </c>
      <c r="H66" t="inlineStr">
        <is>
          <t>Lists_Config / formula</t>
        </is>
      </c>
      <c r="I66" t="inlineStr">
        <is>
          <t>BuildCostRegister, QA, Summary</t>
        </is>
      </c>
      <c r="J66" t="inlineStr">
        <is>
          <t>Header-based mapping required</t>
        </is>
      </c>
    </row>
    <row r="67">
      <c r="A67" t="inlineStr">
        <is>
          <t>Instrumentation_Automation</t>
        </is>
      </c>
      <c r="B67" t="inlineStr">
        <is>
          <t>Cost Type</t>
        </is>
      </c>
      <c r="C67" t="inlineStr">
        <is>
          <t>Cost Type for elementary cost item</t>
        </is>
      </c>
      <c r="D67" t="inlineStr">
        <is>
          <t>Text/Number</t>
        </is>
      </c>
      <c r="E67" t="inlineStr">
        <is>
          <t>Yes</t>
        </is>
      </c>
      <c r="F67" t="inlineStr">
        <is>
          <t>Input</t>
        </is>
      </c>
      <c r="G67" t="inlineStr">
        <is>
          <t>User / Config</t>
        </is>
      </c>
      <c r="H67" t="inlineStr">
        <is>
          <t>Lists_Config / formula</t>
        </is>
      </c>
      <c r="I67" t="inlineStr">
        <is>
          <t>BuildCostRegister, QA, Summary</t>
        </is>
      </c>
      <c r="J67" t="inlineStr">
        <is>
          <t>Header-based mapping required</t>
        </is>
      </c>
    </row>
    <row r="68">
      <c r="A68" t="inlineStr">
        <is>
          <t>Instrumentation_Automation</t>
        </is>
      </c>
      <c r="B68" t="inlineStr">
        <is>
          <t>Quantity</t>
        </is>
      </c>
      <c r="C68" t="inlineStr">
        <is>
          <t>Quantity for elementary cost item</t>
        </is>
      </c>
      <c r="D68" t="inlineStr">
        <is>
          <t>Text/Number</t>
        </is>
      </c>
      <c r="E68" t="inlineStr">
        <is>
          <t>Yes</t>
        </is>
      </c>
      <c r="F68" t="inlineStr">
        <is>
          <t>Input</t>
        </is>
      </c>
      <c r="G68" t="inlineStr">
        <is>
          <t>User / Config</t>
        </is>
      </c>
      <c r="H68" t="inlineStr">
        <is>
          <t>Lists_Config / formula</t>
        </is>
      </c>
      <c r="I68" t="inlineStr">
        <is>
          <t>BuildCostRegister, QA, Summary</t>
        </is>
      </c>
      <c r="J68" t="inlineStr">
        <is>
          <t>Header-based mapping required</t>
        </is>
      </c>
    </row>
    <row r="69">
      <c r="A69" t="inlineStr">
        <is>
          <t>Instrumentation_Automation</t>
        </is>
      </c>
      <c r="B69" t="inlineStr">
        <is>
          <t>Unit</t>
        </is>
      </c>
      <c r="C69" t="inlineStr">
        <is>
          <t>Unit for elementary cost item</t>
        </is>
      </c>
      <c r="D69" t="inlineStr">
        <is>
          <t>Text/Number</t>
        </is>
      </c>
      <c r="E69" t="inlineStr">
        <is>
          <t>Yes</t>
        </is>
      </c>
      <c r="F69" t="inlineStr">
        <is>
          <t>Input</t>
        </is>
      </c>
      <c r="G69" t="inlineStr">
        <is>
          <t>User / Config</t>
        </is>
      </c>
      <c r="H69" t="inlineStr">
        <is>
          <t>Lists_Config / formula</t>
        </is>
      </c>
      <c r="I69" t="inlineStr">
        <is>
          <t>BuildCostRegister, QA, Summary</t>
        </is>
      </c>
      <c r="J69" t="inlineStr">
        <is>
          <t>Header-based mapping required</t>
        </is>
      </c>
    </row>
    <row r="70">
      <c r="A70" t="inlineStr">
        <is>
          <t>Instrumentation_Automation</t>
        </is>
      </c>
      <c r="B70" t="inlineStr">
        <is>
          <t>Unit Rate</t>
        </is>
      </c>
      <c r="C70" t="inlineStr">
        <is>
          <t>Unit Rate for elementary cost item</t>
        </is>
      </c>
      <c r="D70" t="inlineStr">
        <is>
          <t>Text/Number</t>
        </is>
      </c>
      <c r="E70" t="inlineStr">
        <is>
          <t>Yes</t>
        </is>
      </c>
      <c r="F70" t="inlineStr">
        <is>
          <t>Input</t>
        </is>
      </c>
      <c r="G70" t="inlineStr">
        <is>
          <t>User / Config</t>
        </is>
      </c>
      <c r="H70" t="inlineStr">
        <is>
          <t>Lists_Config / formula</t>
        </is>
      </c>
      <c r="I70" t="inlineStr">
        <is>
          <t>BuildCostRegister, QA, Summary</t>
        </is>
      </c>
      <c r="J70" t="inlineStr">
        <is>
          <t>Header-based mapping required</t>
        </is>
      </c>
    </row>
    <row r="71">
      <c r="A71" t="inlineStr">
        <is>
          <t>Instrumentation_Automation</t>
        </is>
      </c>
      <c r="B71" t="inlineStr">
        <is>
          <t>Currency</t>
        </is>
      </c>
      <c r="C71" t="inlineStr">
        <is>
          <t>Currency for elementary cost item</t>
        </is>
      </c>
      <c r="D71" t="inlineStr">
        <is>
          <t>Text/Number</t>
        </is>
      </c>
      <c r="E71" t="inlineStr">
        <is>
          <t>Yes</t>
        </is>
      </c>
      <c r="F71" t="inlineStr">
        <is>
          <t>Input</t>
        </is>
      </c>
      <c r="G71" t="inlineStr">
        <is>
          <t>User / Config</t>
        </is>
      </c>
      <c r="H71" t="inlineStr">
        <is>
          <t>Lists_Config / formula</t>
        </is>
      </c>
      <c r="I71" t="inlineStr">
        <is>
          <t>BuildCostRegister, QA, Summary</t>
        </is>
      </c>
      <c r="J71" t="inlineStr">
        <is>
          <t>Header-based mapping required</t>
        </is>
      </c>
    </row>
    <row r="72">
      <c r="A72" t="inlineStr">
        <is>
          <t>Instrumentation_Automation</t>
        </is>
      </c>
      <c r="B72" t="inlineStr">
        <is>
          <t>FX Rate</t>
        </is>
      </c>
      <c r="C72" t="inlineStr">
        <is>
          <t>FX Rate for elementary cost item</t>
        </is>
      </c>
      <c r="D72" t="inlineStr">
        <is>
          <t>Text/Number</t>
        </is>
      </c>
      <c r="E72" t="inlineStr">
        <is>
          <t>Yes</t>
        </is>
      </c>
      <c r="F72" t="inlineStr">
        <is>
          <t>Formula</t>
        </is>
      </c>
      <c r="G72" t="inlineStr">
        <is>
          <t>User / Config</t>
        </is>
      </c>
      <c r="H72" t="inlineStr">
        <is>
          <t>Lists_Config / formula</t>
        </is>
      </c>
      <c r="I72" t="inlineStr">
        <is>
          <t>BuildCostRegister, QA, Summary</t>
        </is>
      </c>
      <c r="J72" t="inlineStr">
        <is>
          <t>Header-based mapping required</t>
        </is>
      </c>
    </row>
    <row r="73">
      <c r="A73" t="inlineStr">
        <is>
          <t>Instrumentation_Automation</t>
        </is>
      </c>
      <c r="B73" t="inlineStr">
        <is>
          <t>Base Cost</t>
        </is>
      </c>
      <c r="C73" t="inlineStr">
        <is>
          <t>Base Cost for elementary cost item</t>
        </is>
      </c>
      <c r="D73" t="inlineStr">
        <is>
          <t>Text/Number</t>
        </is>
      </c>
      <c r="E73" t="inlineStr">
        <is>
          <t>Yes</t>
        </is>
      </c>
      <c r="F73" t="inlineStr">
        <is>
          <t>Formula</t>
        </is>
      </c>
      <c r="G73" t="inlineStr">
        <is>
          <t>User / Config</t>
        </is>
      </c>
      <c r="H73" t="inlineStr">
        <is>
          <t>Lists_Config / formula</t>
        </is>
      </c>
      <c r="I73" t="inlineStr">
        <is>
          <t>BuildCostRegister, QA, Summary</t>
        </is>
      </c>
      <c r="J73" t="inlineStr">
        <is>
          <t>Header-based mapping required</t>
        </is>
      </c>
    </row>
    <row r="74">
      <c r="A74" t="inlineStr">
        <is>
          <t>Instrumentation_Automation</t>
        </is>
      </c>
      <c r="B74" t="inlineStr">
        <is>
          <t>Base Cost EUR</t>
        </is>
      </c>
      <c r="C74" t="inlineStr">
        <is>
          <t>Base Cost EUR for elementary cost item</t>
        </is>
      </c>
      <c r="D74" t="inlineStr">
        <is>
          <t>Text/Number</t>
        </is>
      </c>
      <c r="E74" t="inlineStr">
        <is>
          <t>Yes</t>
        </is>
      </c>
      <c r="F74" t="inlineStr">
        <is>
          <t>Formula</t>
        </is>
      </c>
      <c r="G74" t="inlineStr">
        <is>
          <t>User / Config</t>
        </is>
      </c>
      <c r="H74" t="inlineStr">
        <is>
          <t>Lists_Config / formula</t>
        </is>
      </c>
      <c r="I74" t="inlineStr">
        <is>
          <t>BuildCostRegister, QA, Summary</t>
        </is>
      </c>
      <c r="J74" t="inlineStr">
        <is>
          <t>Header-based mapping required</t>
        </is>
      </c>
    </row>
    <row r="75">
      <c r="A75" t="inlineStr">
        <is>
          <t>Instrumentation_Automation</t>
        </is>
      </c>
      <c r="B75" t="inlineStr">
        <is>
          <t>Estimate Basis</t>
        </is>
      </c>
      <c r="C75" t="inlineStr">
        <is>
          <t>Estimate Basis for elementary cost item</t>
        </is>
      </c>
      <c r="D75" t="inlineStr">
        <is>
          <t>Text/Number</t>
        </is>
      </c>
      <c r="E75" t="inlineStr">
        <is>
          <t>Yes</t>
        </is>
      </c>
      <c r="F75" t="inlineStr">
        <is>
          <t>Input</t>
        </is>
      </c>
      <c r="G75" t="inlineStr">
        <is>
          <t>User / Config</t>
        </is>
      </c>
      <c r="H75" t="inlineStr">
        <is>
          <t>Lists_Config / formula</t>
        </is>
      </c>
      <c r="I75" t="inlineStr">
        <is>
          <t>BuildCostRegister, QA, Summary</t>
        </is>
      </c>
      <c r="J75" t="inlineStr">
        <is>
          <t>Header-based mapping required</t>
        </is>
      </c>
    </row>
    <row r="76">
      <c r="A76" t="inlineStr">
        <is>
          <t>Instrumentation_Automation</t>
        </is>
      </c>
      <c r="B76" t="inlineStr">
        <is>
          <t>Accuracy Low %</t>
        </is>
      </c>
      <c r="C76" t="inlineStr">
        <is>
          <t>Accuracy Low % for elementary cost item</t>
        </is>
      </c>
      <c r="D76" t="inlineStr">
        <is>
          <t>Text/Number</t>
        </is>
      </c>
      <c r="E76" t="inlineStr">
        <is>
          <t>Yes</t>
        </is>
      </c>
      <c r="F76" t="inlineStr">
        <is>
          <t>Formula</t>
        </is>
      </c>
      <c r="G76" t="inlineStr">
        <is>
          <t>User / Config</t>
        </is>
      </c>
      <c r="H76" t="inlineStr">
        <is>
          <t>Lists_Config / formula</t>
        </is>
      </c>
      <c r="I76" t="inlineStr">
        <is>
          <t>BuildCostRegister, QA, Summary</t>
        </is>
      </c>
      <c r="J76" t="inlineStr">
        <is>
          <t>Header-based mapping required</t>
        </is>
      </c>
    </row>
    <row r="77">
      <c r="A77" t="inlineStr">
        <is>
          <t>Instrumentation_Automation</t>
        </is>
      </c>
      <c r="B77" t="inlineStr">
        <is>
          <t>Accuracy High %</t>
        </is>
      </c>
      <c r="C77" t="inlineStr">
        <is>
          <t>Accuracy High % for elementary cost item</t>
        </is>
      </c>
      <c r="D77" t="inlineStr">
        <is>
          <t>Text/Number</t>
        </is>
      </c>
      <c r="E77" t="inlineStr">
        <is>
          <t>Yes</t>
        </is>
      </c>
      <c r="F77" t="inlineStr">
        <is>
          <t>Formula</t>
        </is>
      </c>
      <c r="G77" t="inlineStr">
        <is>
          <t>User / Config</t>
        </is>
      </c>
      <c r="H77" t="inlineStr">
        <is>
          <t>Lists_Config / formula</t>
        </is>
      </c>
      <c r="I77" t="inlineStr">
        <is>
          <t>BuildCostRegister, QA, Summary</t>
        </is>
      </c>
      <c r="J77" t="inlineStr">
        <is>
          <t>Header-based mapping required</t>
        </is>
      </c>
    </row>
    <row r="78">
      <c r="A78" t="inlineStr">
        <is>
          <t>Instrumentation_Automation</t>
        </is>
      </c>
      <c r="B78" t="inlineStr">
        <is>
          <t>Low Cost</t>
        </is>
      </c>
      <c r="C78" t="inlineStr">
        <is>
          <t>Low Cost for elementary cost item</t>
        </is>
      </c>
      <c r="D78" t="inlineStr">
        <is>
          <t>Text/Number</t>
        </is>
      </c>
      <c r="E78" t="inlineStr">
        <is>
          <t>Yes</t>
        </is>
      </c>
      <c r="F78" t="inlineStr">
        <is>
          <t>Formula</t>
        </is>
      </c>
      <c r="G78" t="inlineStr">
        <is>
          <t>User / Config</t>
        </is>
      </c>
      <c r="H78" t="inlineStr">
        <is>
          <t>Lists_Config / formula</t>
        </is>
      </c>
      <c r="I78" t="inlineStr">
        <is>
          <t>BuildCostRegister, QA, Summary</t>
        </is>
      </c>
      <c r="J78" t="inlineStr">
        <is>
          <t>Header-based mapping required</t>
        </is>
      </c>
    </row>
    <row r="79">
      <c r="A79" t="inlineStr">
        <is>
          <t>Instrumentation_Automation</t>
        </is>
      </c>
      <c r="B79" t="inlineStr">
        <is>
          <t>Most Likely Cost</t>
        </is>
      </c>
      <c r="C79" t="inlineStr">
        <is>
          <t>Most Likely Cost for elementary cost item</t>
        </is>
      </c>
      <c r="D79" t="inlineStr">
        <is>
          <t>Text/Number</t>
        </is>
      </c>
      <c r="E79" t="inlineStr">
        <is>
          <t>Yes</t>
        </is>
      </c>
      <c r="F79" t="inlineStr">
        <is>
          <t>Formula</t>
        </is>
      </c>
      <c r="G79" t="inlineStr">
        <is>
          <t>User / Config</t>
        </is>
      </c>
      <c r="H79" t="inlineStr">
        <is>
          <t>Lists_Config / formula</t>
        </is>
      </c>
      <c r="I79" t="inlineStr">
        <is>
          <t>BuildCostRegister, QA, Summary</t>
        </is>
      </c>
      <c r="J79" t="inlineStr">
        <is>
          <t>Header-based mapping required</t>
        </is>
      </c>
    </row>
    <row r="80">
      <c r="A80" t="inlineStr">
        <is>
          <t>Instrumentation_Automation</t>
        </is>
      </c>
      <c r="B80" t="inlineStr">
        <is>
          <t>High Cost</t>
        </is>
      </c>
      <c r="C80" t="inlineStr">
        <is>
          <t>High Cost for elementary cost item</t>
        </is>
      </c>
      <c r="D80" t="inlineStr">
        <is>
          <t>Text/Number</t>
        </is>
      </c>
      <c r="E80" t="inlineStr">
        <is>
          <t>Yes</t>
        </is>
      </c>
      <c r="F80" t="inlineStr">
        <is>
          <t>Formula</t>
        </is>
      </c>
      <c r="G80" t="inlineStr">
        <is>
          <t>User / Config</t>
        </is>
      </c>
      <c r="H80" t="inlineStr">
        <is>
          <t>Lists_Config / formula</t>
        </is>
      </c>
      <c r="I80" t="inlineStr">
        <is>
          <t>BuildCostRegister, QA, Summary</t>
        </is>
      </c>
      <c r="J80" t="inlineStr">
        <is>
          <t>Header-based mapping required</t>
        </is>
      </c>
    </row>
    <row r="81">
      <c r="A81" t="inlineStr">
        <is>
          <t>Instrumentation_Automation</t>
        </is>
      </c>
      <c r="B81" t="inlineStr">
        <is>
          <t>Contingency Eligible</t>
        </is>
      </c>
      <c r="C81" t="inlineStr">
        <is>
          <t>Contingency Eligible for elementary cost item</t>
        </is>
      </c>
      <c r="D81" t="inlineStr">
        <is>
          <t>Text/Number</t>
        </is>
      </c>
      <c r="E81" t="inlineStr">
        <is>
          <t>Yes</t>
        </is>
      </c>
      <c r="F81" t="inlineStr">
        <is>
          <t>Input</t>
        </is>
      </c>
      <c r="G81" t="inlineStr">
        <is>
          <t>User / Config</t>
        </is>
      </c>
      <c r="H81" t="inlineStr">
        <is>
          <t>Lists_Config / formula</t>
        </is>
      </c>
      <c r="I81" t="inlineStr">
        <is>
          <t>BuildCostRegister, QA, Summary</t>
        </is>
      </c>
      <c r="J81" t="inlineStr">
        <is>
          <t>Header-based mapping required</t>
        </is>
      </c>
    </row>
    <row r="82">
      <c r="A82" t="inlineStr">
        <is>
          <t>Instrumentation_Automation</t>
        </is>
      </c>
      <c r="B82" t="inlineStr">
        <is>
          <t>Escalation Eligible</t>
        </is>
      </c>
      <c r="C82" t="inlineStr">
        <is>
          <t>Escalation Eligible for elementary cost item</t>
        </is>
      </c>
      <c r="D82" t="inlineStr">
        <is>
          <t>Text/Number</t>
        </is>
      </c>
      <c r="E82" t="inlineStr">
        <is>
          <t>Yes</t>
        </is>
      </c>
      <c r="F82" t="inlineStr">
        <is>
          <t>Input</t>
        </is>
      </c>
      <c r="G82" t="inlineStr">
        <is>
          <t>User / Config</t>
        </is>
      </c>
      <c r="H82" t="inlineStr">
        <is>
          <t>Lists_Config / formula</t>
        </is>
      </c>
      <c r="I82" t="inlineStr">
        <is>
          <t>BuildCostRegister, QA, Summary</t>
        </is>
      </c>
      <c r="J82" t="inlineStr">
        <is>
          <t>Header-based mapping required</t>
        </is>
      </c>
    </row>
    <row r="83">
      <c r="A83" t="inlineStr">
        <is>
          <t>Instrumentation_Automation</t>
        </is>
      </c>
      <c r="B83" t="inlineStr">
        <is>
          <t>Spend Category</t>
        </is>
      </c>
      <c r="C83" t="inlineStr">
        <is>
          <t>Spend Category for elementary cost item</t>
        </is>
      </c>
      <c r="D83" t="inlineStr">
        <is>
          <t>Text/Number</t>
        </is>
      </c>
      <c r="E83" t="inlineStr">
        <is>
          <t>Yes</t>
        </is>
      </c>
      <c r="F83" t="inlineStr">
        <is>
          <t>Input</t>
        </is>
      </c>
      <c r="G83" t="inlineStr">
        <is>
          <t>User / Config</t>
        </is>
      </c>
      <c r="H83" t="inlineStr">
        <is>
          <t>Lists_Config / formula</t>
        </is>
      </c>
      <c r="I83" t="inlineStr">
        <is>
          <t>BuildCostRegister, QA, Summary</t>
        </is>
      </c>
      <c r="J83" t="inlineStr">
        <is>
          <t>Header-based mapping required</t>
        </is>
      </c>
    </row>
    <row r="84">
      <c r="A84" t="inlineStr">
        <is>
          <t>Instrumentation_Automation</t>
        </is>
      </c>
      <c r="B84" t="inlineStr">
        <is>
          <t>Phase</t>
        </is>
      </c>
      <c r="C84" t="inlineStr">
        <is>
          <t>Phase for elementary cost item</t>
        </is>
      </c>
      <c r="D84" t="inlineStr">
        <is>
          <t>Text/Number</t>
        </is>
      </c>
      <c r="E84" t="inlineStr">
        <is>
          <t>Yes</t>
        </is>
      </c>
      <c r="F84" t="inlineStr">
        <is>
          <t>Input</t>
        </is>
      </c>
      <c r="G84" t="inlineStr">
        <is>
          <t>User / Config</t>
        </is>
      </c>
      <c r="H84" t="inlineStr">
        <is>
          <t>Lists_Config / formula</t>
        </is>
      </c>
      <c r="I84" t="inlineStr">
        <is>
          <t>BuildCostRegister, QA, Summary</t>
        </is>
      </c>
      <c r="J84" t="inlineStr">
        <is>
          <t>Header-based mapping required</t>
        </is>
      </c>
    </row>
    <row r="85">
      <c r="A85" t="inlineStr">
        <is>
          <t>Instrumentation_Automation</t>
        </is>
      </c>
      <c r="B85" t="inlineStr">
        <is>
          <t>Start Month</t>
        </is>
      </c>
      <c r="C85" t="inlineStr">
        <is>
          <t>Start Month for elementary cost item</t>
        </is>
      </c>
      <c r="D85" t="inlineStr">
        <is>
          <t>Text/Number</t>
        </is>
      </c>
      <c r="E85" t="inlineStr">
        <is>
          <t>Yes</t>
        </is>
      </c>
      <c r="F85" t="inlineStr">
        <is>
          <t>Input</t>
        </is>
      </c>
      <c r="G85" t="inlineStr">
        <is>
          <t>User / Config</t>
        </is>
      </c>
      <c r="H85" t="inlineStr">
        <is>
          <t>Lists_Config / formula</t>
        </is>
      </c>
      <c r="I85" t="inlineStr">
        <is>
          <t>BuildCostRegister, QA, Summary</t>
        </is>
      </c>
      <c r="J85" t="inlineStr">
        <is>
          <t>Header-based mapping required</t>
        </is>
      </c>
    </row>
    <row r="86">
      <c r="A86" t="inlineStr">
        <is>
          <t>Instrumentation_Automation</t>
        </is>
      </c>
      <c r="B86" t="inlineStr">
        <is>
          <t>End Month</t>
        </is>
      </c>
      <c r="C86" t="inlineStr">
        <is>
          <t>End Month for elementary cost item</t>
        </is>
      </c>
      <c r="D86" t="inlineStr">
        <is>
          <t>Text/Number</t>
        </is>
      </c>
      <c r="E86" t="inlineStr">
        <is>
          <t>Yes</t>
        </is>
      </c>
      <c r="F86" t="inlineStr">
        <is>
          <t>Input</t>
        </is>
      </c>
      <c r="G86" t="inlineStr">
        <is>
          <t>User / Config</t>
        </is>
      </c>
      <c r="H86" t="inlineStr">
        <is>
          <t>Lists_Config / formula</t>
        </is>
      </c>
      <c r="I86" t="inlineStr">
        <is>
          <t>BuildCostRegister, QA, Summary</t>
        </is>
      </c>
      <c r="J86" t="inlineStr">
        <is>
          <t>Header-based mapping required</t>
        </is>
      </c>
    </row>
    <row r="87">
      <c r="A87" t="inlineStr">
        <is>
          <t>Instrumentation_Automation</t>
        </is>
      </c>
      <c r="B87" t="inlineStr">
        <is>
          <t>Spend Curve</t>
        </is>
      </c>
      <c r="C87" t="inlineStr">
        <is>
          <t>Spend Curve for elementary cost item</t>
        </is>
      </c>
      <c r="D87" t="inlineStr">
        <is>
          <t>Text/Number</t>
        </is>
      </c>
      <c r="E87" t="inlineStr">
        <is>
          <t>Yes</t>
        </is>
      </c>
      <c r="F87" t="inlineStr">
        <is>
          <t>Input</t>
        </is>
      </c>
      <c r="G87" t="inlineStr">
        <is>
          <t>User / Config</t>
        </is>
      </c>
      <c r="H87" t="inlineStr">
        <is>
          <t>Lists_Config / formula</t>
        </is>
      </c>
      <c r="I87" t="inlineStr">
        <is>
          <t>BuildCostRegister, QA, Summary</t>
        </is>
      </c>
      <c r="J87" t="inlineStr">
        <is>
          <t>Header-based mapping required</t>
        </is>
      </c>
    </row>
    <row r="88">
      <c r="A88" t="inlineStr">
        <is>
          <t>Instrumentation_Automation</t>
        </is>
      </c>
      <c r="B88" t="inlineStr">
        <is>
          <t>Notes</t>
        </is>
      </c>
      <c r="C88" t="inlineStr">
        <is>
          <t>Notes for elementary cost item</t>
        </is>
      </c>
      <c r="D88" t="inlineStr">
        <is>
          <t>Text/Number</t>
        </is>
      </c>
      <c r="E88" t="inlineStr">
        <is>
          <t>No</t>
        </is>
      </c>
      <c r="F88" t="inlineStr">
        <is>
          <t>Input</t>
        </is>
      </c>
      <c r="G88" t="inlineStr">
        <is>
          <t>User / Config</t>
        </is>
      </c>
      <c r="H88" t="inlineStr">
        <is>
          <t>Lists_Config / formula</t>
        </is>
      </c>
      <c r="I88" t="inlineStr">
        <is>
          <t>BuildCostRegister, QA, Summary</t>
        </is>
      </c>
      <c r="J88" t="inlineStr">
        <is>
          <t>Header-based mapping required</t>
        </is>
      </c>
    </row>
    <row r="89">
      <c r="A89" t="inlineStr">
        <is>
          <t>Bulk_Materials_QTO</t>
        </is>
      </c>
      <c r="B89" t="inlineStr">
        <is>
          <t>Item ID</t>
        </is>
      </c>
      <c r="C89" t="inlineStr">
        <is>
          <t>Item ID for elementary cost item</t>
        </is>
      </c>
      <c r="D89" t="inlineStr">
        <is>
          <t>Text/Number</t>
        </is>
      </c>
      <c r="E89" t="inlineStr">
        <is>
          <t>Yes</t>
        </is>
      </c>
      <c r="F89" t="inlineStr">
        <is>
          <t>Input</t>
        </is>
      </c>
      <c r="G89" t="inlineStr">
        <is>
          <t>User / Config</t>
        </is>
      </c>
      <c r="H89" t="inlineStr">
        <is>
          <t>Lists_Config / formula</t>
        </is>
      </c>
      <c r="I89" t="inlineStr">
        <is>
          <t>BuildCostRegister, QA, Summary</t>
        </is>
      </c>
      <c r="J89" t="inlineStr">
        <is>
          <t>Header-based mapping required</t>
        </is>
      </c>
    </row>
    <row r="90">
      <c r="A90" t="inlineStr">
        <is>
          <t>Bulk_Materials_QTO</t>
        </is>
      </c>
      <c r="B90" t="inlineStr">
        <is>
          <t>Description</t>
        </is>
      </c>
      <c r="C90" t="inlineStr">
        <is>
          <t>Description for elementary cost item</t>
        </is>
      </c>
      <c r="D90" t="inlineStr">
        <is>
          <t>Text/Number</t>
        </is>
      </c>
      <c r="E90" t="inlineStr">
        <is>
          <t>Yes</t>
        </is>
      </c>
      <c r="F90" t="inlineStr">
        <is>
          <t>Input</t>
        </is>
      </c>
      <c r="G90" t="inlineStr">
        <is>
          <t>User / Config</t>
        </is>
      </c>
      <c r="H90" t="inlineStr">
        <is>
          <t>Lists_Config / formula</t>
        </is>
      </c>
      <c r="I90" t="inlineStr">
        <is>
          <t>BuildCostRegister, QA, Summary</t>
        </is>
      </c>
      <c r="J90" t="inlineStr">
        <is>
          <t>Header-based mapping required</t>
        </is>
      </c>
    </row>
    <row r="91">
      <c r="A91" t="inlineStr">
        <is>
          <t>Bulk_Materials_QTO</t>
        </is>
      </c>
      <c r="B91" t="inlineStr">
        <is>
          <t>Discipline</t>
        </is>
      </c>
      <c r="C91" t="inlineStr">
        <is>
          <t>Discipline for elementary cost item</t>
        </is>
      </c>
      <c r="D91" t="inlineStr">
        <is>
          <t>Text/Number</t>
        </is>
      </c>
      <c r="E91" t="inlineStr">
        <is>
          <t>Yes</t>
        </is>
      </c>
      <c r="F91" t="inlineStr">
        <is>
          <t>Input</t>
        </is>
      </c>
      <c r="G91" t="inlineStr">
        <is>
          <t>User / Config</t>
        </is>
      </c>
      <c r="H91" t="inlineStr">
        <is>
          <t>Lists_Config / formula</t>
        </is>
      </c>
      <c r="I91" t="inlineStr">
        <is>
          <t>BuildCostRegister, QA, Summary</t>
        </is>
      </c>
      <c r="J91" t="inlineStr">
        <is>
          <t>Header-based mapping required</t>
        </is>
      </c>
    </row>
    <row r="92">
      <c r="A92" t="inlineStr">
        <is>
          <t>Bulk_Materials_QTO</t>
        </is>
      </c>
      <c r="B92" t="inlineStr">
        <is>
          <t>WBS</t>
        </is>
      </c>
      <c r="C92" t="inlineStr">
        <is>
          <t>WBS for elementary cost item</t>
        </is>
      </c>
      <c r="D92" t="inlineStr">
        <is>
          <t>Text/Number</t>
        </is>
      </c>
      <c r="E92" t="inlineStr">
        <is>
          <t>Yes</t>
        </is>
      </c>
      <c r="F92" t="inlineStr">
        <is>
          <t>Input</t>
        </is>
      </c>
      <c r="G92" t="inlineStr">
        <is>
          <t>User / Config</t>
        </is>
      </c>
      <c r="H92" t="inlineStr">
        <is>
          <t>Lists_Config / formula</t>
        </is>
      </c>
      <c r="I92" t="inlineStr">
        <is>
          <t>BuildCostRegister, QA, Summary</t>
        </is>
      </c>
      <c r="J92" t="inlineStr">
        <is>
          <t>Header-based mapping required</t>
        </is>
      </c>
    </row>
    <row r="93">
      <c r="A93" t="inlineStr">
        <is>
          <t>Bulk_Materials_QTO</t>
        </is>
      </c>
      <c r="B93" t="inlineStr">
        <is>
          <t>CBS</t>
        </is>
      </c>
      <c r="C93" t="inlineStr">
        <is>
          <t>CBS for elementary cost item</t>
        </is>
      </c>
      <c r="D93" t="inlineStr">
        <is>
          <t>Text/Number</t>
        </is>
      </c>
      <c r="E93" t="inlineStr">
        <is>
          <t>Yes</t>
        </is>
      </c>
      <c r="F93" t="inlineStr">
        <is>
          <t>Input</t>
        </is>
      </c>
      <c r="G93" t="inlineStr">
        <is>
          <t>User / Config</t>
        </is>
      </c>
      <c r="H93" t="inlineStr">
        <is>
          <t>Lists_Config / formula</t>
        </is>
      </c>
      <c r="I93" t="inlineStr">
        <is>
          <t>BuildCostRegister, QA, Summary</t>
        </is>
      </c>
      <c r="J93" t="inlineStr">
        <is>
          <t>Header-based mapping required</t>
        </is>
      </c>
    </row>
    <row r="94">
      <c r="A94" t="inlineStr">
        <is>
          <t>Bulk_Materials_QTO</t>
        </is>
      </c>
      <c r="B94" t="inlineStr">
        <is>
          <t>Cost Category</t>
        </is>
      </c>
      <c r="C94" t="inlineStr">
        <is>
          <t>Cost Category for elementary cost item</t>
        </is>
      </c>
      <c r="D94" t="inlineStr">
        <is>
          <t>Text/Number</t>
        </is>
      </c>
      <c r="E94" t="inlineStr">
        <is>
          <t>Yes</t>
        </is>
      </c>
      <c r="F94" t="inlineStr">
        <is>
          <t>Input</t>
        </is>
      </c>
      <c r="G94" t="inlineStr">
        <is>
          <t>User / Config</t>
        </is>
      </c>
      <c r="H94" t="inlineStr">
        <is>
          <t>Lists_Config / formula</t>
        </is>
      </c>
      <c r="I94" t="inlineStr">
        <is>
          <t>BuildCostRegister, QA, Summary</t>
        </is>
      </c>
      <c r="J94" t="inlineStr">
        <is>
          <t>Header-based mapping required</t>
        </is>
      </c>
    </row>
    <row r="95">
      <c r="A95" t="inlineStr">
        <is>
          <t>Bulk_Materials_QTO</t>
        </is>
      </c>
      <c r="B95" t="inlineStr">
        <is>
          <t>Cost Type</t>
        </is>
      </c>
      <c r="C95" t="inlineStr">
        <is>
          <t>Cost Type for elementary cost item</t>
        </is>
      </c>
      <c r="D95" t="inlineStr">
        <is>
          <t>Text/Number</t>
        </is>
      </c>
      <c r="E95" t="inlineStr">
        <is>
          <t>Yes</t>
        </is>
      </c>
      <c r="F95" t="inlineStr">
        <is>
          <t>Input</t>
        </is>
      </c>
      <c r="G95" t="inlineStr">
        <is>
          <t>User / Config</t>
        </is>
      </c>
      <c r="H95" t="inlineStr">
        <is>
          <t>Lists_Config / formula</t>
        </is>
      </c>
      <c r="I95" t="inlineStr">
        <is>
          <t>BuildCostRegister, QA, Summary</t>
        </is>
      </c>
      <c r="J95" t="inlineStr">
        <is>
          <t>Header-based mapping required</t>
        </is>
      </c>
    </row>
    <row r="96">
      <c r="A96" t="inlineStr">
        <is>
          <t>Bulk_Materials_QTO</t>
        </is>
      </c>
      <c r="B96" t="inlineStr">
        <is>
          <t>Quantity</t>
        </is>
      </c>
      <c r="C96" t="inlineStr">
        <is>
          <t>Quantity for elementary cost item</t>
        </is>
      </c>
      <c r="D96" t="inlineStr">
        <is>
          <t>Text/Number</t>
        </is>
      </c>
      <c r="E96" t="inlineStr">
        <is>
          <t>Yes</t>
        </is>
      </c>
      <c r="F96" t="inlineStr">
        <is>
          <t>Input</t>
        </is>
      </c>
      <c r="G96" t="inlineStr">
        <is>
          <t>User / Config</t>
        </is>
      </c>
      <c r="H96" t="inlineStr">
        <is>
          <t>Lists_Config / formula</t>
        </is>
      </c>
      <c r="I96" t="inlineStr">
        <is>
          <t>BuildCostRegister, QA, Summary</t>
        </is>
      </c>
      <c r="J96" t="inlineStr">
        <is>
          <t>Header-based mapping required</t>
        </is>
      </c>
    </row>
    <row r="97">
      <c r="A97" t="inlineStr">
        <is>
          <t>Bulk_Materials_QTO</t>
        </is>
      </c>
      <c r="B97" t="inlineStr">
        <is>
          <t>Unit</t>
        </is>
      </c>
      <c r="C97" t="inlineStr">
        <is>
          <t>Unit for elementary cost item</t>
        </is>
      </c>
      <c r="D97" t="inlineStr">
        <is>
          <t>Text/Number</t>
        </is>
      </c>
      <c r="E97" t="inlineStr">
        <is>
          <t>Yes</t>
        </is>
      </c>
      <c r="F97" t="inlineStr">
        <is>
          <t>Input</t>
        </is>
      </c>
      <c r="G97" t="inlineStr">
        <is>
          <t>User / Config</t>
        </is>
      </c>
      <c r="H97" t="inlineStr">
        <is>
          <t>Lists_Config / formula</t>
        </is>
      </c>
      <c r="I97" t="inlineStr">
        <is>
          <t>BuildCostRegister, QA, Summary</t>
        </is>
      </c>
      <c r="J97" t="inlineStr">
        <is>
          <t>Header-based mapping required</t>
        </is>
      </c>
    </row>
    <row r="98">
      <c r="A98" t="inlineStr">
        <is>
          <t>Bulk_Materials_QTO</t>
        </is>
      </c>
      <c r="B98" t="inlineStr">
        <is>
          <t>Unit Rate</t>
        </is>
      </c>
      <c r="C98" t="inlineStr">
        <is>
          <t>Unit Rate for elementary cost item</t>
        </is>
      </c>
      <c r="D98" t="inlineStr">
        <is>
          <t>Text/Number</t>
        </is>
      </c>
      <c r="E98" t="inlineStr">
        <is>
          <t>Yes</t>
        </is>
      </c>
      <c r="F98" t="inlineStr">
        <is>
          <t>Input</t>
        </is>
      </c>
      <c r="G98" t="inlineStr">
        <is>
          <t>User / Config</t>
        </is>
      </c>
      <c r="H98" t="inlineStr">
        <is>
          <t>Lists_Config / formula</t>
        </is>
      </c>
      <c r="I98" t="inlineStr">
        <is>
          <t>BuildCostRegister, QA, Summary</t>
        </is>
      </c>
      <c r="J98" t="inlineStr">
        <is>
          <t>Header-based mapping required</t>
        </is>
      </c>
    </row>
    <row r="99">
      <c r="A99" t="inlineStr">
        <is>
          <t>Bulk_Materials_QTO</t>
        </is>
      </c>
      <c r="B99" t="inlineStr">
        <is>
          <t>Currency</t>
        </is>
      </c>
      <c r="C99" t="inlineStr">
        <is>
          <t>Currency for elementary cost item</t>
        </is>
      </c>
      <c r="D99" t="inlineStr">
        <is>
          <t>Text/Number</t>
        </is>
      </c>
      <c r="E99" t="inlineStr">
        <is>
          <t>Yes</t>
        </is>
      </c>
      <c r="F99" t="inlineStr">
        <is>
          <t>Input</t>
        </is>
      </c>
      <c r="G99" t="inlineStr">
        <is>
          <t>User / Config</t>
        </is>
      </c>
      <c r="H99" t="inlineStr">
        <is>
          <t>Lists_Config / formula</t>
        </is>
      </c>
      <c r="I99" t="inlineStr">
        <is>
          <t>BuildCostRegister, QA, Summary</t>
        </is>
      </c>
      <c r="J99" t="inlineStr">
        <is>
          <t>Header-based mapping required</t>
        </is>
      </c>
    </row>
    <row r="100">
      <c r="A100" t="inlineStr">
        <is>
          <t>Bulk_Materials_QTO</t>
        </is>
      </c>
      <c r="B100" t="inlineStr">
        <is>
          <t>FX Rate</t>
        </is>
      </c>
      <c r="C100" t="inlineStr">
        <is>
          <t>FX Rate for elementary cost item</t>
        </is>
      </c>
      <c r="D100" t="inlineStr">
        <is>
          <t>Text/Number</t>
        </is>
      </c>
      <c r="E100" t="inlineStr">
        <is>
          <t>Yes</t>
        </is>
      </c>
      <c r="F100" t="inlineStr">
        <is>
          <t>Formula</t>
        </is>
      </c>
      <c r="G100" t="inlineStr">
        <is>
          <t>User / Config</t>
        </is>
      </c>
      <c r="H100" t="inlineStr">
        <is>
          <t>Lists_Config / formula</t>
        </is>
      </c>
      <c r="I100" t="inlineStr">
        <is>
          <t>BuildCostRegister, QA, Summary</t>
        </is>
      </c>
      <c r="J100" t="inlineStr">
        <is>
          <t>Header-based mapping required</t>
        </is>
      </c>
    </row>
    <row r="101">
      <c r="A101" t="inlineStr">
        <is>
          <t>Bulk_Materials_QTO</t>
        </is>
      </c>
      <c r="B101" t="inlineStr">
        <is>
          <t>Base Cost</t>
        </is>
      </c>
      <c r="C101" t="inlineStr">
        <is>
          <t>Base Cost for elementary cost item</t>
        </is>
      </c>
      <c r="D101" t="inlineStr">
        <is>
          <t>Text/Number</t>
        </is>
      </c>
      <c r="E101" t="inlineStr">
        <is>
          <t>Yes</t>
        </is>
      </c>
      <c r="F101" t="inlineStr">
        <is>
          <t>Formula</t>
        </is>
      </c>
      <c r="G101" t="inlineStr">
        <is>
          <t>User / Config</t>
        </is>
      </c>
      <c r="H101" t="inlineStr">
        <is>
          <t>Lists_Config / formula</t>
        </is>
      </c>
      <c r="I101" t="inlineStr">
        <is>
          <t>BuildCostRegister, QA, Summary</t>
        </is>
      </c>
      <c r="J101" t="inlineStr">
        <is>
          <t>Header-based mapping required</t>
        </is>
      </c>
    </row>
    <row r="102">
      <c r="A102" t="inlineStr">
        <is>
          <t>Bulk_Materials_QTO</t>
        </is>
      </c>
      <c r="B102" t="inlineStr">
        <is>
          <t>Base Cost EUR</t>
        </is>
      </c>
      <c r="C102" t="inlineStr">
        <is>
          <t>Base Cost EUR for elementary cost item</t>
        </is>
      </c>
      <c r="D102" t="inlineStr">
        <is>
          <t>Text/Number</t>
        </is>
      </c>
      <c r="E102" t="inlineStr">
        <is>
          <t>Yes</t>
        </is>
      </c>
      <c r="F102" t="inlineStr">
        <is>
          <t>Formula</t>
        </is>
      </c>
      <c r="G102" t="inlineStr">
        <is>
          <t>User / Config</t>
        </is>
      </c>
      <c r="H102" t="inlineStr">
        <is>
          <t>Lists_Config / formula</t>
        </is>
      </c>
      <c r="I102" t="inlineStr">
        <is>
          <t>BuildCostRegister, QA, Summary</t>
        </is>
      </c>
      <c r="J102" t="inlineStr">
        <is>
          <t>Header-based mapping required</t>
        </is>
      </c>
    </row>
    <row r="103">
      <c r="A103" t="inlineStr">
        <is>
          <t>Bulk_Materials_QTO</t>
        </is>
      </c>
      <c r="B103" t="inlineStr">
        <is>
          <t>Estimate Basis</t>
        </is>
      </c>
      <c r="C103" t="inlineStr">
        <is>
          <t>Estimate Basis for elementary cost item</t>
        </is>
      </c>
      <c r="D103" t="inlineStr">
        <is>
          <t>Text/Number</t>
        </is>
      </c>
      <c r="E103" t="inlineStr">
        <is>
          <t>Yes</t>
        </is>
      </c>
      <c r="F103" t="inlineStr">
        <is>
          <t>Input</t>
        </is>
      </c>
      <c r="G103" t="inlineStr">
        <is>
          <t>User / Config</t>
        </is>
      </c>
      <c r="H103" t="inlineStr">
        <is>
          <t>Lists_Config / formula</t>
        </is>
      </c>
      <c r="I103" t="inlineStr">
        <is>
          <t>BuildCostRegister, QA, Summary</t>
        </is>
      </c>
      <c r="J103" t="inlineStr">
        <is>
          <t>Header-based mapping required</t>
        </is>
      </c>
    </row>
    <row r="104">
      <c r="A104" t="inlineStr">
        <is>
          <t>Bulk_Materials_QTO</t>
        </is>
      </c>
      <c r="B104" t="inlineStr">
        <is>
          <t>Accuracy Low %</t>
        </is>
      </c>
      <c r="C104" t="inlineStr">
        <is>
          <t>Accuracy Low % for elementary cost item</t>
        </is>
      </c>
      <c r="D104" t="inlineStr">
        <is>
          <t>Text/Number</t>
        </is>
      </c>
      <c r="E104" t="inlineStr">
        <is>
          <t>Yes</t>
        </is>
      </c>
      <c r="F104" t="inlineStr">
        <is>
          <t>Formula</t>
        </is>
      </c>
      <c r="G104" t="inlineStr">
        <is>
          <t>User / Config</t>
        </is>
      </c>
      <c r="H104" t="inlineStr">
        <is>
          <t>Lists_Config / formula</t>
        </is>
      </c>
      <c r="I104" t="inlineStr">
        <is>
          <t>BuildCostRegister, QA, Summary</t>
        </is>
      </c>
      <c r="J104" t="inlineStr">
        <is>
          <t>Header-based mapping required</t>
        </is>
      </c>
    </row>
    <row r="105">
      <c r="A105" t="inlineStr">
        <is>
          <t>Bulk_Materials_QTO</t>
        </is>
      </c>
      <c r="B105" t="inlineStr">
        <is>
          <t>Accuracy High %</t>
        </is>
      </c>
      <c r="C105" t="inlineStr">
        <is>
          <t>Accuracy High % for elementary cost item</t>
        </is>
      </c>
      <c r="D105" t="inlineStr">
        <is>
          <t>Text/Number</t>
        </is>
      </c>
      <c r="E105" t="inlineStr">
        <is>
          <t>Yes</t>
        </is>
      </c>
      <c r="F105" t="inlineStr">
        <is>
          <t>Formula</t>
        </is>
      </c>
      <c r="G105" t="inlineStr">
        <is>
          <t>User / Config</t>
        </is>
      </c>
      <c r="H105" t="inlineStr">
        <is>
          <t>Lists_Config / formula</t>
        </is>
      </c>
      <c r="I105" t="inlineStr">
        <is>
          <t>BuildCostRegister, QA, Summary</t>
        </is>
      </c>
      <c r="J105" t="inlineStr">
        <is>
          <t>Header-based mapping required</t>
        </is>
      </c>
    </row>
    <row r="106">
      <c r="A106" t="inlineStr">
        <is>
          <t>Bulk_Materials_QTO</t>
        </is>
      </c>
      <c r="B106" t="inlineStr">
        <is>
          <t>Low Cost</t>
        </is>
      </c>
      <c r="C106" t="inlineStr">
        <is>
          <t>Low Cost for elementary cost item</t>
        </is>
      </c>
      <c r="D106" t="inlineStr">
        <is>
          <t>Text/Number</t>
        </is>
      </c>
      <c r="E106" t="inlineStr">
        <is>
          <t>Yes</t>
        </is>
      </c>
      <c r="F106" t="inlineStr">
        <is>
          <t>Formula</t>
        </is>
      </c>
      <c r="G106" t="inlineStr">
        <is>
          <t>User / Config</t>
        </is>
      </c>
      <c r="H106" t="inlineStr">
        <is>
          <t>Lists_Config / formula</t>
        </is>
      </c>
      <c r="I106" t="inlineStr">
        <is>
          <t>BuildCostRegister, QA, Summary</t>
        </is>
      </c>
      <c r="J106" t="inlineStr">
        <is>
          <t>Header-based mapping required</t>
        </is>
      </c>
    </row>
    <row r="107">
      <c r="A107" t="inlineStr">
        <is>
          <t>Bulk_Materials_QTO</t>
        </is>
      </c>
      <c r="B107" t="inlineStr">
        <is>
          <t>Most Likely Cost</t>
        </is>
      </c>
      <c r="C107" t="inlineStr">
        <is>
          <t>Most Likely Cost for elementary cost item</t>
        </is>
      </c>
      <c r="D107" t="inlineStr">
        <is>
          <t>Text/Number</t>
        </is>
      </c>
      <c r="E107" t="inlineStr">
        <is>
          <t>Yes</t>
        </is>
      </c>
      <c r="F107" t="inlineStr">
        <is>
          <t>Formula</t>
        </is>
      </c>
      <c r="G107" t="inlineStr">
        <is>
          <t>User / Config</t>
        </is>
      </c>
      <c r="H107" t="inlineStr">
        <is>
          <t>Lists_Config / formula</t>
        </is>
      </c>
      <c r="I107" t="inlineStr">
        <is>
          <t>BuildCostRegister, QA, Summary</t>
        </is>
      </c>
      <c r="J107" t="inlineStr">
        <is>
          <t>Header-based mapping required</t>
        </is>
      </c>
    </row>
    <row r="108">
      <c r="A108" t="inlineStr">
        <is>
          <t>Bulk_Materials_QTO</t>
        </is>
      </c>
      <c r="B108" t="inlineStr">
        <is>
          <t>High Cost</t>
        </is>
      </c>
      <c r="C108" t="inlineStr">
        <is>
          <t>High Cost for elementary cost item</t>
        </is>
      </c>
      <c r="D108" t="inlineStr">
        <is>
          <t>Text/Number</t>
        </is>
      </c>
      <c r="E108" t="inlineStr">
        <is>
          <t>Yes</t>
        </is>
      </c>
      <c r="F108" t="inlineStr">
        <is>
          <t>Formula</t>
        </is>
      </c>
      <c r="G108" t="inlineStr">
        <is>
          <t>User / Config</t>
        </is>
      </c>
      <c r="H108" t="inlineStr">
        <is>
          <t>Lists_Config / formula</t>
        </is>
      </c>
      <c r="I108" t="inlineStr">
        <is>
          <t>BuildCostRegister, QA, Summary</t>
        </is>
      </c>
      <c r="J108" t="inlineStr">
        <is>
          <t>Header-based mapping required</t>
        </is>
      </c>
    </row>
    <row r="109">
      <c r="A109" t="inlineStr">
        <is>
          <t>Bulk_Materials_QTO</t>
        </is>
      </c>
      <c r="B109" t="inlineStr">
        <is>
          <t>Contingency Eligible</t>
        </is>
      </c>
      <c r="C109" t="inlineStr">
        <is>
          <t>Contingency Eligible for elementary cost item</t>
        </is>
      </c>
      <c r="D109" t="inlineStr">
        <is>
          <t>Text/Number</t>
        </is>
      </c>
      <c r="E109" t="inlineStr">
        <is>
          <t>Yes</t>
        </is>
      </c>
      <c r="F109" t="inlineStr">
        <is>
          <t>Input</t>
        </is>
      </c>
      <c r="G109" t="inlineStr">
        <is>
          <t>User / Config</t>
        </is>
      </c>
      <c r="H109" t="inlineStr">
        <is>
          <t>Lists_Config / formula</t>
        </is>
      </c>
      <c r="I109" t="inlineStr">
        <is>
          <t>BuildCostRegister, QA, Summary</t>
        </is>
      </c>
      <c r="J109" t="inlineStr">
        <is>
          <t>Header-based mapping required</t>
        </is>
      </c>
    </row>
    <row r="110">
      <c r="A110" t="inlineStr">
        <is>
          <t>Bulk_Materials_QTO</t>
        </is>
      </c>
      <c r="B110" t="inlineStr">
        <is>
          <t>Escalation Eligible</t>
        </is>
      </c>
      <c r="C110" t="inlineStr">
        <is>
          <t>Escalation Eligible for elementary cost item</t>
        </is>
      </c>
      <c r="D110" t="inlineStr">
        <is>
          <t>Text/Number</t>
        </is>
      </c>
      <c r="E110" t="inlineStr">
        <is>
          <t>Yes</t>
        </is>
      </c>
      <c r="F110" t="inlineStr">
        <is>
          <t>Input</t>
        </is>
      </c>
      <c r="G110" t="inlineStr">
        <is>
          <t>User / Config</t>
        </is>
      </c>
      <c r="H110" t="inlineStr">
        <is>
          <t>Lists_Config / formula</t>
        </is>
      </c>
      <c r="I110" t="inlineStr">
        <is>
          <t>BuildCostRegister, QA, Summary</t>
        </is>
      </c>
      <c r="J110" t="inlineStr">
        <is>
          <t>Header-based mapping required</t>
        </is>
      </c>
    </row>
    <row r="111">
      <c r="A111" t="inlineStr">
        <is>
          <t>Bulk_Materials_QTO</t>
        </is>
      </c>
      <c r="B111" t="inlineStr">
        <is>
          <t>Spend Category</t>
        </is>
      </c>
      <c r="C111" t="inlineStr">
        <is>
          <t>Spend Category for elementary cost item</t>
        </is>
      </c>
      <c r="D111" t="inlineStr">
        <is>
          <t>Text/Number</t>
        </is>
      </c>
      <c r="E111" t="inlineStr">
        <is>
          <t>Yes</t>
        </is>
      </c>
      <c r="F111" t="inlineStr">
        <is>
          <t>Input</t>
        </is>
      </c>
      <c r="G111" t="inlineStr">
        <is>
          <t>User / Config</t>
        </is>
      </c>
      <c r="H111" t="inlineStr">
        <is>
          <t>Lists_Config / formula</t>
        </is>
      </c>
      <c r="I111" t="inlineStr">
        <is>
          <t>BuildCostRegister, QA, Summary</t>
        </is>
      </c>
      <c r="J111" t="inlineStr">
        <is>
          <t>Header-based mapping required</t>
        </is>
      </c>
    </row>
    <row r="112">
      <c r="A112" t="inlineStr">
        <is>
          <t>Bulk_Materials_QTO</t>
        </is>
      </c>
      <c r="B112" t="inlineStr">
        <is>
          <t>Phase</t>
        </is>
      </c>
      <c r="C112" t="inlineStr">
        <is>
          <t>Phase for elementary cost item</t>
        </is>
      </c>
      <c r="D112" t="inlineStr">
        <is>
          <t>Text/Number</t>
        </is>
      </c>
      <c r="E112" t="inlineStr">
        <is>
          <t>Yes</t>
        </is>
      </c>
      <c r="F112" t="inlineStr">
        <is>
          <t>Input</t>
        </is>
      </c>
      <c r="G112" t="inlineStr">
        <is>
          <t>User / Config</t>
        </is>
      </c>
      <c r="H112" t="inlineStr">
        <is>
          <t>Lists_Config / formula</t>
        </is>
      </c>
      <c r="I112" t="inlineStr">
        <is>
          <t>BuildCostRegister, QA, Summary</t>
        </is>
      </c>
      <c r="J112" t="inlineStr">
        <is>
          <t>Header-based mapping required</t>
        </is>
      </c>
    </row>
    <row r="113">
      <c r="A113" t="inlineStr">
        <is>
          <t>Bulk_Materials_QTO</t>
        </is>
      </c>
      <c r="B113" t="inlineStr">
        <is>
          <t>Start Month</t>
        </is>
      </c>
      <c r="C113" t="inlineStr">
        <is>
          <t>Start Month for elementary cost item</t>
        </is>
      </c>
      <c r="D113" t="inlineStr">
        <is>
          <t>Text/Number</t>
        </is>
      </c>
      <c r="E113" t="inlineStr">
        <is>
          <t>Yes</t>
        </is>
      </c>
      <c r="F113" t="inlineStr">
        <is>
          <t>Input</t>
        </is>
      </c>
      <c r="G113" t="inlineStr">
        <is>
          <t>User / Config</t>
        </is>
      </c>
      <c r="H113" t="inlineStr">
        <is>
          <t>Lists_Config / formula</t>
        </is>
      </c>
      <c r="I113" t="inlineStr">
        <is>
          <t>BuildCostRegister, QA, Summary</t>
        </is>
      </c>
      <c r="J113" t="inlineStr">
        <is>
          <t>Header-based mapping required</t>
        </is>
      </c>
    </row>
    <row r="114">
      <c r="A114" t="inlineStr">
        <is>
          <t>Bulk_Materials_QTO</t>
        </is>
      </c>
      <c r="B114" t="inlineStr">
        <is>
          <t>End Month</t>
        </is>
      </c>
      <c r="C114" t="inlineStr">
        <is>
          <t>End Month for elementary cost item</t>
        </is>
      </c>
      <c r="D114" t="inlineStr">
        <is>
          <t>Text/Number</t>
        </is>
      </c>
      <c r="E114" t="inlineStr">
        <is>
          <t>Yes</t>
        </is>
      </c>
      <c r="F114" t="inlineStr">
        <is>
          <t>Input</t>
        </is>
      </c>
      <c r="G114" t="inlineStr">
        <is>
          <t>User / Config</t>
        </is>
      </c>
      <c r="H114" t="inlineStr">
        <is>
          <t>Lists_Config / formula</t>
        </is>
      </c>
      <c r="I114" t="inlineStr">
        <is>
          <t>BuildCostRegister, QA, Summary</t>
        </is>
      </c>
      <c r="J114" t="inlineStr">
        <is>
          <t>Header-based mapping required</t>
        </is>
      </c>
    </row>
    <row r="115">
      <c r="A115" t="inlineStr">
        <is>
          <t>Bulk_Materials_QTO</t>
        </is>
      </c>
      <c r="B115" t="inlineStr">
        <is>
          <t>Spend Curve</t>
        </is>
      </c>
      <c r="C115" t="inlineStr">
        <is>
          <t>Spend Curve for elementary cost item</t>
        </is>
      </c>
      <c r="D115" t="inlineStr">
        <is>
          <t>Text/Number</t>
        </is>
      </c>
      <c r="E115" t="inlineStr">
        <is>
          <t>Yes</t>
        </is>
      </c>
      <c r="F115" t="inlineStr">
        <is>
          <t>Input</t>
        </is>
      </c>
      <c r="G115" t="inlineStr">
        <is>
          <t>User / Config</t>
        </is>
      </c>
      <c r="H115" t="inlineStr">
        <is>
          <t>Lists_Config / formula</t>
        </is>
      </c>
      <c r="I115" t="inlineStr">
        <is>
          <t>BuildCostRegister, QA, Summary</t>
        </is>
      </c>
      <c r="J115" t="inlineStr">
        <is>
          <t>Header-based mapping required</t>
        </is>
      </c>
    </row>
    <row r="116">
      <c r="A116" t="inlineStr">
        <is>
          <t>Bulk_Materials_QTO</t>
        </is>
      </c>
      <c r="B116" t="inlineStr">
        <is>
          <t>Notes</t>
        </is>
      </c>
      <c r="C116" t="inlineStr">
        <is>
          <t>Notes for elementary cost item</t>
        </is>
      </c>
      <c r="D116" t="inlineStr">
        <is>
          <t>Text/Number</t>
        </is>
      </c>
      <c r="E116" t="inlineStr">
        <is>
          <t>No</t>
        </is>
      </c>
      <c r="F116" t="inlineStr">
        <is>
          <t>Input</t>
        </is>
      </c>
      <c r="G116" t="inlineStr">
        <is>
          <t>User / Config</t>
        </is>
      </c>
      <c r="H116" t="inlineStr">
        <is>
          <t>Lists_Config / formula</t>
        </is>
      </c>
      <c r="I116" t="inlineStr">
        <is>
          <t>BuildCostRegister, QA, Summary</t>
        </is>
      </c>
      <c r="J116" t="inlineStr">
        <is>
          <t>Header-based mapping required</t>
        </is>
      </c>
    </row>
    <row r="117">
      <c r="A117" t="inlineStr">
        <is>
          <t>Construction_Estimate</t>
        </is>
      </c>
      <c r="B117" t="inlineStr">
        <is>
          <t>Item ID</t>
        </is>
      </c>
      <c r="C117" t="inlineStr">
        <is>
          <t>Item ID for elementary cost item</t>
        </is>
      </c>
      <c r="D117" t="inlineStr">
        <is>
          <t>Text/Number</t>
        </is>
      </c>
      <c r="E117" t="inlineStr">
        <is>
          <t>Yes</t>
        </is>
      </c>
      <c r="F117" t="inlineStr">
        <is>
          <t>Input</t>
        </is>
      </c>
      <c r="G117" t="inlineStr">
        <is>
          <t>User / Config</t>
        </is>
      </c>
      <c r="H117" t="inlineStr">
        <is>
          <t>Lists_Config / formula</t>
        </is>
      </c>
      <c r="I117" t="inlineStr">
        <is>
          <t>BuildCostRegister, QA, Summary</t>
        </is>
      </c>
      <c r="J117" t="inlineStr">
        <is>
          <t>Header-based mapping required</t>
        </is>
      </c>
    </row>
    <row r="118">
      <c r="A118" t="inlineStr">
        <is>
          <t>Construction_Estimate</t>
        </is>
      </c>
      <c r="B118" t="inlineStr">
        <is>
          <t>Description</t>
        </is>
      </c>
      <c r="C118" t="inlineStr">
        <is>
          <t>Description for elementary cost item</t>
        </is>
      </c>
      <c r="D118" t="inlineStr">
        <is>
          <t>Text/Number</t>
        </is>
      </c>
      <c r="E118" t="inlineStr">
        <is>
          <t>Yes</t>
        </is>
      </c>
      <c r="F118" t="inlineStr">
        <is>
          <t>Input</t>
        </is>
      </c>
      <c r="G118" t="inlineStr">
        <is>
          <t>User / Config</t>
        </is>
      </c>
      <c r="H118" t="inlineStr">
        <is>
          <t>Lists_Config / formula</t>
        </is>
      </c>
      <c r="I118" t="inlineStr">
        <is>
          <t>BuildCostRegister, QA, Summary</t>
        </is>
      </c>
      <c r="J118" t="inlineStr">
        <is>
          <t>Header-based mapping required</t>
        </is>
      </c>
    </row>
    <row r="119">
      <c r="A119" t="inlineStr">
        <is>
          <t>Construction_Estimate</t>
        </is>
      </c>
      <c r="B119" t="inlineStr">
        <is>
          <t>Discipline</t>
        </is>
      </c>
      <c r="C119" t="inlineStr">
        <is>
          <t>Discipline for elementary cost item</t>
        </is>
      </c>
      <c r="D119" t="inlineStr">
        <is>
          <t>Text/Number</t>
        </is>
      </c>
      <c r="E119" t="inlineStr">
        <is>
          <t>Yes</t>
        </is>
      </c>
      <c r="F119" t="inlineStr">
        <is>
          <t>Input</t>
        </is>
      </c>
      <c r="G119" t="inlineStr">
        <is>
          <t>User / Config</t>
        </is>
      </c>
      <c r="H119" t="inlineStr">
        <is>
          <t>Lists_Config / formula</t>
        </is>
      </c>
      <c r="I119" t="inlineStr">
        <is>
          <t>BuildCostRegister, QA, Summary</t>
        </is>
      </c>
      <c r="J119" t="inlineStr">
        <is>
          <t>Header-based mapping required</t>
        </is>
      </c>
    </row>
    <row r="120">
      <c r="A120" t="inlineStr">
        <is>
          <t>Construction_Estimate</t>
        </is>
      </c>
      <c r="B120" t="inlineStr">
        <is>
          <t>WBS</t>
        </is>
      </c>
      <c r="C120" t="inlineStr">
        <is>
          <t>WBS for elementary cost item</t>
        </is>
      </c>
      <c r="D120" t="inlineStr">
        <is>
          <t>Text/Number</t>
        </is>
      </c>
      <c r="E120" t="inlineStr">
        <is>
          <t>Yes</t>
        </is>
      </c>
      <c r="F120" t="inlineStr">
        <is>
          <t>Input</t>
        </is>
      </c>
      <c r="G120" t="inlineStr">
        <is>
          <t>User / Config</t>
        </is>
      </c>
      <c r="H120" t="inlineStr">
        <is>
          <t>Lists_Config / formula</t>
        </is>
      </c>
      <c r="I120" t="inlineStr">
        <is>
          <t>BuildCostRegister, QA, Summary</t>
        </is>
      </c>
      <c r="J120" t="inlineStr">
        <is>
          <t>Header-based mapping required</t>
        </is>
      </c>
    </row>
    <row r="121">
      <c r="A121" t="inlineStr">
        <is>
          <t>Construction_Estimate</t>
        </is>
      </c>
      <c r="B121" t="inlineStr">
        <is>
          <t>CBS</t>
        </is>
      </c>
      <c r="C121" t="inlineStr">
        <is>
          <t>CBS for elementary cost item</t>
        </is>
      </c>
      <c r="D121" t="inlineStr">
        <is>
          <t>Text/Number</t>
        </is>
      </c>
      <c r="E121" t="inlineStr">
        <is>
          <t>Yes</t>
        </is>
      </c>
      <c r="F121" t="inlineStr">
        <is>
          <t>Input</t>
        </is>
      </c>
      <c r="G121" t="inlineStr">
        <is>
          <t>User / Config</t>
        </is>
      </c>
      <c r="H121" t="inlineStr">
        <is>
          <t>Lists_Config / formula</t>
        </is>
      </c>
      <c r="I121" t="inlineStr">
        <is>
          <t>BuildCostRegister, QA, Summary</t>
        </is>
      </c>
      <c r="J121" t="inlineStr">
        <is>
          <t>Header-based mapping required</t>
        </is>
      </c>
    </row>
    <row r="122">
      <c r="A122" t="inlineStr">
        <is>
          <t>Construction_Estimate</t>
        </is>
      </c>
      <c r="B122" t="inlineStr">
        <is>
          <t>Cost Category</t>
        </is>
      </c>
      <c r="C122" t="inlineStr">
        <is>
          <t>Cost Category for elementary cost item</t>
        </is>
      </c>
      <c r="D122" t="inlineStr">
        <is>
          <t>Text/Number</t>
        </is>
      </c>
      <c r="E122" t="inlineStr">
        <is>
          <t>Yes</t>
        </is>
      </c>
      <c r="F122" t="inlineStr">
        <is>
          <t>Input</t>
        </is>
      </c>
      <c r="G122" t="inlineStr">
        <is>
          <t>User / Config</t>
        </is>
      </c>
      <c r="H122" t="inlineStr">
        <is>
          <t>Lists_Config / formula</t>
        </is>
      </c>
      <c r="I122" t="inlineStr">
        <is>
          <t>BuildCostRegister, QA, Summary</t>
        </is>
      </c>
      <c r="J122" t="inlineStr">
        <is>
          <t>Header-based mapping required</t>
        </is>
      </c>
    </row>
    <row r="123">
      <c r="A123" t="inlineStr">
        <is>
          <t>Construction_Estimate</t>
        </is>
      </c>
      <c r="B123" t="inlineStr">
        <is>
          <t>Cost Type</t>
        </is>
      </c>
      <c r="C123" t="inlineStr">
        <is>
          <t>Cost Type for elementary cost item</t>
        </is>
      </c>
      <c r="D123" t="inlineStr">
        <is>
          <t>Text/Number</t>
        </is>
      </c>
      <c r="E123" t="inlineStr">
        <is>
          <t>Yes</t>
        </is>
      </c>
      <c r="F123" t="inlineStr">
        <is>
          <t>Input</t>
        </is>
      </c>
      <c r="G123" t="inlineStr">
        <is>
          <t>User / Config</t>
        </is>
      </c>
      <c r="H123" t="inlineStr">
        <is>
          <t>Lists_Config / formula</t>
        </is>
      </c>
      <c r="I123" t="inlineStr">
        <is>
          <t>BuildCostRegister, QA, Summary</t>
        </is>
      </c>
      <c r="J123" t="inlineStr">
        <is>
          <t>Header-based mapping required</t>
        </is>
      </c>
    </row>
    <row r="124">
      <c r="A124" t="inlineStr">
        <is>
          <t>Construction_Estimate</t>
        </is>
      </c>
      <c r="B124" t="inlineStr">
        <is>
          <t>Quantity</t>
        </is>
      </c>
      <c r="C124" t="inlineStr">
        <is>
          <t>Quantity for elementary cost item</t>
        </is>
      </c>
      <c r="D124" t="inlineStr">
        <is>
          <t>Text/Number</t>
        </is>
      </c>
      <c r="E124" t="inlineStr">
        <is>
          <t>Yes</t>
        </is>
      </c>
      <c r="F124" t="inlineStr">
        <is>
          <t>Input</t>
        </is>
      </c>
      <c r="G124" t="inlineStr">
        <is>
          <t>User / Config</t>
        </is>
      </c>
      <c r="H124" t="inlineStr">
        <is>
          <t>Lists_Config / formula</t>
        </is>
      </c>
      <c r="I124" t="inlineStr">
        <is>
          <t>BuildCostRegister, QA, Summary</t>
        </is>
      </c>
      <c r="J124" t="inlineStr">
        <is>
          <t>Header-based mapping required</t>
        </is>
      </c>
    </row>
    <row r="125">
      <c r="A125" t="inlineStr">
        <is>
          <t>Construction_Estimate</t>
        </is>
      </c>
      <c r="B125" t="inlineStr">
        <is>
          <t>Unit</t>
        </is>
      </c>
      <c r="C125" t="inlineStr">
        <is>
          <t>Unit for elementary cost item</t>
        </is>
      </c>
      <c r="D125" t="inlineStr">
        <is>
          <t>Text/Number</t>
        </is>
      </c>
      <c r="E125" t="inlineStr">
        <is>
          <t>Yes</t>
        </is>
      </c>
      <c r="F125" t="inlineStr">
        <is>
          <t>Input</t>
        </is>
      </c>
      <c r="G125" t="inlineStr">
        <is>
          <t>User / Config</t>
        </is>
      </c>
      <c r="H125" t="inlineStr">
        <is>
          <t>Lists_Config / formula</t>
        </is>
      </c>
      <c r="I125" t="inlineStr">
        <is>
          <t>BuildCostRegister, QA, Summary</t>
        </is>
      </c>
      <c r="J125" t="inlineStr">
        <is>
          <t>Header-based mapping required</t>
        </is>
      </c>
    </row>
    <row r="126">
      <c r="A126" t="inlineStr">
        <is>
          <t>Construction_Estimate</t>
        </is>
      </c>
      <c r="B126" t="inlineStr">
        <is>
          <t>Unit Rate</t>
        </is>
      </c>
      <c r="C126" t="inlineStr">
        <is>
          <t>Unit Rate for elementary cost item</t>
        </is>
      </c>
      <c r="D126" t="inlineStr">
        <is>
          <t>Text/Number</t>
        </is>
      </c>
      <c r="E126" t="inlineStr">
        <is>
          <t>Yes</t>
        </is>
      </c>
      <c r="F126" t="inlineStr">
        <is>
          <t>Input</t>
        </is>
      </c>
      <c r="G126" t="inlineStr">
        <is>
          <t>User / Config</t>
        </is>
      </c>
      <c r="H126" t="inlineStr">
        <is>
          <t>Lists_Config / formula</t>
        </is>
      </c>
      <c r="I126" t="inlineStr">
        <is>
          <t>BuildCostRegister, QA, Summary</t>
        </is>
      </c>
      <c r="J126" t="inlineStr">
        <is>
          <t>Header-based mapping required</t>
        </is>
      </c>
    </row>
    <row r="127">
      <c r="A127" t="inlineStr">
        <is>
          <t>Construction_Estimate</t>
        </is>
      </c>
      <c r="B127" t="inlineStr">
        <is>
          <t>Currency</t>
        </is>
      </c>
      <c r="C127" t="inlineStr">
        <is>
          <t>Currency for elementary cost item</t>
        </is>
      </c>
      <c r="D127" t="inlineStr">
        <is>
          <t>Text/Number</t>
        </is>
      </c>
      <c r="E127" t="inlineStr">
        <is>
          <t>Yes</t>
        </is>
      </c>
      <c r="F127" t="inlineStr">
        <is>
          <t>Input</t>
        </is>
      </c>
      <c r="G127" t="inlineStr">
        <is>
          <t>User / Config</t>
        </is>
      </c>
      <c r="H127" t="inlineStr">
        <is>
          <t>Lists_Config / formula</t>
        </is>
      </c>
      <c r="I127" t="inlineStr">
        <is>
          <t>BuildCostRegister, QA, Summary</t>
        </is>
      </c>
      <c r="J127" t="inlineStr">
        <is>
          <t>Header-based mapping required</t>
        </is>
      </c>
    </row>
    <row r="128">
      <c r="A128" t="inlineStr">
        <is>
          <t>Construction_Estimate</t>
        </is>
      </c>
      <c r="B128" t="inlineStr">
        <is>
          <t>FX Rate</t>
        </is>
      </c>
      <c r="C128" t="inlineStr">
        <is>
          <t>FX Rate for elementary cost item</t>
        </is>
      </c>
      <c r="D128" t="inlineStr">
        <is>
          <t>Text/Number</t>
        </is>
      </c>
      <c r="E128" t="inlineStr">
        <is>
          <t>Yes</t>
        </is>
      </c>
      <c r="F128" t="inlineStr">
        <is>
          <t>Formula</t>
        </is>
      </c>
      <c r="G128" t="inlineStr">
        <is>
          <t>User / Config</t>
        </is>
      </c>
      <c r="H128" t="inlineStr">
        <is>
          <t>Lists_Config / formula</t>
        </is>
      </c>
      <c r="I128" t="inlineStr">
        <is>
          <t>BuildCostRegister, QA, Summary</t>
        </is>
      </c>
      <c r="J128" t="inlineStr">
        <is>
          <t>Header-based mapping required</t>
        </is>
      </c>
    </row>
    <row r="129">
      <c r="A129" t="inlineStr">
        <is>
          <t>Construction_Estimate</t>
        </is>
      </c>
      <c r="B129" t="inlineStr">
        <is>
          <t>Base Cost</t>
        </is>
      </c>
      <c r="C129" t="inlineStr">
        <is>
          <t>Base Cost for elementary cost item</t>
        </is>
      </c>
      <c r="D129" t="inlineStr">
        <is>
          <t>Text/Number</t>
        </is>
      </c>
      <c r="E129" t="inlineStr">
        <is>
          <t>Yes</t>
        </is>
      </c>
      <c r="F129" t="inlineStr">
        <is>
          <t>Formula</t>
        </is>
      </c>
      <c r="G129" t="inlineStr">
        <is>
          <t>User / Config</t>
        </is>
      </c>
      <c r="H129" t="inlineStr">
        <is>
          <t>Lists_Config / formula</t>
        </is>
      </c>
      <c r="I129" t="inlineStr">
        <is>
          <t>BuildCostRegister, QA, Summary</t>
        </is>
      </c>
      <c r="J129" t="inlineStr">
        <is>
          <t>Header-based mapping required</t>
        </is>
      </c>
    </row>
    <row r="130">
      <c r="A130" t="inlineStr">
        <is>
          <t>Construction_Estimate</t>
        </is>
      </c>
      <c r="B130" t="inlineStr">
        <is>
          <t>Base Cost EUR</t>
        </is>
      </c>
      <c r="C130" t="inlineStr">
        <is>
          <t>Base Cost EUR for elementary cost item</t>
        </is>
      </c>
      <c r="D130" t="inlineStr">
        <is>
          <t>Text/Number</t>
        </is>
      </c>
      <c r="E130" t="inlineStr">
        <is>
          <t>Yes</t>
        </is>
      </c>
      <c r="F130" t="inlineStr">
        <is>
          <t>Formula</t>
        </is>
      </c>
      <c r="G130" t="inlineStr">
        <is>
          <t>User / Config</t>
        </is>
      </c>
      <c r="H130" t="inlineStr">
        <is>
          <t>Lists_Config / formula</t>
        </is>
      </c>
      <c r="I130" t="inlineStr">
        <is>
          <t>BuildCostRegister, QA, Summary</t>
        </is>
      </c>
      <c r="J130" t="inlineStr">
        <is>
          <t>Header-based mapping required</t>
        </is>
      </c>
    </row>
    <row r="131">
      <c r="A131" t="inlineStr">
        <is>
          <t>Construction_Estimate</t>
        </is>
      </c>
      <c r="B131" t="inlineStr">
        <is>
          <t>Estimate Basis</t>
        </is>
      </c>
      <c r="C131" t="inlineStr">
        <is>
          <t>Estimate Basis for elementary cost item</t>
        </is>
      </c>
      <c r="D131" t="inlineStr">
        <is>
          <t>Text/Number</t>
        </is>
      </c>
      <c r="E131" t="inlineStr">
        <is>
          <t>Yes</t>
        </is>
      </c>
      <c r="F131" t="inlineStr">
        <is>
          <t>Input</t>
        </is>
      </c>
      <c r="G131" t="inlineStr">
        <is>
          <t>User / Config</t>
        </is>
      </c>
      <c r="H131" t="inlineStr">
        <is>
          <t>Lists_Config / formula</t>
        </is>
      </c>
      <c r="I131" t="inlineStr">
        <is>
          <t>BuildCostRegister, QA, Summary</t>
        </is>
      </c>
      <c r="J131" t="inlineStr">
        <is>
          <t>Header-based mapping required</t>
        </is>
      </c>
    </row>
    <row r="132">
      <c r="A132" t="inlineStr">
        <is>
          <t>Construction_Estimate</t>
        </is>
      </c>
      <c r="B132" t="inlineStr">
        <is>
          <t>Accuracy Low %</t>
        </is>
      </c>
      <c r="C132" t="inlineStr">
        <is>
          <t>Accuracy Low % for elementary cost item</t>
        </is>
      </c>
      <c r="D132" t="inlineStr">
        <is>
          <t>Text/Number</t>
        </is>
      </c>
      <c r="E132" t="inlineStr">
        <is>
          <t>Yes</t>
        </is>
      </c>
      <c r="F132" t="inlineStr">
        <is>
          <t>Formula</t>
        </is>
      </c>
      <c r="G132" t="inlineStr">
        <is>
          <t>User / Config</t>
        </is>
      </c>
      <c r="H132" t="inlineStr">
        <is>
          <t>Lists_Config / formula</t>
        </is>
      </c>
      <c r="I132" t="inlineStr">
        <is>
          <t>BuildCostRegister, QA, Summary</t>
        </is>
      </c>
      <c r="J132" t="inlineStr">
        <is>
          <t>Header-based mapping required</t>
        </is>
      </c>
    </row>
    <row r="133">
      <c r="A133" t="inlineStr">
        <is>
          <t>Construction_Estimate</t>
        </is>
      </c>
      <c r="B133" t="inlineStr">
        <is>
          <t>Accuracy High %</t>
        </is>
      </c>
      <c r="C133" t="inlineStr">
        <is>
          <t>Accuracy High % for elementary cost item</t>
        </is>
      </c>
      <c r="D133" t="inlineStr">
        <is>
          <t>Text/Number</t>
        </is>
      </c>
      <c r="E133" t="inlineStr">
        <is>
          <t>Yes</t>
        </is>
      </c>
      <c r="F133" t="inlineStr">
        <is>
          <t>Formula</t>
        </is>
      </c>
      <c r="G133" t="inlineStr">
        <is>
          <t>User / Config</t>
        </is>
      </c>
      <c r="H133" t="inlineStr">
        <is>
          <t>Lists_Config / formula</t>
        </is>
      </c>
      <c r="I133" t="inlineStr">
        <is>
          <t>BuildCostRegister, QA, Summary</t>
        </is>
      </c>
      <c r="J133" t="inlineStr">
        <is>
          <t>Header-based mapping required</t>
        </is>
      </c>
    </row>
    <row r="134">
      <c r="A134" t="inlineStr">
        <is>
          <t>Construction_Estimate</t>
        </is>
      </c>
      <c r="B134" t="inlineStr">
        <is>
          <t>Low Cost</t>
        </is>
      </c>
      <c r="C134" t="inlineStr">
        <is>
          <t>Low Cost for elementary cost item</t>
        </is>
      </c>
      <c r="D134" t="inlineStr">
        <is>
          <t>Text/Number</t>
        </is>
      </c>
      <c r="E134" t="inlineStr">
        <is>
          <t>Yes</t>
        </is>
      </c>
      <c r="F134" t="inlineStr">
        <is>
          <t>Formula</t>
        </is>
      </c>
      <c r="G134" t="inlineStr">
        <is>
          <t>User / Config</t>
        </is>
      </c>
      <c r="H134" t="inlineStr">
        <is>
          <t>Lists_Config / formula</t>
        </is>
      </c>
      <c r="I134" t="inlineStr">
        <is>
          <t>BuildCostRegister, QA, Summary</t>
        </is>
      </c>
      <c r="J134" t="inlineStr">
        <is>
          <t>Header-based mapping required</t>
        </is>
      </c>
    </row>
    <row r="135">
      <c r="A135" t="inlineStr">
        <is>
          <t>Construction_Estimate</t>
        </is>
      </c>
      <c r="B135" t="inlineStr">
        <is>
          <t>Most Likely Cost</t>
        </is>
      </c>
      <c r="C135" t="inlineStr">
        <is>
          <t>Most Likely Cost for elementary cost item</t>
        </is>
      </c>
      <c r="D135" t="inlineStr">
        <is>
          <t>Text/Number</t>
        </is>
      </c>
      <c r="E135" t="inlineStr">
        <is>
          <t>Yes</t>
        </is>
      </c>
      <c r="F135" t="inlineStr">
        <is>
          <t>Formula</t>
        </is>
      </c>
      <c r="G135" t="inlineStr">
        <is>
          <t>User / Config</t>
        </is>
      </c>
      <c r="H135" t="inlineStr">
        <is>
          <t>Lists_Config / formula</t>
        </is>
      </c>
      <c r="I135" t="inlineStr">
        <is>
          <t>BuildCostRegister, QA, Summary</t>
        </is>
      </c>
      <c r="J135" t="inlineStr">
        <is>
          <t>Header-based mapping required</t>
        </is>
      </c>
    </row>
    <row r="136">
      <c r="A136" t="inlineStr">
        <is>
          <t>Construction_Estimate</t>
        </is>
      </c>
      <c r="B136" t="inlineStr">
        <is>
          <t>High Cost</t>
        </is>
      </c>
      <c r="C136" t="inlineStr">
        <is>
          <t>High Cost for elementary cost item</t>
        </is>
      </c>
      <c r="D136" t="inlineStr">
        <is>
          <t>Text/Number</t>
        </is>
      </c>
      <c r="E136" t="inlineStr">
        <is>
          <t>Yes</t>
        </is>
      </c>
      <c r="F136" t="inlineStr">
        <is>
          <t>Formula</t>
        </is>
      </c>
      <c r="G136" t="inlineStr">
        <is>
          <t>User / Config</t>
        </is>
      </c>
      <c r="H136" t="inlineStr">
        <is>
          <t>Lists_Config / formula</t>
        </is>
      </c>
      <c r="I136" t="inlineStr">
        <is>
          <t>BuildCostRegister, QA, Summary</t>
        </is>
      </c>
      <c r="J136" t="inlineStr">
        <is>
          <t>Header-based mapping required</t>
        </is>
      </c>
    </row>
    <row r="137">
      <c r="A137" t="inlineStr">
        <is>
          <t>Construction_Estimate</t>
        </is>
      </c>
      <c r="B137" t="inlineStr">
        <is>
          <t>Contingency Eligible</t>
        </is>
      </c>
      <c r="C137" t="inlineStr">
        <is>
          <t>Contingency Eligible for elementary cost item</t>
        </is>
      </c>
      <c r="D137" t="inlineStr">
        <is>
          <t>Text/Number</t>
        </is>
      </c>
      <c r="E137" t="inlineStr">
        <is>
          <t>Yes</t>
        </is>
      </c>
      <c r="F137" t="inlineStr">
        <is>
          <t>Input</t>
        </is>
      </c>
      <c r="G137" t="inlineStr">
        <is>
          <t>User / Config</t>
        </is>
      </c>
      <c r="H137" t="inlineStr">
        <is>
          <t>Lists_Config / formula</t>
        </is>
      </c>
      <c r="I137" t="inlineStr">
        <is>
          <t>BuildCostRegister, QA, Summary</t>
        </is>
      </c>
      <c r="J137" t="inlineStr">
        <is>
          <t>Header-based mapping required</t>
        </is>
      </c>
    </row>
    <row r="138">
      <c r="A138" t="inlineStr">
        <is>
          <t>Construction_Estimate</t>
        </is>
      </c>
      <c r="B138" t="inlineStr">
        <is>
          <t>Escalation Eligible</t>
        </is>
      </c>
      <c r="C138" t="inlineStr">
        <is>
          <t>Escalation Eligible for elementary cost item</t>
        </is>
      </c>
      <c r="D138" t="inlineStr">
        <is>
          <t>Text/Number</t>
        </is>
      </c>
      <c r="E138" t="inlineStr">
        <is>
          <t>Yes</t>
        </is>
      </c>
      <c r="F138" t="inlineStr">
        <is>
          <t>Input</t>
        </is>
      </c>
      <c r="G138" t="inlineStr">
        <is>
          <t>User / Config</t>
        </is>
      </c>
      <c r="H138" t="inlineStr">
        <is>
          <t>Lists_Config / formula</t>
        </is>
      </c>
      <c r="I138" t="inlineStr">
        <is>
          <t>BuildCostRegister, QA, Summary</t>
        </is>
      </c>
      <c r="J138" t="inlineStr">
        <is>
          <t>Header-based mapping required</t>
        </is>
      </c>
    </row>
    <row r="139">
      <c r="A139" t="inlineStr">
        <is>
          <t>Construction_Estimate</t>
        </is>
      </c>
      <c r="B139" t="inlineStr">
        <is>
          <t>Spend Category</t>
        </is>
      </c>
      <c r="C139" t="inlineStr">
        <is>
          <t>Spend Category for elementary cost item</t>
        </is>
      </c>
      <c r="D139" t="inlineStr">
        <is>
          <t>Text/Number</t>
        </is>
      </c>
      <c r="E139" t="inlineStr">
        <is>
          <t>Yes</t>
        </is>
      </c>
      <c r="F139" t="inlineStr">
        <is>
          <t>Input</t>
        </is>
      </c>
      <c r="G139" t="inlineStr">
        <is>
          <t>User / Config</t>
        </is>
      </c>
      <c r="H139" t="inlineStr">
        <is>
          <t>Lists_Config / formula</t>
        </is>
      </c>
      <c r="I139" t="inlineStr">
        <is>
          <t>BuildCostRegister, QA, Summary</t>
        </is>
      </c>
      <c r="J139" t="inlineStr">
        <is>
          <t>Header-based mapping required</t>
        </is>
      </c>
    </row>
    <row r="140">
      <c r="A140" t="inlineStr">
        <is>
          <t>Construction_Estimate</t>
        </is>
      </c>
      <c r="B140" t="inlineStr">
        <is>
          <t>Phase</t>
        </is>
      </c>
      <c r="C140" t="inlineStr">
        <is>
          <t>Phase for elementary cost item</t>
        </is>
      </c>
      <c r="D140" t="inlineStr">
        <is>
          <t>Text/Number</t>
        </is>
      </c>
      <c r="E140" t="inlineStr">
        <is>
          <t>Yes</t>
        </is>
      </c>
      <c r="F140" t="inlineStr">
        <is>
          <t>Input</t>
        </is>
      </c>
      <c r="G140" t="inlineStr">
        <is>
          <t>User / Config</t>
        </is>
      </c>
      <c r="H140" t="inlineStr">
        <is>
          <t>Lists_Config / formula</t>
        </is>
      </c>
      <c r="I140" t="inlineStr">
        <is>
          <t>BuildCostRegister, QA, Summary</t>
        </is>
      </c>
      <c r="J140" t="inlineStr">
        <is>
          <t>Header-based mapping required</t>
        </is>
      </c>
    </row>
    <row r="141">
      <c r="A141" t="inlineStr">
        <is>
          <t>Construction_Estimate</t>
        </is>
      </c>
      <c r="B141" t="inlineStr">
        <is>
          <t>Start Month</t>
        </is>
      </c>
      <c r="C141" t="inlineStr">
        <is>
          <t>Start Month for elementary cost item</t>
        </is>
      </c>
      <c r="D141" t="inlineStr">
        <is>
          <t>Text/Number</t>
        </is>
      </c>
      <c r="E141" t="inlineStr">
        <is>
          <t>Yes</t>
        </is>
      </c>
      <c r="F141" t="inlineStr">
        <is>
          <t>Input</t>
        </is>
      </c>
      <c r="G141" t="inlineStr">
        <is>
          <t>User / Config</t>
        </is>
      </c>
      <c r="H141" t="inlineStr">
        <is>
          <t>Lists_Config / formula</t>
        </is>
      </c>
      <c r="I141" t="inlineStr">
        <is>
          <t>BuildCostRegister, QA, Summary</t>
        </is>
      </c>
      <c r="J141" t="inlineStr">
        <is>
          <t>Header-based mapping required</t>
        </is>
      </c>
    </row>
    <row r="142">
      <c r="A142" t="inlineStr">
        <is>
          <t>Construction_Estimate</t>
        </is>
      </c>
      <c r="B142" t="inlineStr">
        <is>
          <t>End Month</t>
        </is>
      </c>
      <c r="C142" t="inlineStr">
        <is>
          <t>End Month for elementary cost item</t>
        </is>
      </c>
      <c r="D142" t="inlineStr">
        <is>
          <t>Text/Number</t>
        </is>
      </c>
      <c r="E142" t="inlineStr">
        <is>
          <t>Yes</t>
        </is>
      </c>
      <c r="F142" t="inlineStr">
        <is>
          <t>Input</t>
        </is>
      </c>
      <c r="G142" t="inlineStr">
        <is>
          <t>User / Config</t>
        </is>
      </c>
      <c r="H142" t="inlineStr">
        <is>
          <t>Lists_Config / formula</t>
        </is>
      </c>
      <c r="I142" t="inlineStr">
        <is>
          <t>BuildCostRegister, QA, Summary</t>
        </is>
      </c>
      <c r="J142" t="inlineStr">
        <is>
          <t>Header-based mapping required</t>
        </is>
      </c>
    </row>
    <row r="143">
      <c r="A143" t="inlineStr">
        <is>
          <t>Construction_Estimate</t>
        </is>
      </c>
      <c r="B143" t="inlineStr">
        <is>
          <t>Spend Curve</t>
        </is>
      </c>
      <c r="C143" t="inlineStr">
        <is>
          <t>Spend Curve for elementary cost item</t>
        </is>
      </c>
      <c r="D143" t="inlineStr">
        <is>
          <t>Text/Number</t>
        </is>
      </c>
      <c r="E143" t="inlineStr">
        <is>
          <t>Yes</t>
        </is>
      </c>
      <c r="F143" t="inlineStr">
        <is>
          <t>Input</t>
        </is>
      </c>
      <c r="G143" t="inlineStr">
        <is>
          <t>User / Config</t>
        </is>
      </c>
      <c r="H143" t="inlineStr">
        <is>
          <t>Lists_Config / formula</t>
        </is>
      </c>
      <c r="I143" t="inlineStr">
        <is>
          <t>BuildCostRegister, QA, Summary</t>
        </is>
      </c>
      <c r="J143" t="inlineStr">
        <is>
          <t>Header-based mapping required</t>
        </is>
      </c>
    </row>
    <row r="144">
      <c r="A144" t="inlineStr">
        <is>
          <t>Construction_Estimate</t>
        </is>
      </c>
      <c r="B144" t="inlineStr">
        <is>
          <t>Notes</t>
        </is>
      </c>
      <c r="C144" t="inlineStr">
        <is>
          <t>Notes for elementary cost item</t>
        </is>
      </c>
      <c r="D144" t="inlineStr">
        <is>
          <t>Text/Number</t>
        </is>
      </c>
      <c r="E144" t="inlineStr">
        <is>
          <t>No</t>
        </is>
      </c>
      <c r="F144" t="inlineStr">
        <is>
          <t>Input</t>
        </is>
      </c>
      <c r="G144" t="inlineStr">
        <is>
          <t>User / Config</t>
        </is>
      </c>
      <c r="H144" t="inlineStr">
        <is>
          <t>Lists_Config / formula</t>
        </is>
      </c>
      <c r="I144" t="inlineStr">
        <is>
          <t>BuildCostRegister, QA, Summary</t>
        </is>
      </c>
      <c r="J144" t="inlineStr">
        <is>
          <t>Header-based mapping required</t>
        </is>
      </c>
    </row>
    <row r="145">
      <c r="A145" t="inlineStr">
        <is>
          <t>Indirect_Owner_Costs</t>
        </is>
      </c>
      <c r="B145" t="inlineStr">
        <is>
          <t>Item ID</t>
        </is>
      </c>
      <c r="C145" t="inlineStr">
        <is>
          <t>Item ID for elementary cost item</t>
        </is>
      </c>
      <c r="D145" t="inlineStr">
        <is>
          <t>Text/Number</t>
        </is>
      </c>
      <c r="E145" t="inlineStr">
        <is>
          <t>Yes</t>
        </is>
      </c>
      <c r="F145" t="inlineStr">
        <is>
          <t>Input</t>
        </is>
      </c>
      <c r="G145" t="inlineStr">
        <is>
          <t>User / Config</t>
        </is>
      </c>
      <c r="H145" t="inlineStr">
        <is>
          <t>Lists_Config / formula</t>
        </is>
      </c>
      <c r="I145" t="inlineStr">
        <is>
          <t>BuildCostRegister, QA, Summary</t>
        </is>
      </c>
      <c r="J145" t="inlineStr">
        <is>
          <t>Header-based mapping required</t>
        </is>
      </c>
    </row>
    <row r="146">
      <c r="A146" t="inlineStr">
        <is>
          <t>Indirect_Owner_Costs</t>
        </is>
      </c>
      <c r="B146" t="inlineStr">
        <is>
          <t>Description</t>
        </is>
      </c>
      <c r="C146" t="inlineStr">
        <is>
          <t>Description for elementary cost item</t>
        </is>
      </c>
      <c r="D146" t="inlineStr">
        <is>
          <t>Text/Number</t>
        </is>
      </c>
      <c r="E146" t="inlineStr">
        <is>
          <t>Yes</t>
        </is>
      </c>
      <c r="F146" t="inlineStr">
        <is>
          <t>Input</t>
        </is>
      </c>
      <c r="G146" t="inlineStr">
        <is>
          <t>User / Config</t>
        </is>
      </c>
      <c r="H146" t="inlineStr">
        <is>
          <t>Lists_Config / formula</t>
        </is>
      </c>
      <c r="I146" t="inlineStr">
        <is>
          <t>BuildCostRegister, QA, Summary</t>
        </is>
      </c>
      <c r="J146" t="inlineStr">
        <is>
          <t>Header-based mapping required</t>
        </is>
      </c>
    </row>
    <row r="147">
      <c r="A147" t="inlineStr">
        <is>
          <t>Indirect_Owner_Costs</t>
        </is>
      </c>
      <c r="B147" t="inlineStr">
        <is>
          <t>Discipline</t>
        </is>
      </c>
      <c r="C147" t="inlineStr">
        <is>
          <t>Discipline for elementary cost item</t>
        </is>
      </c>
      <c r="D147" t="inlineStr">
        <is>
          <t>Text/Number</t>
        </is>
      </c>
      <c r="E147" t="inlineStr">
        <is>
          <t>Yes</t>
        </is>
      </c>
      <c r="F147" t="inlineStr">
        <is>
          <t>Input</t>
        </is>
      </c>
      <c r="G147" t="inlineStr">
        <is>
          <t>User / Config</t>
        </is>
      </c>
      <c r="H147" t="inlineStr">
        <is>
          <t>Lists_Config / formula</t>
        </is>
      </c>
      <c r="I147" t="inlineStr">
        <is>
          <t>BuildCostRegister, QA, Summary</t>
        </is>
      </c>
      <c r="J147" t="inlineStr">
        <is>
          <t>Header-based mapping required</t>
        </is>
      </c>
    </row>
    <row r="148">
      <c r="A148" t="inlineStr">
        <is>
          <t>Indirect_Owner_Costs</t>
        </is>
      </c>
      <c r="B148" t="inlineStr">
        <is>
          <t>WBS</t>
        </is>
      </c>
      <c r="C148" t="inlineStr">
        <is>
          <t>WBS for elementary cost item</t>
        </is>
      </c>
      <c r="D148" t="inlineStr">
        <is>
          <t>Text/Number</t>
        </is>
      </c>
      <c r="E148" t="inlineStr">
        <is>
          <t>Yes</t>
        </is>
      </c>
      <c r="F148" t="inlineStr">
        <is>
          <t>Input</t>
        </is>
      </c>
      <c r="G148" t="inlineStr">
        <is>
          <t>User / Config</t>
        </is>
      </c>
      <c r="H148" t="inlineStr">
        <is>
          <t>Lists_Config / formula</t>
        </is>
      </c>
      <c r="I148" t="inlineStr">
        <is>
          <t>BuildCostRegister, QA, Summary</t>
        </is>
      </c>
      <c r="J148" t="inlineStr">
        <is>
          <t>Header-based mapping required</t>
        </is>
      </c>
    </row>
    <row r="149">
      <c r="A149" t="inlineStr">
        <is>
          <t>Indirect_Owner_Costs</t>
        </is>
      </c>
      <c r="B149" t="inlineStr">
        <is>
          <t>CBS</t>
        </is>
      </c>
      <c r="C149" t="inlineStr">
        <is>
          <t>CBS for elementary cost item</t>
        </is>
      </c>
      <c r="D149" t="inlineStr">
        <is>
          <t>Text/Number</t>
        </is>
      </c>
      <c r="E149" t="inlineStr">
        <is>
          <t>Yes</t>
        </is>
      </c>
      <c r="F149" t="inlineStr">
        <is>
          <t>Input</t>
        </is>
      </c>
      <c r="G149" t="inlineStr">
        <is>
          <t>User / Config</t>
        </is>
      </c>
      <c r="H149" t="inlineStr">
        <is>
          <t>Lists_Config / formula</t>
        </is>
      </c>
      <c r="I149" t="inlineStr">
        <is>
          <t>BuildCostRegister, QA, Summary</t>
        </is>
      </c>
      <c r="J149" t="inlineStr">
        <is>
          <t>Header-based mapping required</t>
        </is>
      </c>
    </row>
    <row r="150">
      <c r="A150" t="inlineStr">
        <is>
          <t>Indirect_Owner_Costs</t>
        </is>
      </c>
      <c r="B150" t="inlineStr">
        <is>
          <t>Cost Category</t>
        </is>
      </c>
      <c r="C150" t="inlineStr">
        <is>
          <t>Cost Category for elementary cost item</t>
        </is>
      </c>
      <c r="D150" t="inlineStr">
        <is>
          <t>Text/Number</t>
        </is>
      </c>
      <c r="E150" t="inlineStr">
        <is>
          <t>Yes</t>
        </is>
      </c>
      <c r="F150" t="inlineStr">
        <is>
          <t>Input</t>
        </is>
      </c>
      <c r="G150" t="inlineStr">
        <is>
          <t>User / Config</t>
        </is>
      </c>
      <c r="H150" t="inlineStr">
        <is>
          <t>Lists_Config / formula</t>
        </is>
      </c>
      <c r="I150" t="inlineStr">
        <is>
          <t>BuildCostRegister, QA, Summary</t>
        </is>
      </c>
      <c r="J150" t="inlineStr">
        <is>
          <t>Header-based mapping required</t>
        </is>
      </c>
    </row>
    <row r="151">
      <c r="A151" t="inlineStr">
        <is>
          <t>Indirect_Owner_Costs</t>
        </is>
      </c>
      <c r="B151" t="inlineStr">
        <is>
          <t>Cost Type</t>
        </is>
      </c>
      <c r="C151" t="inlineStr">
        <is>
          <t>Cost Type for elementary cost item</t>
        </is>
      </c>
      <c r="D151" t="inlineStr">
        <is>
          <t>Text/Number</t>
        </is>
      </c>
      <c r="E151" t="inlineStr">
        <is>
          <t>Yes</t>
        </is>
      </c>
      <c r="F151" t="inlineStr">
        <is>
          <t>Input</t>
        </is>
      </c>
      <c r="G151" t="inlineStr">
        <is>
          <t>User / Config</t>
        </is>
      </c>
      <c r="H151" t="inlineStr">
        <is>
          <t>Lists_Config / formula</t>
        </is>
      </c>
      <c r="I151" t="inlineStr">
        <is>
          <t>BuildCostRegister, QA, Summary</t>
        </is>
      </c>
      <c r="J151" t="inlineStr">
        <is>
          <t>Header-based mapping required</t>
        </is>
      </c>
    </row>
    <row r="152">
      <c r="A152" t="inlineStr">
        <is>
          <t>Indirect_Owner_Costs</t>
        </is>
      </c>
      <c r="B152" t="inlineStr">
        <is>
          <t>Quantity</t>
        </is>
      </c>
      <c r="C152" t="inlineStr">
        <is>
          <t>Quantity for elementary cost item</t>
        </is>
      </c>
      <c r="D152" t="inlineStr">
        <is>
          <t>Text/Number</t>
        </is>
      </c>
      <c r="E152" t="inlineStr">
        <is>
          <t>Yes</t>
        </is>
      </c>
      <c r="F152" t="inlineStr">
        <is>
          <t>Input</t>
        </is>
      </c>
      <c r="G152" t="inlineStr">
        <is>
          <t>User / Config</t>
        </is>
      </c>
      <c r="H152" t="inlineStr">
        <is>
          <t>Lists_Config / formula</t>
        </is>
      </c>
      <c r="I152" t="inlineStr">
        <is>
          <t>BuildCostRegister, QA, Summary</t>
        </is>
      </c>
      <c r="J152" t="inlineStr">
        <is>
          <t>Header-based mapping required</t>
        </is>
      </c>
    </row>
    <row r="153">
      <c r="A153" t="inlineStr">
        <is>
          <t>Indirect_Owner_Costs</t>
        </is>
      </c>
      <c r="B153" t="inlineStr">
        <is>
          <t>Unit</t>
        </is>
      </c>
      <c r="C153" t="inlineStr">
        <is>
          <t>Unit for elementary cost item</t>
        </is>
      </c>
      <c r="D153" t="inlineStr">
        <is>
          <t>Text/Number</t>
        </is>
      </c>
      <c r="E153" t="inlineStr">
        <is>
          <t>Yes</t>
        </is>
      </c>
      <c r="F153" t="inlineStr">
        <is>
          <t>Input</t>
        </is>
      </c>
      <c r="G153" t="inlineStr">
        <is>
          <t>User / Config</t>
        </is>
      </c>
      <c r="H153" t="inlineStr">
        <is>
          <t>Lists_Config / formula</t>
        </is>
      </c>
      <c r="I153" t="inlineStr">
        <is>
          <t>BuildCostRegister, QA, Summary</t>
        </is>
      </c>
      <c r="J153" t="inlineStr">
        <is>
          <t>Header-based mapping required</t>
        </is>
      </c>
    </row>
    <row r="154">
      <c r="A154" t="inlineStr">
        <is>
          <t>Indirect_Owner_Costs</t>
        </is>
      </c>
      <c r="B154" t="inlineStr">
        <is>
          <t>Unit Rate</t>
        </is>
      </c>
      <c r="C154" t="inlineStr">
        <is>
          <t>Unit Rate for elementary cost item</t>
        </is>
      </c>
      <c r="D154" t="inlineStr">
        <is>
          <t>Text/Number</t>
        </is>
      </c>
      <c r="E154" t="inlineStr">
        <is>
          <t>Yes</t>
        </is>
      </c>
      <c r="F154" t="inlineStr">
        <is>
          <t>Input</t>
        </is>
      </c>
      <c r="G154" t="inlineStr">
        <is>
          <t>User / Config</t>
        </is>
      </c>
      <c r="H154" t="inlineStr">
        <is>
          <t>Lists_Config / formula</t>
        </is>
      </c>
      <c r="I154" t="inlineStr">
        <is>
          <t>BuildCostRegister, QA, Summary</t>
        </is>
      </c>
      <c r="J154" t="inlineStr">
        <is>
          <t>Header-based mapping required</t>
        </is>
      </c>
    </row>
    <row r="155">
      <c r="A155" t="inlineStr">
        <is>
          <t>Indirect_Owner_Costs</t>
        </is>
      </c>
      <c r="B155" t="inlineStr">
        <is>
          <t>Currency</t>
        </is>
      </c>
      <c r="C155" t="inlineStr">
        <is>
          <t>Currency for elementary cost item</t>
        </is>
      </c>
      <c r="D155" t="inlineStr">
        <is>
          <t>Text/Number</t>
        </is>
      </c>
      <c r="E155" t="inlineStr">
        <is>
          <t>Yes</t>
        </is>
      </c>
      <c r="F155" t="inlineStr">
        <is>
          <t>Input</t>
        </is>
      </c>
      <c r="G155" t="inlineStr">
        <is>
          <t>User / Config</t>
        </is>
      </c>
      <c r="H155" t="inlineStr">
        <is>
          <t>Lists_Config / formula</t>
        </is>
      </c>
      <c r="I155" t="inlineStr">
        <is>
          <t>BuildCostRegister, QA, Summary</t>
        </is>
      </c>
      <c r="J155" t="inlineStr">
        <is>
          <t>Header-based mapping required</t>
        </is>
      </c>
    </row>
    <row r="156">
      <c r="A156" t="inlineStr">
        <is>
          <t>Indirect_Owner_Costs</t>
        </is>
      </c>
      <c r="B156" t="inlineStr">
        <is>
          <t>FX Rate</t>
        </is>
      </c>
      <c r="C156" t="inlineStr">
        <is>
          <t>FX Rate for elementary cost item</t>
        </is>
      </c>
      <c r="D156" t="inlineStr">
        <is>
          <t>Text/Number</t>
        </is>
      </c>
      <c r="E156" t="inlineStr">
        <is>
          <t>Yes</t>
        </is>
      </c>
      <c r="F156" t="inlineStr">
        <is>
          <t>Formula</t>
        </is>
      </c>
      <c r="G156" t="inlineStr">
        <is>
          <t>User / Config</t>
        </is>
      </c>
      <c r="H156" t="inlineStr">
        <is>
          <t>Lists_Config / formula</t>
        </is>
      </c>
      <c r="I156" t="inlineStr">
        <is>
          <t>BuildCostRegister, QA, Summary</t>
        </is>
      </c>
      <c r="J156" t="inlineStr">
        <is>
          <t>Header-based mapping required</t>
        </is>
      </c>
    </row>
    <row r="157">
      <c r="A157" t="inlineStr">
        <is>
          <t>Indirect_Owner_Costs</t>
        </is>
      </c>
      <c r="B157" t="inlineStr">
        <is>
          <t>Base Cost</t>
        </is>
      </c>
      <c r="C157" t="inlineStr">
        <is>
          <t>Base Cost for elementary cost item</t>
        </is>
      </c>
      <c r="D157" t="inlineStr">
        <is>
          <t>Text/Number</t>
        </is>
      </c>
      <c r="E157" t="inlineStr">
        <is>
          <t>Yes</t>
        </is>
      </c>
      <c r="F157" t="inlineStr">
        <is>
          <t>Formula</t>
        </is>
      </c>
      <c r="G157" t="inlineStr">
        <is>
          <t>User / Config</t>
        </is>
      </c>
      <c r="H157" t="inlineStr">
        <is>
          <t>Lists_Config / formula</t>
        </is>
      </c>
      <c r="I157" t="inlineStr">
        <is>
          <t>BuildCostRegister, QA, Summary</t>
        </is>
      </c>
      <c r="J157" t="inlineStr">
        <is>
          <t>Header-based mapping required</t>
        </is>
      </c>
    </row>
    <row r="158">
      <c r="A158" t="inlineStr">
        <is>
          <t>Indirect_Owner_Costs</t>
        </is>
      </c>
      <c r="B158" t="inlineStr">
        <is>
          <t>Base Cost EUR</t>
        </is>
      </c>
      <c r="C158" t="inlineStr">
        <is>
          <t>Base Cost EUR for elementary cost item</t>
        </is>
      </c>
      <c r="D158" t="inlineStr">
        <is>
          <t>Text/Number</t>
        </is>
      </c>
      <c r="E158" t="inlineStr">
        <is>
          <t>Yes</t>
        </is>
      </c>
      <c r="F158" t="inlineStr">
        <is>
          <t>Formula</t>
        </is>
      </c>
      <c r="G158" t="inlineStr">
        <is>
          <t>User / Config</t>
        </is>
      </c>
      <c r="H158" t="inlineStr">
        <is>
          <t>Lists_Config / formula</t>
        </is>
      </c>
      <c r="I158" t="inlineStr">
        <is>
          <t>BuildCostRegister, QA, Summary</t>
        </is>
      </c>
      <c r="J158" t="inlineStr">
        <is>
          <t>Header-based mapping required</t>
        </is>
      </c>
    </row>
    <row r="159">
      <c r="A159" t="inlineStr">
        <is>
          <t>Indirect_Owner_Costs</t>
        </is>
      </c>
      <c r="B159" t="inlineStr">
        <is>
          <t>Estimate Basis</t>
        </is>
      </c>
      <c r="C159" t="inlineStr">
        <is>
          <t>Estimate Basis for elementary cost item</t>
        </is>
      </c>
      <c r="D159" t="inlineStr">
        <is>
          <t>Text/Number</t>
        </is>
      </c>
      <c r="E159" t="inlineStr">
        <is>
          <t>Yes</t>
        </is>
      </c>
      <c r="F159" t="inlineStr">
        <is>
          <t>Input</t>
        </is>
      </c>
      <c r="G159" t="inlineStr">
        <is>
          <t>User / Config</t>
        </is>
      </c>
      <c r="H159" t="inlineStr">
        <is>
          <t>Lists_Config / formula</t>
        </is>
      </c>
      <c r="I159" t="inlineStr">
        <is>
          <t>BuildCostRegister, QA, Summary</t>
        </is>
      </c>
      <c r="J159" t="inlineStr">
        <is>
          <t>Header-based mapping required</t>
        </is>
      </c>
    </row>
    <row r="160">
      <c r="A160" t="inlineStr">
        <is>
          <t>Indirect_Owner_Costs</t>
        </is>
      </c>
      <c r="B160" t="inlineStr">
        <is>
          <t>Accuracy Low %</t>
        </is>
      </c>
      <c r="C160" t="inlineStr">
        <is>
          <t>Accuracy Low % for elementary cost item</t>
        </is>
      </c>
      <c r="D160" t="inlineStr">
        <is>
          <t>Text/Number</t>
        </is>
      </c>
      <c r="E160" t="inlineStr">
        <is>
          <t>Yes</t>
        </is>
      </c>
      <c r="F160" t="inlineStr">
        <is>
          <t>Formula</t>
        </is>
      </c>
      <c r="G160" t="inlineStr">
        <is>
          <t>User / Config</t>
        </is>
      </c>
      <c r="H160" t="inlineStr">
        <is>
          <t>Lists_Config / formula</t>
        </is>
      </c>
      <c r="I160" t="inlineStr">
        <is>
          <t>BuildCostRegister, QA, Summary</t>
        </is>
      </c>
      <c r="J160" t="inlineStr">
        <is>
          <t>Header-based mapping required</t>
        </is>
      </c>
    </row>
    <row r="161">
      <c r="A161" t="inlineStr">
        <is>
          <t>Indirect_Owner_Costs</t>
        </is>
      </c>
      <c r="B161" t="inlineStr">
        <is>
          <t>Accuracy High %</t>
        </is>
      </c>
      <c r="C161" t="inlineStr">
        <is>
          <t>Accuracy High % for elementary cost item</t>
        </is>
      </c>
      <c r="D161" t="inlineStr">
        <is>
          <t>Text/Number</t>
        </is>
      </c>
      <c r="E161" t="inlineStr">
        <is>
          <t>Yes</t>
        </is>
      </c>
      <c r="F161" t="inlineStr">
        <is>
          <t>Formula</t>
        </is>
      </c>
      <c r="G161" t="inlineStr">
        <is>
          <t>User / Config</t>
        </is>
      </c>
      <c r="H161" t="inlineStr">
        <is>
          <t>Lists_Config / formula</t>
        </is>
      </c>
      <c r="I161" t="inlineStr">
        <is>
          <t>BuildCostRegister, QA, Summary</t>
        </is>
      </c>
      <c r="J161" t="inlineStr">
        <is>
          <t>Header-based mapping required</t>
        </is>
      </c>
    </row>
    <row r="162">
      <c r="A162" t="inlineStr">
        <is>
          <t>Indirect_Owner_Costs</t>
        </is>
      </c>
      <c r="B162" t="inlineStr">
        <is>
          <t>Low Cost</t>
        </is>
      </c>
      <c r="C162" t="inlineStr">
        <is>
          <t>Low Cost for elementary cost item</t>
        </is>
      </c>
      <c r="D162" t="inlineStr">
        <is>
          <t>Text/Number</t>
        </is>
      </c>
      <c r="E162" t="inlineStr">
        <is>
          <t>Yes</t>
        </is>
      </c>
      <c r="F162" t="inlineStr">
        <is>
          <t>Formula</t>
        </is>
      </c>
      <c r="G162" t="inlineStr">
        <is>
          <t>User / Config</t>
        </is>
      </c>
      <c r="H162" t="inlineStr">
        <is>
          <t>Lists_Config / formula</t>
        </is>
      </c>
      <c r="I162" t="inlineStr">
        <is>
          <t>BuildCostRegister, QA, Summary</t>
        </is>
      </c>
      <c r="J162" t="inlineStr">
        <is>
          <t>Header-based mapping required</t>
        </is>
      </c>
    </row>
    <row r="163">
      <c r="A163" t="inlineStr">
        <is>
          <t>Indirect_Owner_Costs</t>
        </is>
      </c>
      <c r="B163" t="inlineStr">
        <is>
          <t>Most Likely Cost</t>
        </is>
      </c>
      <c r="C163" t="inlineStr">
        <is>
          <t>Most Likely Cost for elementary cost item</t>
        </is>
      </c>
      <c r="D163" t="inlineStr">
        <is>
          <t>Text/Number</t>
        </is>
      </c>
      <c r="E163" t="inlineStr">
        <is>
          <t>Yes</t>
        </is>
      </c>
      <c r="F163" t="inlineStr">
        <is>
          <t>Formula</t>
        </is>
      </c>
      <c r="G163" t="inlineStr">
        <is>
          <t>User / Config</t>
        </is>
      </c>
      <c r="H163" t="inlineStr">
        <is>
          <t>Lists_Config / formula</t>
        </is>
      </c>
      <c r="I163" t="inlineStr">
        <is>
          <t>BuildCostRegister, QA, Summary</t>
        </is>
      </c>
      <c r="J163" t="inlineStr">
        <is>
          <t>Header-based mapping required</t>
        </is>
      </c>
    </row>
    <row r="164">
      <c r="A164" t="inlineStr">
        <is>
          <t>Indirect_Owner_Costs</t>
        </is>
      </c>
      <c r="B164" t="inlineStr">
        <is>
          <t>High Cost</t>
        </is>
      </c>
      <c r="C164" t="inlineStr">
        <is>
          <t>High Cost for elementary cost item</t>
        </is>
      </c>
      <c r="D164" t="inlineStr">
        <is>
          <t>Text/Number</t>
        </is>
      </c>
      <c r="E164" t="inlineStr">
        <is>
          <t>Yes</t>
        </is>
      </c>
      <c r="F164" t="inlineStr">
        <is>
          <t>Formula</t>
        </is>
      </c>
      <c r="G164" t="inlineStr">
        <is>
          <t>User / Config</t>
        </is>
      </c>
      <c r="H164" t="inlineStr">
        <is>
          <t>Lists_Config / formula</t>
        </is>
      </c>
      <c r="I164" t="inlineStr">
        <is>
          <t>BuildCostRegister, QA, Summary</t>
        </is>
      </c>
      <c r="J164" t="inlineStr">
        <is>
          <t>Header-based mapping required</t>
        </is>
      </c>
    </row>
    <row r="165">
      <c r="A165" t="inlineStr">
        <is>
          <t>Indirect_Owner_Costs</t>
        </is>
      </c>
      <c r="B165" t="inlineStr">
        <is>
          <t>Contingency Eligible</t>
        </is>
      </c>
      <c r="C165" t="inlineStr">
        <is>
          <t>Contingency Eligible for elementary cost item</t>
        </is>
      </c>
      <c r="D165" t="inlineStr">
        <is>
          <t>Text/Number</t>
        </is>
      </c>
      <c r="E165" t="inlineStr">
        <is>
          <t>Yes</t>
        </is>
      </c>
      <c r="F165" t="inlineStr">
        <is>
          <t>Input</t>
        </is>
      </c>
      <c r="G165" t="inlineStr">
        <is>
          <t>User / Config</t>
        </is>
      </c>
      <c r="H165" t="inlineStr">
        <is>
          <t>Lists_Config / formula</t>
        </is>
      </c>
      <c r="I165" t="inlineStr">
        <is>
          <t>BuildCostRegister, QA, Summary</t>
        </is>
      </c>
      <c r="J165" t="inlineStr">
        <is>
          <t>Header-based mapping required</t>
        </is>
      </c>
    </row>
    <row r="166">
      <c r="A166" t="inlineStr">
        <is>
          <t>Indirect_Owner_Costs</t>
        </is>
      </c>
      <c r="B166" t="inlineStr">
        <is>
          <t>Escalation Eligible</t>
        </is>
      </c>
      <c r="C166" t="inlineStr">
        <is>
          <t>Escalation Eligible for elementary cost item</t>
        </is>
      </c>
      <c r="D166" t="inlineStr">
        <is>
          <t>Text/Number</t>
        </is>
      </c>
      <c r="E166" t="inlineStr">
        <is>
          <t>Yes</t>
        </is>
      </c>
      <c r="F166" t="inlineStr">
        <is>
          <t>Input</t>
        </is>
      </c>
      <c r="G166" t="inlineStr">
        <is>
          <t>User / Config</t>
        </is>
      </c>
      <c r="H166" t="inlineStr">
        <is>
          <t>Lists_Config / formula</t>
        </is>
      </c>
      <c r="I166" t="inlineStr">
        <is>
          <t>BuildCostRegister, QA, Summary</t>
        </is>
      </c>
      <c r="J166" t="inlineStr">
        <is>
          <t>Header-based mapping required</t>
        </is>
      </c>
    </row>
    <row r="167">
      <c r="A167" t="inlineStr">
        <is>
          <t>Indirect_Owner_Costs</t>
        </is>
      </c>
      <c r="B167" t="inlineStr">
        <is>
          <t>Spend Category</t>
        </is>
      </c>
      <c r="C167" t="inlineStr">
        <is>
          <t>Spend Category for elementary cost item</t>
        </is>
      </c>
      <c r="D167" t="inlineStr">
        <is>
          <t>Text/Number</t>
        </is>
      </c>
      <c r="E167" t="inlineStr">
        <is>
          <t>Yes</t>
        </is>
      </c>
      <c r="F167" t="inlineStr">
        <is>
          <t>Input</t>
        </is>
      </c>
      <c r="G167" t="inlineStr">
        <is>
          <t>User / Config</t>
        </is>
      </c>
      <c r="H167" t="inlineStr">
        <is>
          <t>Lists_Config / formula</t>
        </is>
      </c>
      <c r="I167" t="inlineStr">
        <is>
          <t>BuildCostRegister, QA, Summary</t>
        </is>
      </c>
      <c r="J167" t="inlineStr">
        <is>
          <t>Header-based mapping required</t>
        </is>
      </c>
    </row>
    <row r="168">
      <c r="A168" t="inlineStr">
        <is>
          <t>Indirect_Owner_Costs</t>
        </is>
      </c>
      <c r="B168" t="inlineStr">
        <is>
          <t>Phase</t>
        </is>
      </c>
      <c r="C168" t="inlineStr">
        <is>
          <t>Phase for elementary cost item</t>
        </is>
      </c>
      <c r="D168" t="inlineStr">
        <is>
          <t>Text/Number</t>
        </is>
      </c>
      <c r="E168" t="inlineStr">
        <is>
          <t>Yes</t>
        </is>
      </c>
      <c r="F168" t="inlineStr">
        <is>
          <t>Input</t>
        </is>
      </c>
      <c r="G168" t="inlineStr">
        <is>
          <t>User / Config</t>
        </is>
      </c>
      <c r="H168" t="inlineStr">
        <is>
          <t>Lists_Config / formula</t>
        </is>
      </c>
      <c r="I168" t="inlineStr">
        <is>
          <t>BuildCostRegister, QA, Summary</t>
        </is>
      </c>
      <c r="J168" t="inlineStr">
        <is>
          <t>Header-based mapping required</t>
        </is>
      </c>
    </row>
    <row r="169">
      <c r="A169" t="inlineStr">
        <is>
          <t>Indirect_Owner_Costs</t>
        </is>
      </c>
      <c r="B169" t="inlineStr">
        <is>
          <t>Start Month</t>
        </is>
      </c>
      <c r="C169" t="inlineStr">
        <is>
          <t>Start Month for elementary cost item</t>
        </is>
      </c>
      <c r="D169" t="inlineStr">
        <is>
          <t>Text/Number</t>
        </is>
      </c>
      <c r="E169" t="inlineStr">
        <is>
          <t>Yes</t>
        </is>
      </c>
      <c r="F169" t="inlineStr">
        <is>
          <t>Input</t>
        </is>
      </c>
      <c r="G169" t="inlineStr">
        <is>
          <t>User / Config</t>
        </is>
      </c>
      <c r="H169" t="inlineStr">
        <is>
          <t>Lists_Config / formula</t>
        </is>
      </c>
      <c r="I169" t="inlineStr">
        <is>
          <t>BuildCostRegister, QA, Summary</t>
        </is>
      </c>
      <c r="J169" t="inlineStr">
        <is>
          <t>Header-based mapping required</t>
        </is>
      </c>
    </row>
    <row r="170">
      <c r="A170" t="inlineStr">
        <is>
          <t>Indirect_Owner_Costs</t>
        </is>
      </c>
      <c r="B170" t="inlineStr">
        <is>
          <t>End Month</t>
        </is>
      </c>
      <c r="C170" t="inlineStr">
        <is>
          <t>End Month for elementary cost item</t>
        </is>
      </c>
      <c r="D170" t="inlineStr">
        <is>
          <t>Text/Number</t>
        </is>
      </c>
      <c r="E170" t="inlineStr">
        <is>
          <t>Yes</t>
        </is>
      </c>
      <c r="F170" t="inlineStr">
        <is>
          <t>Input</t>
        </is>
      </c>
      <c r="G170" t="inlineStr">
        <is>
          <t>User / Config</t>
        </is>
      </c>
      <c r="H170" t="inlineStr">
        <is>
          <t>Lists_Config / formula</t>
        </is>
      </c>
      <c r="I170" t="inlineStr">
        <is>
          <t>BuildCostRegister, QA, Summary</t>
        </is>
      </c>
      <c r="J170" t="inlineStr">
        <is>
          <t>Header-based mapping required</t>
        </is>
      </c>
    </row>
    <row r="171">
      <c r="A171" t="inlineStr">
        <is>
          <t>Indirect_Owner_Costs</t>
        </is>
      </c>
      <c r="B171" t="inlineStr">
        <is>
          <t>Spend Curve</t>
        </is>
      </c>
      <c r="C171" t="inlineStr">
        <is>
          <t>Spend Curve for elementary cost item</t>
        </is>
      </c>
      <c r="D171" t="inlineStr">
        <is>
          <t>Text/Number</t>
        </is>
      </c>
      <c r="E171" t="inlineStr">
        <is>
          <t>Yes</t>
        </is>
      </c>
      <c r="F171" t="inlineStr">
        <is>
          <t>Input</t>
        </is>
      </c>
      <c r="G171" t="inlineStr">
        <is>
          <t>User / Config</t>
        </is>
      </c>
      <c r="H171" t="inlineStr">
        <is>
          <t>Lists_Config / formula</t>
        </is>
      </c>
      <c r="I171" t="inlineStr">
        <is>
          <t>BuildCostRegister, QA, Summary</t>
        </is>
      </c>
      <c r="J171" t="inlineStr">
        <is>
          <t>Header-based mapping required</t>
        </is>
      </c>
    </row>
    <row r="172">
      <c r="A172" t="inlineStr">
        <is>
          <t>Indirect_Owner_Costs</t>
        </is>
      </c>
      <c r="B172" t="inlineStr">
        <is>
          <t>Notes</t>
        </is>
      </c>
      <c r="C172" t="inlineStr">
        <is>
          <t>Notes for elementary cost item</t>
        </is>
      </c>
      <c r="D172" t="inlineStr">
        <is>
          <t>Text/Number</t>
        </is>
      </c>
      <c r="E172" t="inlineStr">
        <is>
          <t>No</t>
        </is>
      </c>
      <c r="F172" t="inlineStr">
        <is>
          <t>Input</t>
        </is>
      </c>
      <c r="G172" t="inlineStr">
        <is>
          <t>User / Config</t>
        </is>
      </c>
      <c r="H172" t="inlineStr">
        <is>
          <t>Lists_Config / formula</t>
        </is>
      </c>
      <c r="I172" t="inlineStr">
        <is>
          <t>BuildCostRegister, QA, Summary</t>
        </is>
      </c>
      <c r="J172" t="inlineStr">
        <is>
          <t>Header-based mapping required</t>
        </is>
      </c>
    </row>
    <row r="173">
      <c r="A173" t="inlineStr">
        <is>
          <t>Other_Costs</t>
        </is>
      </c>
      <c r="B173" t="inlineStr">
        <is>
          <t>Item ID</t>
        </is>
      </c>
      <c r="C173" t="inlineStr">
        <is>
          <t>Item ID for elementary cost item</t>
        </is>
      </c>
      <c r="D173" t="inlineStr">
        <is>
          <t>Text/Number</t>
        </is>
      </c>
      <c r="E173" t="inlineStr">
        <is>
          <t>Yes</t>
        </is>
      </c>
      <c r="F173" t="inlineStr">
        <is>
          <t>Input</t>
        </is>
      </c>
      <c r="G173" t="inlineStr">
        <is>
          <t>User / Config</t>
        </is>
      </c>
      <c r="H173" t="inlineStr">
        <is>
          <t>Lists_Config / formula</t>
        </is>
      </c>
      <c r="I173" t="inlineStr">
        <is>
          <t>BuildCostRegister, QA, Summary</t>
        </is>
      </c>
      <c r="J173" t="inlineStr">
        <is>
          <t>Header-based mapping required</t>
        </is>
      </c>
    </row>
    <row r="174">
      <c r="A174" t="inlineStr">
        <is>
          <t>Other_Costs</t>
        </is>
      </c>
      <c r="B174" t="inlineStr">
        <is>
          <t>Description</t>
        </is>
      </c>
      <c r="C174" t="inlineStr">
        <is>
          <t>Description for elementary cost item</t>
        </is>
      </c>
      <c r="D174" t="inlineStr">
        <is>
          <t>Text/Number</t>
        </is>
      </c>
      <c r="E174" t="inlineStr">
        <is>
          <t>Yes</t>
        </is>
      </c>
      <c r="F174" t="inlineStr">
        <is>
          <t>Input</t>
        </is>
      </c>
      <c r="G174" t="inlineStr">
        <is>
          <t>User / Config</t>
        </is>
      </c>
      <c r="H174" t="inlineStr">
        <is>
          <t>Lists_Config / formula</t>
        </is>
      </c>
      <c r="I174" t="inlineStr">
        <is>
          <t>BuildCostRegister, QA, Summary</t>
        </is>
      </c>
      <c r="J174" t="inlineStr">
        <is>
          <t>Header-based mapping required</t>
        </is>
      </c>
    </row>
    <row r="175">
      <c r="A175" t="inlineStr">
        <is>
          <t>Other_Costs</t>
        </is>
      </c>
      <c r="B175" t="inlineStr">
        <is>
          <t>Discipline</t>
        </is>
      </c>
      <c r="C175" t="inlineStr">
        <is>
          <t>Discipline for elementary cost item</t>
        </is>
      </c>
      <c r="D175" t="inlineStr">
        <is>
          <t>Text/Number</t>
        </is>
      </c>
      <c r="E175" t="inlineStr">
        <is>
          <t>Yes</t>
        </is>
      </c>
      <c r="F175" t="inlineStr">
        <is>
          <t>Input</t>
        </is>
      </c>
      <c r="G175" t="inlineStr">
        <is>
          <t>User / Config</t>
        </is>
      </c>
      <c r="H175" t="inlineStr">
        <is>
          <t>Lists_Config / formula</t>
        </is>
      </c>
      <c r="I175" t="inlineStr">
        <is>
          <t>BuildCostRegister, QA, Summary</t>
        </is>
      </c>
      <c r="J175" t="inlineStr">
        <is>
          <t>Header-based mapping required</t>
        </is>
      </c>
    </row>
    <row r="176">
      <c r="A176" t="inlineStr">
        <is>
          <t>Other_Costs</t>
        </is>
      </c>
      <c r="B176" t="inlineStr">
        <is>
          <t>WBS</t>
        </is>
      </c>
      <c r="C176" t="inlineStr">
        <is>
          <t>WBS for elementary cost item</t>
        </is>
      </c>
      <c r="D176" t="inlineStr">
        <is>
          <t>Text/Number</t>
        </is>
      </c>
      <c r="E176" t="inlineStr">
        <is>
          <t>Yes</t>
        </is>
      </c>
      <c r="F176" t="inlineStr">
        <is>
          <t>Input</t>
        </is>
      </c>
      <c r="G176" t="inlineStr">
        <is>
          <t>User / Config</t>
        </is>
      </c>
      <c r="H176" t="inlineStr">
        <is>
          <t>Lists_Config / formula</t>
        </is>
      </c>
      <c r="I176" t="inlineStr">
        <is>
          <t>BuildCostRegister, QA, Summary</t>
        </is>
      </c>
      <c r="J176" t="inlineStr">
        <is>
          <t>Header-based mapping required</t>
        </is>
      </c>
    </row>
    <row r="177">
      <c r="A177" t="inlineStr">
        <is>
          <t>Other_Costs</t>
        </is>
      </c>
      <c r="B177" t="inlineStr">
        <is>
          <t>CBS</t>
        </is>
      </c>
      <c r="C177" t="inlineStr">
        <is>
          <t>CBS for elementary cost item</t>
        </is>
      </c>
      <c r="D177" t="inlineStr">
        <is>
          <t>Text/Number</t>
        </is>
      </c>
      <c r="E177" t="inlineStr">
        <is>
          <t>Yes</t>
        </is>
      </c>
      <c r="F177" t="inlineStr">
        <is>
          <t>Input</t>
        </is>
      </c>
      <c r="G177" t="inlineStr">
        <is>
          <t>User / Config</t>
        </is>
      </c>
      <c r="H177" t="inlineStr">
        <is>
          <t>Lists_Config / formula</t>
        </is>
      </c>
      <c r="I177" t="inlineStr">
        <is>
          <t>BuildCostRegister, QA, Summary</t>
        </is>
      </c>
      <c r="J177" t="inlineStr">
        <is>
          <t>Header-based mapping required</t>
        </is>
      </c>
    </row>
    <row r="178">
      <c r="A178" t="inlineStr">
        <is>
          <t>Other_Costs</t>
        </is>
      </c>
      <c r="B178" t="inlineStr">
        <is>
          <t>Cost Category</t>
        </is>
      </c>
      <c r="C178" t="inlineStr">
        <is>
          <t>Cost Category for elementary cost item</t>
        </is>
      </c>
      <c r="D178" t="inlineStr">
        <is>
          <t>Text/Number</t>
        </is>
      </c>
      <c r="E178" t="inlineStr">
        <is>
          <t>Yes</t>
        </is>
      </c>
      <c r="F178" t="inlineStr">
        <is>
          <t>Input</t>
        </is>
      </c>
      <c r="G178" t="inlineStr">
        <is>
          <t>User / Config</t>
        </is>
      </c>
      <c r="H178" t="inlineStr">
        <is>
          <t>Lists_Config / formula</t>
        </is>
      </c>
      <c r="I178" t="inlineStr">
        <is>
          <t>BuildCostRegister, QA, Summary</t>
        </is>
      </c>
      <c r="J178" t="inlineStr">
        <is>
          <t>Header-based mapping required</t>
        </is>
      </c>
    </row>
    <row r="179">
      <c r="A179" t="inlineStr">
        <is>
          <t>Other_Costs</t>
        </is>
      </c>
      <c r="B179" t="inlineStr">
        <is>
          <t>Cost Type</t>
        </is>
      </c>
      <c r="C179" t="inlineStr">
        <is>
          <t>Cost Type for elementary cost item</t>
        </is>
      </c>
      <c r="D179" t="inlineStr">
        <is>
          <t>Text/Number</t>
        </is>
      </c>
      <c r="E179" t="inlineStr">
        <is>
          <t>Yes</t>
        </is>
      </c>
      <c r="F179" t="inlineStr">
        <is>
          <t>Input</t>
        </is>
      </c>
      <c r="G179" t="inlineStr">
        <is>
          <t>User / Config</t>
        </is>
      </c>
      <c r="H179" t="inlineStr">
        <is>
          <t>Lists_Config / formula</t>
        </is>
      </c>
      <c r="I179" t="inlineStr">
        <is>
          <t>BuildCostRegister, QA, Summary</t>
        </is>
      </c>
      <c r="J179" t="inlineStr">
        <is>
          <t>Header-based mapping required</t>
        </is>
      </c>
    </row>
    <row r="180">
      <c r="A180" t="inlineStr">
        <is>
          <t>Other_Costs</t>
        </is>
      </c>
      <c r="B180" t="inlineStr">
        <is>
          <t>Quantity</t>
        </is>
      </c>
      <c r="C180" t="inlineStr">
        <is>
          <t>Quantity for elementary cost item</t>
        </is>
      </c>
      <c r="D180" t="inlineStr">
        <is>
          <t>Text/Number</t>
        </is>
      </c>
      <c r="E180" t="inlineStr">
        <is>
          <t>Yes</t>
        </is>
      </c>
      <c r="F180" t="inlineStr">
        <is>
          <t>Input</t>
        </is>
      </c>
      <c r="G180" t="inlineStr">
        <is>
          <t>User / Config</t>
        </is>
      </c>
      <c r="H180" t="inlineStr">
        <is>
          <t>Lists_Config / formula</t>
        </is>
      </c>
      <c r="I180" t="inlineStr">
        <is>
          <t>BuildCostRegister, QA, Summary</t>
        </is>
      </c>
      <c r="J180" t="inlineStr">
        <is>
          <t>Header-based mapping required</t>
        </is>
      </c>
    </row>
    <row r="181">
      <c r="A181" t="inlineStr">
        <is>
          <t>Other_Costs</t>
        </is>
      </c>
      <c r="B181" t="inlineStr">
        <is>
          <t>Unit</t>
        </is>
      </c>
      <c r="C181" t="inlineStr">
        <is>
          <t>Unit for elementary cost item</t>
        </is>
      </c>
      <c r="D181" t="inlineStr">
        <is>
          <t>Text/Number</t>
        </is>
      </c>
      <c r="E181" t="inlineStr">
        <is>
          <t>Yes</t>
        </is>
      </c>
      <c r="F181" t="inlineStr">
        <is>
          <t>Input</t>
        </is>
      </c>
      <c r="G181" t="inlineStr">
        <is>
          <t>User / Config</t>
        </is>
      </c>
      <c r="H181" t="inlineStr">
        <is>
          <t>Lists_Config / formula</t>
        </is>
      </c>
      <c r="I181" t="inlineStr">
        <is>
          <t>BuildCostRegister, QA, Summary</t>
        </is>
      </c>
      <c r="J181" t="inlineStr">
        <is>
          <t>Header-based mapping required</t>
        </is>
      </c>
    </row>
    <row r="182">
      <c r="A182" t="inlineStr">
        <is>
          <t>Other_Costs</t>
        </is>
      </c>
      <c r="B182" t="inlineStr">
        <is>
          <t>Unit Rate</t>
        </is>
      </c>
      <c r="C182" t="inlineStr">
        <is>
          <t>Unit Rate for elementary cost item</t>
        </is>
      </c>
      <c r="D182" t="inlineStr">
        <is>
          <t>Text/Number</t>
        </is>
      </c>
      <c r="E182" t="inlineStr">
        <is>
          <t>Yes</t>
        </is>
      </c>
      <c r="F182" t="inlineStr">
        <is>
          <t>Input</t>
        </is>
      </c>
      <c r="G182" t="inlineStr">
        <is>
          <t>User / Config</t>
        </is>
      </c>
      <c r="H182" t="inlineStr">
        <is>
          <t>Lists_Config / formula</t>
        </is>
      </c>
      <c r="I182" t="inlineStr">
        <is>
          <t>BuildCostRegister, QA, Summary</t>
        </is>
      </c>
      <c r="J182" t="inlineStr">
        <is>
          <t>Header-based mapping required</t>
        </is>
      </c>
    </row>
    <row r="183">
      <c r="A183" t="inlineStr">
        <is>
          <t>Other_Costs</t>
        </is>
      </c>
      <c r="B183" t="inlineStr">
        <is>
          <t>Currency</t>
        </is>
      </c>
      <c r="C183" t="inlineStr">
        <is>
          <t>Currency for elementary cost item</t>
        </is>
      </c>
      <c r="D183" t="inlineStr">
        <is>
          <t>Text/Number</t>
        </is>
      </c>
      <c r="E183" t="inlineStr">
        <is>
          <t>Yes</t>
        </is>
      </c>
      <c r="F183" t="inlineStr">
        <is>
          <t>Input</t>
        </is>
      </c>
      <c r="G183" t="inlineStr">
        <is>
          <t>User / Config</t>
        </is>
      </c>
      <c r="H183" t="inlineStr">
        <is>
          <t>Lists_Config / formula</t>
        </is>
      </c>
      <c r="I183" t="inlineStr">
        <is>
          <t>BuildCostRegister, QA, Summary</t>
        </is>
      </c>
      <c r="J183" t="inlineStr">
        <is>
          <t>Header-based mapping required</t>
        </is>
      </c>
    </row>
    <row r="184">
      <c r="A184" t="inlineStr">
        <is>
          <t>Other_Costs</t>
        </is>
      </c>
      <c r="B184" t="inlineStr">
        <is>
          <t>FX Rate</t>
        </is>
      </c>
      <c r="C184" t="inlineStr">
        <is>
          <t>FX Rate for elementary cost item</t>
        </is>
      </c>
      <c r="D184" t="inlineStr">
        <is>
          <t>Text/Number</t>
        </is>
      </c>
      <c r="E184" t="inlineStr">
        <is>
          <t>Yes</t>
        </is>
      </c>
      <c r="F184" t="inlineStr">
        <is>
          <t>Formula</t>
        </is>
      </c>
      <c r="G184" t="inlineStr">
        <is>
          <t>User / Config</t>
        </is>
      </c>
      <c r="H184" t="inlineStr">
        <is>
          <t>Lists_Config / formula</t>
        </is>
      </c>
      <c r="I184" t="inlineStr">
        <is>
          <t>BuildCostRegister, QA, Summary</t>
        </is>
      </c>
      <c r="J184" t="inlineStr">
        <is>
          <t>Header-based mapping required</t>
        </is>
      </c>
    </row>
    <row r="185">
      <c r="A185" t="inlineStr">
        <is>
          <t>Other_Costs</t>
        </is>
      </c>
      <c r="B185" t="inlineStr">
        <is>
          <t>Base Cost</t>
        </is>
      </c>
      <c r="C185" t="inlineStr">
        <is>
          <t>Base Cost for elementary cost item</t>
        </is>
      </c>
      <c r="D185" t="inlineStr">
        <is>
          <t>Text/Number</t>
        </is>
      </c>
      <c r="E185" t="inlineStr">
        <is>
          <t>Yes</t>
        </is>
      </c>
      <c r="F185" t="inlineStr">
        <is>
          <t>Formula</t>
        </is>
      </c>
      <c r="G185" t="inlineStr">
        <is>
          <t>User / Config</t>
        </is>
      </c>
      <c r="H185" t="inlineStr">
        <is>
          <t>Lists_Config / formula</t>
        </is>
      </c>
      <c r="I185" t="inlineStr">
        <is>
          <t>BuildCostRegister, QA, Summary</t>
        </is>
      </c>
      <c r="J185" t="inlineStr">
        <is>
          <t>Header-based mapping required</t>
        </is>
      </c>
    </row>
    <row r="186">
      <c r="A186" t="inlineStr">
        <is>
          <t>Other_Costs</t>
        </is>
      </c>
      <c r="B186" t="inlineStr">
        <is>
          <t>Base Cost EUR</t>
        </is>
      </c>
      <c r="C186" t="inlineStr">
        <is>
          <t>Base Cost EUR for elementary cost item</t>
        </is>
      </c>
      <c r="D186" t="inlineStr">
        <is>
          <t>Text/Number</t>
        </is>
      </c>
      <c r="E186" t="inlineStr">
        <is>
          <t>Yes</t>
        </is>
      </c>
      <c r="F186" t="inlineStr">
        <is>
          <t>Formula</t>
        </is>
      </c>
      <c r="G186" t="inlineStr">
        <is>
          <t>User / Config</t>
        </is>
      </c>
      <c r="H186" t="inlineStr">
        <is>
          <t>Lists_Config / formula</t>
        </is>
      </c>
      <c r="I186" t="inlineStr">
        <is>
          <t>BuildCostRegister, QA, Summary</t>
        </is>
      </c>
      <c r="J186" t="inlineStr">
        <is>
          <t>Header-based mapping required</t>
        </is>
      </c>
    </row>
    <row r="187">
      <c r="A187" t="inlineStr">
        <is>
          <t>Other_Costs</t>
        </is>
      </c>
      <c r="B187" t="inlineStr">
        <is>
          <t>Estimate Basis</t>
        </is>
      </c>
      <c r="C187" t="inlineStr">
        <is>
          <t>Estimate Basis for elementary cost item</t>
        </is>
      </c>
      <c r="D187" t="inlineStr">
        <is>
          <t>Text/Number</t>
        </is>
      </c>
      <c r="E187" t="inlineStr">
        <is>
          <t>Yes</t>
        </is>
      </c>
      <c r="F187" t="inlineStr">
        <is>
          <t>Input</t>
        </is>
      </c>
      <c r="G187" t="inlineStr">
        <is>
          <t>User / Config</t>
        </is>
      </c>
      <c r="H187" t="inlineStr">
        <is>
          <t>Lists_Config / formula</t>
        </is>
      </c>
      <c r="I187" t="inlineStr">
        <is>
          <t>BuildCostRegister, QA, Summary</t>
        </is>
      </c>
      <c r="J187" t="inlineStr">
        <is>
          <t>Header-based mapping required</t>
        </is>
      </c>
    </row>
    <row r="188">
      <c r="A188" t="inlineStr">
        <is>
          <t>Other_Costs</t>
        </is>
      </c>
      <c r="B188" t="inlineStr">
        <is>
          <t>Accuracy Low %</t>
        </is>
      </c>
      <c r="C188" t="inlineStr">
        <is>
          <t>Accuracy Low % for elementary cost item</t>
        </is>
      </c>
      <c r="D188" t="inlineStr">
        <is>
          <t>Text/Number</t>
        </is>
      </c>
      <c r="E188" t="inlineStr">
        <is>
          <t>Yes</t>
        </is>
      </c>
      <c r="F188" t="inlineStr">
        <is>
          <t>Formula</t>
        </is>
      </c>
      <c r="G188" t="inlineStr">
        <is>
          <t>User / Config</t>
        </is>
      </c>
      <c r="H188" t="inlineStr">
        <is>
          <t>Lists_Config / formula</t>
        </is>
      </c>
      <c r="I188" t="inlineStr">
        <is>
          <t>BuildCostRegister, QA, Summary</t>
        </is>
      </c>
      <c r="J188" t="inlineStr">
        <is>
          <t>Header-based mapping required</t>
        </is>
      </c>
    </row>
    <row r="189">
      <c r="A189" t="inlineStr">
        <is>
          <t>Other_Costs</t>
        </is>
      </c>
      <c r="B189" t="inlineStr">
        <is>
          <t>Accuracy High %</t>
        </is>
      </c>
      <c r="C189" t="inlineStr">
        <is>
          <t>Accuracy High % for elementary cost item</t>
        </is>
      </c>
      <c r="D189" t="inlineStr">
        <is>
          <t>Text/Number</t>
        </is>
      </c>
      <c r="E189" t="inlineStr">
        <is>
          <t>Yes</t>
        </is>
      </c>
      <c r="F189" t="inlineStr">
        <is>
          <t>Formula</t>
        </is>
      </c>
      <c r="G189" t="inlineStr">
        <is>
          <t>User / Config</t>
        </is>
      </c>
      <c r="H189" t="inlineStr">
        <is>
          <t>Lists_Config / formula</t>
        </is>
      </c>
      <c r="I189" t="inlineStr">
        <is>
          <t>BuildCostRegister, QA, Summary</t>
        </is>
      </c>
      <c r="J189" t="inlineStr">
        <is>
          <t>Header-based mapping required</t>
        </is>
      </c>
    </row>
    <row r="190">
      <c r="A190" t="inlineStr">
        <is>
          <t>Other_Costs</t>
        </is>
      </c>
      <c r="B190" t="inlineStr">
        <is>
          <t>Low Cost</t>
        </is>
      </c>
      <c r="C190" t="inlineStr">
        <is>
          <t>Low Cost for elementary cost item</t>
        </is>
      </c>
      <c r="D190" t="inlineStr">
        <is>
          <t>Text/Number</t>
        </is>
      </c>
      <c r="E190" t="inlineStr">
        <is>
          <t>Yes</t>
        </is>
      </c>
      <c r="F190" t="inlineStr">
        <is>
          <t>Formula</t>
        </is>
      </c>
      <c r="G190" t="inlineStr">
        <is>
          <t>User / Config</t>
        </is>
      </c>
      <c r="H190" t="inlineStr">
        <is>
          <t>Lists_Config / formula</t>
        </is>
      </c>
      <c r="I190" t="inlineStr">
        <is>
          <t>BuildCostRegister, QA, Summary</t>
        </is>
      </c>
      <c r="J190" t="inlineStr">
        <is>
          <t>Header-based mapping required</t>
        </is>
      </c>
    </row>
    <row r="191">
      <c r="A191" t="inlineStr">
        <is>
          <t>Other_Costs</t>
        </is>
      </c>
      <c r="B191" t="inlineStr">
        <is>
          <t>Most Likely Cost</t>
        </is>
      </c>
      <c r="C191" t="inlineStr">
        <is>
          <t>Most Likely Cost for elementary cost item</t>
        </is>
      </c>
      <c r="D191" t="inlineStr">
        <is>
          <t>Text/Number</t>
        </is>
      </c>
      <c r="E191" t="inlineStr">
        <is>
          <t>Yes</t>
        </is>
      </c>
      <c r="F191" t="inlineStr">
        <is>
          <t>Formula</t>
        </is>
      </c>
      <c r="G191" t="inlineStr">
        <is>
          <t>User / Config</t>
        </is>
      </c>
      <c r="H191" t="inlineStr">
        <is>
          <t>Lists_Config / formula</t>
        </is>
      </c>
      <c r="I191" t="inlineStr">
        <is>
          <t>BuildCostRegister, QA, Summary</t>
        </is>
      </c>
      <c r="J191" t="inlineStr">
        <is>
          <t>Header-based mapping required</t>
        </is>
      </c>
    </row>
    <row r="192">
      <c r="A192" t="inlineStr">
        <is>
          <t>Other_Costs</t>
        </is>
      </c>
      <c r="B192" t="inlineStr">
        <is>
          <t>High Cost</t>
        </is>
      </c>
      <c r="C192" t="inlineStr">
        <is>
          <t>High Cost for elementary cost item</t>
        </is>
      </c>
      <c r="D192" t="inlineStr">
        <is>
          <t>Text/Number</t>
        </is>
      </c>
      <c r="E192" t="inlineStr">
        <is>
          <t>Yes</t>
        </is>
      </c>
      <c r="F192" t="inlineStr">
        <is>
          <t>Formula</t>
        </is>
      </c>
      <c r="G192" t="inlineStr">
        <is>
          <t>User / Config</t>
        </is>
      </c>
      <c r="H192" t="inlineStr">
        <is>
          <t>Lists_Config / formula</t>
        </is>
      </c>
      <c r="I192" t="inlineStr">
        <is>
          <t>BuildCostRegister, QA, Summary</t>
        </is>
      </c>
      <c r="J192" t="inlineStr">
        <is>
          <t>Header-based mapping required</t>
        </is>
      </c>
    </row>
    <row r="193">
      <c r="A193" t="inlineStr">
        <is>
          <t>Other_Costs</t>
        </is>
      </c>
      <c r="B193" t="inlineStr">
        <is>
          <t>Contingency Eligible</t>
        </is>
      </c>
      <c r="C193" t="inlineStr">
        <is>
          <t>Contingency Eligible for elementary cost item</t>
        </is>
      </c>
      <c r="D193" t="inlineStr">
        <is>
          <t>Text/Number</t>
        </is>
      </c>
      <c r="E193" t="inlineStr">
        <is>
          <t>Yes</t>
        </is>
      </c>
      <c r="F193" t="inlineStr">
        <is>
          <t>Input</t>
        </is>
      </c>
      <c r="G193" t="inlineStr">
        <is>
          <t>User / Config</t>
        </is>
      </c>
      <c r="H193" t="inlineStr">
        <is>
          <t>Lists_Config / formula</t>
        </is>
      </c>
      <c r="I193" t="inlineStr">
        <is>
          <t>BuildCostRegister, QA, Summary</t>
        </is>
      </c>
      <c r="J193" t="inlineStr">
        <is>
          <t>Header-based mapping required</t>
        </is>
      </c>
    </row>
    <row r="194">
      <c r="A194" t="inlineStr">
        <is>
          <t>Other_Costs</t>
        </is>
      </c>
      <c r="B194" t="inlineStr">
        <is>
          <t>Escalation Eligible</t>
        </is>
      </c>
      <c r="C194" t="inlineStr">
        <is>
          <t>Escalation Eligible for elementary cost item</t>
        </is>
      </c>
      <c r="D194" t="inlineStr">
        <is>
          <t>Text/Number</t>
        </is>
      </c>
      <c r="E194" t="inlineStr">
        <is>
          <t>Yes</t>
        </is>
      </c>
      <c r="F194" t="inlineStr">
        <is>
          <t>Input</t>
        </is>
      </c>
      <c r="G194" t="inlineStr">
        <is>
          <t>User / Config</t>
        </is>
      </c>
      <c r="H194" t="inlineStr">
        <is>
          <t>Lists_Config / formula</t>
        </is>
      </c>
      <c r="I194" t="inlineStr">
        <is>
          <t>BuildCostRegister, QA, Summary</t>
        </is>
      </c>
      <c r="J194" t="inlineStr">
        <is>
          <t>Header-based mapping required</t>
        </is>
      </c>
    </row>
    <row r="195">
      <c r="A195" t="inlineStr">
        <is>
          <t>Other_Costs</t>
        </is>
      </c>
      <c r="B195" t="inlineStr">
        <is>
          <t>Spend Category</t>
        </is>
      </c>
      <c r="C195" t="inlineStr">
        <is>
          <t>Spend Category for elementary cost item</t>
        </is>
      </c>
      <c r="D195" t="inlineStr">
        <is>
          <t>Text/Number</t>
        </is>
      </c>
      <c r="E195" t="inlineStr">
        <is>
          <t>Yes</t>
        </is>
      </c>
      <c r="F195" t="inlineStr">
        <is>
          <t>Input</t>
        </is>
      </c>
      <c r="G195" t="inlineStr">
        <is>
          <t>User / Config</t>
        </is>
      </c>
      <c r="H195" t="inlineStr">
        <is>
          <t>Lists_Config / formula</t>
        </is>
      </c>
      <c r="I195" t="inlineStr">
        <is>
          <t>BuildCostRegister, QA, Summary</t>
        </is>
      </c>
      <c r="J195" t="inlineStr">
        <is>
          <t>Header-based mapping required</t>
        </is>
      </c>
    </row>
    <row r="196">
      <c r="A196" t="inlineStr">
        <is>
          <t>Other_Costs</t>
        </is>
      </c>
      <c r="B196" t="inlineStr">
        <is>
          <t>Phase</t>
        </is>
      </c>
      <c r="C196" t="inlineStr">
        <is>
          <t>Phase for elementary cost item</t>
        </is>
      </c>
      <c r="D196" t="inlineStr">
        <is>
          <t>Text/Number</t>
        </is>
      </c>
      <c r="E196" t="inlineStr">
        <is>
          <t>Yes</t>
        </is>
      </c>
      <c r="F196" t="inlineStr">
        <is>
          <t>Input</t>
        </is>
      </c>
      <c r="G196" t="inlineStr">
        <is>
          <t>User / Config</t>
        </is>
      </c>
      <c r="H196" t="inlineStr">
        <is>
          <t>Lists_Config / formula</t>
        </is>
      </c>
      <c r="I196" t="inlineStr">
        <is>
          <t>BuildCostRegister, QA, Summary</t>
        </is>
      </c>
      <c r="J196" t="inlineStr">
        <is>
          <t>Header-based mapping required</t>
        </is>
      </c>
    </row>
    <row r="197">
      <c r="A197" t="inlineStr">
        <is>
          <t>Other_Costs</t>
        </is>
      </c>
      <c r="B197" t="inlineStr">
        <is>
          <t>Start Month</t>
        </is>
      </c>
      <c r="C197" t="inlineStr">
        <is>
          <t>Start Month for elementary cost item</t>
        </is>
      </c>
      <c r="D197" t="inlineStr">
        <is>
          <t>Text/Number</t>
        </is>
      </c>
      <c r="E197" t="inlineStr">
        <is>
          <t>Yes</t>
        </is>
      </c>
      <c r="F197" t="inlineStr">
        <is>
          <t>Input</t>
        </is>
      </c>
      <c r="G197" t="inlineStr">
        <is>
          <t>User / Config</t>
        </is>
      </c>
      <c r="H197" t="inlineStr">
        <is>
          <t>Lists_Config / formula</t>
        </is>
      </c>
      <c r="I197" t="inlineStr">
        <is>
          <t>BuildCostRegister, QA, Summary</t>
        </is>
      </c>
      <c r="J197" t="inlineStr">
        <is>
          <t>Header-based mapping required</t>
        </is>
      </c>
    </row>
    <row r="198">
      <c r="A198" t="inlineStr">
        <is>
          <t>Other_Costs</t>
        </is>
      </c>
      <c r="B198" t="inlineStr">
        <is>
          <t>End Month</t>
        </is>
      </c>
      <c r="C198" t="inlineStr">
        <is>
          <t>End Month for elementary cost item</t>
        </is>
      </c>
      <c r="D198" t="inlineStr">
        <is>
          <t>Text/Number</t>
        </is>
      </c>
      <c r="E198" t="inlineStr">
        <is>
          <t>Yes</t>
        </is>
      </c>
      <c r="F198" t="inlineStr">
        <is>
          <t>Input</t>
        </is>
      </c>
      <c r="G198" t="inlineStr">
        <is>
          <t>User / Config</t>
        </is>
      </c>
      <c r="H198" t="inlineStr">
        <is>
          <t>Lists_Config / formula</t>
        </is>
      </c>
      <c r="I198" t="inlineStr">
        <is>
          <t>BuildCostRegister, QA, Summary</t>
        </is>
      </c>
      <c r="J198" t="inlineStr">
        <is>
          <t>Header-based mapping required</t>
        </is>
      </c>
    </row>
    <row r="199">
      <c r="A199" t="inlineStr">
        <is>
          <t>Other_Costs</t>
        </is>
      </c>
      <c r="B199" t="inlineStr">
        <is>
          <t>Spend Curve</t>
        </is>
      </c>
      <c r="C199" t="inlineStr">
        <is>
          <t>Spend Curve for elementary cost item</t>
        </is>
      </c>
      <c r="D199" t="inlineStr">
        <is>
          <t>Text/Number</t>
        </is>
      </c>
      <c r="E199" t="inlineStr">
        <is>
          <t>Yes</t>
        </is>
      </c>
      <c r="F199" t="inlineStr">
        <is>
          <t>Input</t>
        </is>
      </c>
      <c r="G199" t="inlineStr">
        <is>
          <t>User / Config</t>
        </is>
      </c>
      <c r="H199" t="inlineStr">
        <is>
          <t>Lists_Config / formula</t>
        </is>
      </c>
      <c r="I199" t="inlineStr">
        <is>
          <t>BuildCostRegister, QA, Summary</t>
        </is>
      </c>
      <c r="J199" t="inlineStr">
        <is>
          <t>Header-based mapping required</t>
        </is>
      </c>
    </row>
    <row r="200">
      <c r="A200" t="inlineStr">
        <is>
          <t>Other_Costs</t>
        </is>
      </c>
      <c r="B200" t="inlineStr">
        <is>
          <t>Notes</t>
        </is>
      </c>
      <c r="C200" t="inlineStr">
        <is>
          <t>Notes for elementary cost item</t>
        </is>
      </c>
      <c r="D200" t="inlineStr">
        <is>
          <t>Text/Number</t>
        </is>
      </c>
      <c r="E200" t="inlineStr">
        <is>
          <t>No</t>
        </is>
      </c>
      <c r="F200" t="inlineStr">
        <is>
          <t>Input</t>
        </is>
      </c>
      <c r="G200" t="inlineStr">
        <is>
          <t>User / Config</t>
        </is>
      </c>
      <c r="H200" t="inlineStr">
        <is>
          <t>Lists_Config / formula</t>
        </is>
      </c>
      <c r="I200" t="inlineStr">
        <is>
          <t>BuildCostRegister, QA, Summary</t>
        </is>
      </c>
      <c r="J200" t="inlineStr">
        <is>
          <t>Header-based mapping required</t>
        </is>
      </c>
    </row>
    <row r="201">
      <c r="A201" t="inlineStr">
        <is>
          <t>Resource_Rates</t>
        </is>
      </c>
      <c r="B201" t="inlineStr">
        <is>
          <t>Role</t>
        </is>
      </c>
      <c r="C201" t="inlineStr">
        <is>
          <t>Role field</t>
        </is>
      </c>
      <c r="D201" t="inlineStr">
        <is>
          <t>Text/Number</t>
        </is>
      </c>
      <c r="E201" t="inlineStr">
        <is>
          <t>Yes</t>
        </is>
      </c>
      <c r="F201" t="inlineStr">
        <is>
          <t>Input/Formula</t>
        </is>
      </c>
      <c r="G201" t="inlineStr">
        <is>
          <t>User / FX_Rates</t>
        </is>
      </c>
      <c r="H201" t="inlineStr">
        <is>
          <t>Lists_Config</t>
        </is>
      </c>
      <c r="I201" t="inlineStr">
        <is>
          <t>Manpower_Plan</t>
        </is>
      </c>
    </row>
    <row r="202">
      <c r="A202" t="inlineStr">
        <is>
          <t>Resource_Rates</t>
        </is>
      </c>
      <c r="B202" t="inlineStr">
        <is>
          <t>Discipline</t>
        </is>
      </c>
      <c r="C202" t="inlineStr">
        <is>
          <t>Discipline field</t>
        </is>
      </c>
      <c r="D202" t="inlineStr">
        <is>
          <t>Text/Number</t>
        </is>
      </c>
      <c r="E202" t="inlineStr">
        <is>
          <t>Yes</t>
        </is>
      </c>
      <c r="F202" t="inlineStr">
        <is>
          <t>Input/Formula</t>
        </is>
      </c>
      <c r="G202" t="inlineStr">
        <is>
          <t>User / FX_Rates</t>
        </is>
      </c>
      <c r="H202" t="inlineStr">
        <is>
          <t>Lists_Config</t>
        </is>
      </c>
      <c r="I202" t="inlineStr">
        <is>
          <t>Manpower_Plan</t>
        </is>
      </c>
    </row>
    <row r="203">
      <c r="A203" t="inlineStr">
        <is>
          <t>Resource_Rates</t>
        </is>
      </c>
      <c r="B203" t="inlineStr">
        <is>
          <t>Location</t>
        </is>
      </c>
      <c r="C203" t="inlineStr">
        <is>
          <t>Location field</t>
        </is>
      </c>
      <c r="D203" t="inlineStr">
        <is>
          <t>Text/Number</t>
        </is>
      </c>
      <c r="E203" t="inlineStr">
        <is>
          <t>Yes</t>
        </is>
      </c>
      <c r="F203" t="inlineStr">
        <is>
          <t>Input/Formula</t>
        </is>
      </c>
      <c r="G203" t="inlineStr">
        <is>
          <t>User / FX_Rates</t>
        </is>
      </c>
      <c r="H203" t="inlineStr">
        <is>
          <t>Lists_Config</t>
        </is>
      </c>
      <c r="I203" t="inlineStr">
        <is>
          <t>Manpower_Plan</t>
        </is>
      </c>
    </row>
    <row r="204">
      <c r="A204" t="inlineStr">
        <is>
          <t>Resource_Rates</t>
        </is>
      </c>
      <c r="B204" t="inlineStr">
        <is>
          <t>Currency</t>
        </is>
      </c>
      <c r="C204" t="inlineStr">
        <is>
          <t>Currency field</t>
        </is>
      </c>
      <c r="D204" t="inlineStr">
        <is>
          <t>Text/Number</t>
        </is>
      </c>
      <c r="E204" t="inlineStr">
        <is>
          <t>Yes</t>
        </is>
      </c>
      <c r="F204" t="inlineStr">
        <is>
          <t>Input/Formula</t>
        </is>
      </c>
      <c r="G204" t="inlineStr">
        <is>
          <t>User / FX_Rates</t>
        </is>
      </c>
      <c r="H204" t="inlineStr">
        <is>
          <t>Lists_Config</t>
        </is>
      </c>
      <c r="I204" t="inlineStr">
        <is>
          <t>Manpower_Plan</t>
        </is>
      </c>
    </row>
    <row r="205">
      <c r="A205" t="inlineStr">
        <is>
          <t>Resource_Rates</t>
        </is>
      </c>
      <c r="B205" t="inlineStr">
        <is>
          <t>Hourly Rate</t>
        </is>
      </c>
      <c r="C205" t="inlineStr">
        <is>
          <t>Hourly Rate field</t>
        </is>
      </c>
      <c r="D205" t="inlineStr">
        <is>
          <t>Text/Number</t>
        </is>
      </c>
      <c r="E205" t="inlineStr">
        <is>
          <t>Yes</t>
        </is>
      </c>
      <c r="F205" t="inlineStr">
        <is>
          <t>Input/Formula</t>
        </is>
      </c>
      <c r="G205" t="inlineStr">
        <is>
          <t>User / FX_Rates</t>
        </is>
      </c>
      <c r="H205" t="inlineStr">
        <is>
          <t>Lists_Config</t>
        </is>
      </c>
      <c r="I205" t="inlineStr">
        <is>
          <t>Manpower_Plan</t>
        </is>
      </c>
    </row>
    <row r="206">
      <c r="A206" t="inlineStr">
        <is>
          <t>Resource_Rates</t>
        </is>
      </c>
      <c r="B206" t="inlineStr">
        <is>
          <t>Hours per Month</t>
        </is>
      </c>
      <c r="C206" t="inlineStr">
        <is>
          <t>Hours per Month field</t>
        </is>
      </c>
      <c r="D206" t="inlineStr">
        <is>
          <t>Text/Number</t>
        </is>
      </c>
      <c r="E206" t="inlineStr">
        <is>
          <t>Yes</t>
        </is>
      </c>
      <c r="F206" t="inlineStr">
        <is>
          <t>Input/Formula</t>
        </is>
      </c>
      <c r="G206" t="inlineStr">
        <is>
          <t>User / FX_Rates</t>
        </is>
      </c>
      <c r="H206" t="inlineStr">
        <is>
          <t>Lists_Config</t>
        </is>
      </c>
      <c r="I206" t="inlineStr">
        <is>
          <t>Manpower_Plan</t>
        </is>
      </c>
    </row>
    <row r="207">
      <c r="A207" t="inlineStr">
        <is>
          <t>Resource_Rates</t>
        </is>
      </c>
      <c r="B207" t="inlineStr">
        <is>
          <t>Monthly Rate</t>
        </is>
      </c>
      <c r="C207" t="inlineStr">
        <is>
          <t>Monthly Rate field</t>
        </is>
      </c>
      <c r="D207" t="inlineStr">
        <is>
          <t>Text/Number</t>
        </is>
      </c>
      <c r="E207" t="inlineStr">
        <is>
          <t>Yes</t>
        </is>
      </c>
      <c r="F207" t="inlineStr">
        <is>
          <t>Input/Formula</t>
        </is>
      </c>
      <c r="G207" t="inlineStr">
        <is>
          <t>User / FX_Rates</t>
        </is>
      </c>
      <c r="H207" t="inlineStr">
        <is>
          <t>Lists_Config</t>
        </is>
      </c>
      <c r="I207" t="inlineStr">
        <is>
          <t>Manpower_Plan</t>
        </is>
      </c>
    </row>
    <row r="208">
      <c r="A208" t="inlineStr">
        <is>
          <t>Resource_Rates</t>
        </is>
      </c>
      <c r="B208" t="inlineStr">
        <is>
          <t>FX Rate</t>
        </is>
      </c>
      <c r="C208" t="inlineStr">
        <is>
          <t>FX Rate field</t>
        </is>
      </c>
      <c r="D208" t="inlineStr">
        <is>
          <t>Text/Number</t>
        </is>
      </c>
      <c r="E208" t="inlineStr">
        <is>
          <t>Yes</t>
        </is>
      </c>
      <c r="F208" t="inlineStr">
        <is>
          <t>Input/Formula</t>
        </is>
      </c>
      <c r="G208" t="inlineStr">
        <is>
          <t>User / FX_Rates</t>
        </is>
      </c>
      <c r="H208" t="inlineStr">
        <is>
          <t>Lists_Config</t>
        </is>
      </c>
      <c r="I208" t="inlineStr">
        <is>
          <t>Manpower_Plan</t>
        </is>
      </c>
    </row>
    <row r="209">
      <c r="A209" t="inlineStr">
        <is>
          <t>Resource_Rates</t>
        </is>
      </c>
      <c r="B209" t="inlineStr">
        <is>
          <t>Monthly Rate EUR</t>
        </is>
      </c>
      <c r="C209" t="inlineStr">
        <is>
          <t>Monthly Rate EUR field</t>
        </is>
      </c>
      <c r="D209" t="inlineStr">
        <is>
          <t>Text/Number</t>
        </is>
      </c>
      <c r="E209" t="inlineStr">
        <is>
          <t>Yes</t>
        </is>
      </c>
      <c r="F209" t="inlineStr">
        <is>
          <t>Input/Formula</t>
        </is>
      </c>
      <c r="G209" t="inlineStr">
        <is>
          <t>User / FX_Rates</t>
        </is>
      </c>
      <c r="H209" t="inlineStr">
        <is>
          <t>Lists_Config</t>
        </is>
      </c>
      <c r="I209" t="inlineStr">
        <is>
          <t>Manpower_Plan</t>
        </is>
      </c>
    </row>
    <row r="210">
      <c r="A210" t="inlineStr">
        <is>
          <t>Resource_Rates</t>
        </is>
      </c>
      <c r="B210" t="inlineStr">
        <is>
          <t>Notes</t>
        </is>
      </c>
      <c r="C210" t="inlineStr">
        <is>
          <t>Notes field</t>
        </is>
      </c>
      <c r="D210" t="inlineStr">
        <is>
          <t>Text/Number</t>
        </is>
      </c>
      <c r="E210" t="inlineStr">
        <is>
          <t>No</t>
        </is>
      </c>
      <c r="F210" t="inlineStr">
        <is>
          <t>Input/Formula</t>
        </is>
      </c>
      <c r="G210" t="inlineStr">
        <is>
          <t>User / FX_Rates</t>
        </is>
      </c>
      <c r="H210" t="inlineStr">
        <is>
          <t>Lists_Config</t>
        </is>
      </c>
      <c r="I210" t="inlineStr">
        <is>
          <t>Manpower_Plan</t>
        </is>
      </c>
    </row>
    <row r="211">
      <c r="A211" t="inlineStr">
        <is>
          <t>Cost_Register</t>
        </is>
      </c>
      <c r="B211" t="inlineStr">
        <is>
          <t>Source Sheet</t>
        </is>
      </c>
      <c r="C211" t="inlineStr">
        <is>
          <t>Source Sheet normalized field</t>
        </is>
      </c>
      <c r="D211" t="inlineStr">
        <is>
          <t>Text/Number</t>
        </is>
      </c>
      <c r="E211" t="inlineStr">
        <is>
          <t>Yes</t>
        </is>
      </c>
      <c r="F211" t="inlineStr">
        <is>
          <t>Macro Output</t>
        </is>
      </c>
      <c r="G211" t="inlineStr">
        <is>
          <t>Input Sheets</t>
        </is>
      </c>
      <c r="H211" t="inlineStr">
        <is>
          <t>Header validation</t>
        </is>
      </c>
      <c r="I211" t="inlineStr">
        <is>
          <t>All reports</t>
        </is>
      </c>
      <c r="J211" t="inlineStr">
        <is>
          <t>Single source of truth</t>
        </is>
      </c>
    </row>
    <row r="212">
      <c r="A212" t="inlineStr">
        <is>
          <t>Cost_Register</t>
        </is>
      </c>
      <c r="B212" t="inlineStr">
        <is>
          <t>Source Row</t>
        </is>
      </c>
      <c r="C212" t="inlineStr">
        <is>
          <t>Source Row normalized field</t>
        </is>
      </c>
      <c r="D212" t="inlineStr">
        <is>
          <t>Text/Number</t>
        </is>
      </c>
      <c r="E212" t="inlineStr">
        <is>
          <t>Yes</t>
        </is>
      </c>
      <c r="F212" t="inlineStr">
        <is>
          <t>Macro Output</t>
        </is>
      </c>
      <c r="G212" t="inlineStr">
        <is>
          <t>Input Sheets</t>
        </is>
      </c>
      <c r="H212" t="inlineStr">
        <is>
          <t>Header validation</t>
        </is>
      </c>
      <c r="I212" t="inlineStr">
        <is>
          <t>All reports</t>
        </is>
      </c>
      <c r="J212" t="inlineStr">
        <is>
          <t>Single source of truth</t>
        </is>
      </c>
    </row>
    <row r="213">
      <c r="A213" t="inlineStr">
        <is>
          <t>Cost_Register</t>
        </is>
      </c>
      <c r="B213" t="inlineStr">
        <is>
          <t>Item ID</t>
        </is>
      </c>
      <c r="C213" t="inlineStr">
        <is>
          <t>Item ID normalized field</t>
        </is>
      </c>
      <c r="D213" t="inlineStr">
        <is>
          <t>Text/Number</t>
        </is>
      </c>
      <c r="E213" t="inlineStr">
        <is>
          <t>Yes</t>
        </is>
      </c>
      <c r="F213" t="inlineStr">
        <is>
          <t>Macro Output</t>
        </is>
      </c>
      <c r="G213" t="inlineStr">
        <is>
          <t>Input Sheets</t>
        </is>
      </c>
      <c r="H213" t="inlineStr">
        <is>
          <t>Header validation</t>
        </is>
      </c>
      <c r="I213" t="inlineStr">
        <is>
          <t>All reports</t>
        </is>
      </c>
      <c r="J213" t="inlineStr">
        <is>
          <t>Single source of truth</t>
        </is>
      </c>
    </row>
    <row r="214">
      <c r="A214" t="inlineStr">
        <is>
          <t>Cost_Register</t>
        </is>
      </c>
      <c r="B214" t="inlineStr">
        <is>
          <t>Description</t>
        </is>
      </c>
      <c r="C214" t="inlineStr">
        <is>
          <t>Description normalized field</t>
        </is>
      </c>
      <c r="D214" t="inlineStr">
        <is>
          <t>Text/Number</t>
        </is>
      </c>
      <c r="E214" t="inlineStr">
        <is>
          <t>Yes</t>
        </is>
      </c>
      <c r="F214" t="inlineStr">
        <is>
          <t>Macro Output</t>
        </is>
      </c>
      <c r="G214" t="inlineStr">
        <is>
          <t>Input Sheets</t>
        </is>
      </c>
      <c r="H214" t="inlineStr">
        <is>
          <t>Header validation</t>
        </is>
      </c>
      <c r="I214" t="inlineStr">
        <is>
          <t>All reports</t>
        </is>
      </c>
      <c r="J214" t="inlineStr">
        <is>
          <t>Single source of truth</t>
        </is>
      </c>
    </row>
    <row r="215">
      <c r="A215" t="inlineStr">
        <is>
          <t>Cost_Register</t>
        </is>
      </c>
      <c r="B215" t="inlineStr">
        <is>
          <t>Discipline</t>
        </is>
      </c>
      <c r="C215" t="inlineStr">
        <is>
          <t>Discipline normalized field</t>
        </is>
      </c>
      <c r="D215" t="inlineStr">
        <is>
          <t>Text/Number</t>
        </is>
      </c>
      <c r="E215" t="inlineStr">
        <is>
          <t>Yes</t>
        </is>
      </c>
      <c r="F215" t="inlineStr">
        <is>
          <t>Macro Output</t>
        </is>
      </c>
      <c r="G215" t="inlineStr">
        <is>
          <t>Input Sheets</t>
        </is>
      </c>
      <c r="H215" t="inlineStr">
        <is>
          <t>Header validation</t>
        </is>
      </c>
      <c r="I215" t="inlineStr">
        <is>
          <t>All reports</t>
        </is>
      </c>
      <c r="J215" t="inlineStr">
        <is>
          <t>Single source of truth</t>
        </is>
      </c>
    </row>
    <row r="216">
      <c r="A216" t="inlineStr">
        <is>
          <t>Cost_Register</t>
        </is>
      </c>
      <c r="B216" t="inlineStr">
        <is>
          <t>WBS</t>
        </is>
      </c>
      <c r="C216" t="inlineStr">
        <is>
          <t>WBS normalized field</t>
        </is>
      </c>
      <c r="D216" t="inlineStr">
        <is>
          <t>Text/Number</t>
        </is>
      </c>
      <c r="E216" t="inlineStr">
        <is>
          <t>Yes</t>
        </is>
      </c>
      <c r="F216" t="inlineStr">
        <is>
          <t>Macro Output</t>
        </is>
      </c>
      <c r="G216" t="inlineStr">
        <is>
          <t>Input Sheets</t>
        </is>
      </c>
      <c r="H216" t="inlineStr">
        <is>
          <t>Header validation</t>
        </is>
      </c>
      <c r="I216" t="inlineStr">
        <is>
          <t>All reports</t>
        </is>
      </c>
      <c r="J216" t="inlineStr">
        <is>
          <t>Single source of truth</t>
        </is>
      </c>
    </row>
    <row r="217">
      <c r="A217" t="inlineStr">
        <is>
          <t>Cost_Register</t>
        </is>
      </c>
      <c r="B217" t="inlineStr">
        <is>
          <t>CBS</t>
        </is>
      </c>
      <c r="C217" t="inlineStr">
        <is>
          <t>CBS normalized field</t>
        </is>
      </c>
      <c r="D217" t="inlineStr">
        <is>
          <t>Text/Number</t>
        </is>
      </c>
      <c r="E217" t="inlineStr">
        <is>
          <t>Yes</t>
        </is>
      </c>
      <c r="F217" t="inlineStr">
        <is>
          <t>Macro Output</t>
        </is>
      </c>
      <c r="G217" t="inlineStr">
        <is>
          <t>Input Sheets</t>
        </is>
      </c>
      <c r="H217" t="inlineStr">
        <is>
          <t>Header validation</t>
        </is>
      </c>
      <c r="I217" t="inlineStr">
        <is>
          <t>All reports</t>
        </is>
      </c>
      <c r="J217" t="inlineStr">
        <is>
          <t>Single source of truth</t>
        </is>
      </c>
    </row>
    <row r="218">
      <c r="A218" t="inlineStr">
        <is>
          <t>Cost_Register</t>
        </is>
      </c>
      <c r="B218" t="inlineStr">
        <is>
          <t>Cost Category</t>
        </is>
      </c>
      <c r="C218" t="inlineStr">
        <is>
          <t>Cost Category normalized field</t>
        </is>
      </c>
      <c r="D218" t="inlineStr">
        <is>
          <t>Text/Number</t>
        </is>
      </c>
      <c r="E218" t="inlineStr">
        <is>
          <t>Yes</t>
        </is>
      </c>
      <c r="F218" t="inlineStr">
        <is>
          <t>Macro Output</t>
        </is>
      </c>
      <c r="G218" t="inlineStr">
        <is>
          <t>Input Sheets</t>
        </is>
      </c>
      <c r="H218" t="inlineStr">
        <is>
          <t>Header validation</t>
        </is>
      </c>
      <c r="I218" t="inlineStr">
        <is>
          <t>All reports</t>
        </is>
      </c>
      <c r="J218" t="inlineStr">
        <is>
          <t>Single source of truth</t>
        </is>
      </c>
    </row>
    <row r="219">
      <c r="A219" t="inlineStr">
        <is>
          <t>Cost_Register</t>
        </is>
      </c>
      <c r="B219" t="inlineStr">
        <is>
          <t>Cost Type</t>
        </is>
      </c>
      <c r="C219" t="inlineStr">
        <is>
          <t>Cost Type normalized field</t>
        </is>
      </c>
      <c r="D219" t="inlineStr">
        <is>
          <t>Text/Number</t>
        </is>
      </c>
      <c r="E219" t="inlineStr">
        <is>
          <t>Yes</t>
        </is>
      </c>
      <c r="F219" t="inlineStr">
        <is>
          <t>Macro Output</t>
        </is>
      </c>
      <c r="G219" t="inlineStr">
        <is>
          <t>Input Sheets</t>
        </is>
      </c>
      <c r="H219" t="inlineStr">
        <is>
          <t>Header validation</t>
        </is>
      </c>
      <c r="I219" t="inlineStr">
        <is>
          <t>All reports</t>
        </is>
      </c>
      <c r="J219" t="inlineStr">
        <is>
          <t>Single source of truth</t>
        </is>
      </c>
    </row>
    <row r="220">
      <c r="A220" t="inlineStr">
        <is>
          <t>Cost_Register</t>
        </is>
      </c>
      <c r="B220" t="inlineStr">
        <is>
          <t>Quantity</t>
        </is>
      </c>
      <c r="C220" t="inlineStr">
        <is>
          <t>Quantity normalized field</t>
        </is>
      </c>
      <c r="D220" t="inlineStr">
        <is>
          <t>Text/Number</t>
        </is>
      </c>
      <c r="E220" t="inlineStr">
        <is>
          <t>Yes</t>
        </is>
      </c>
      <c r="F220" t="inlineStr">
        <is>
          <t>Macro Output</t>
        </is>
      </c>
      <c r="G220" t="inlineStr">
        <is>
          <t>Input Sheets</t>
        </is>
      </c>
      <c r="H220" t="inlineStr">
        <is>
          <t>Header validation</t>
        </is>
      </c>
      <c r="I220" t="inlineStr">
        <is>
          <t>All reports</t>
        </is>
      </c>
      <c r="J220" t="inlineStr">
        <is>
          <t>Single source of truth</t>
        </is>
      </c>
    </row>
    <row r="221">
      <c r="A221" t="inlineStr">
        <is>
          <t>Cost_Register</t>
        </is>
      </c>
      <c r="B221" t="inlineStr">
        <is>
          <t>Unit</t>
        </is>
      </c>
      <c r="C221" t="inlineStr">
        <is>
          <t>Unit normalized field</t>
        </is>
      </c>
      <c r="D221" t="inlineStr">
        <is>
          <t>Text/Number</t>
        </is>
      </c>
      <c r="E221" t="inlineStr">
        <is>
          <t>Yes</t>
        </is>
      </c>
      <c r="F221" t="inlineStr">
        <is>
          <t>Macro Output</t>
        </is>
      </c>
      <c r="G221" t="inlineStr">
        <is>
          <t>Input Sheets</t>
        </is>
      </c>
      <c r="H221" t="inlineStr">
        <is>
          <t>Header validation</t>
        </is>
      </c>
      <c r="I221" t="inlineStr">
        <is>
          <t>All reports</t>
        </is>
      </c>
      <c r="J221" t="inlineStr">
        <is>
          <t>Single source of truth</t>
        </is>
      </c>
    </row>
    <row r="222">
      <c r="A222" t="inlineStr">
        <is>
          <t>Cost_Register</t>
        </is>
      </c>
      <c r="B222" t="inlineStr">
        <is>
          <t>Unit Rate</t>
        </is>
      </c>
      <c r="C222" t="inlineStr">
        <is>
          <t>Unit Rate normalized field</t>
        </is>
      </c>
      <c r="D222" t="inlineStr">
        <is>
          <t>Text/Number</t>
        </is>
      </c>
      <c r="E222" t="inlineStr">
        <is>
          <t>Yes</t>
        </is>
      </c>
      <c r="F222" t="inlineStr">
        <is>
          <t>Macro Output</t>
        </is>
      </c>
      <c r="G222" t="inlineStr">
        <is>
          <t>Input Sheets</t>
        </is>
      </c>
      <c r="H222" t="inlineStr">
        <is>
          <t>Header validation</t>
        </is>
      </c>
      <c r="I222" t="inlineStr">
        <is>
          <t>All reports</t>
        </is>
      </c>
      <c r="J222" t="inlineStr">
        <is>
          <t>Single source of truth</t>
        </is>
      </c>
    </row>
    <row r="223">
      <c r="A223" t="inlineStr">
        <is>
          <t>Cost_Register</t>
        </is>
      </c>
      <c r="B223" t="inlineStr">
        <is>
          <t>Currency</t>
        </is>
      </c>
      <c r="C223" t="inlineStr">
        <is>
          <t>Currency normalized field</t>
        </is>
      </c>
      <c r="D223" t="inlineStr">
        <is>
          <t>Text/Number</t>
        </is>
      </c>
      <c r="E223" t="inlineStr">
        <is>
          <t>Yes</t>
        </is>
      </c>
      <c r="F223" t="inlineStr">
        <is>
          <t>Macro Output</t>
        </is>
      </c>
      <c r="G223" t="inlineStr">
        <is>
          <t>Input Sheets</t>
        </is>
      </c>
      <c r="H223" t="inlineStr">
        <is>
          <t>Header validation</t>
        </is>
      </c>
      <c r="I223" t="inlineStr">
        <is>
          <t>All reports</t>
        </is>
      </c>
      <c r="J223" t="inlineStr">
        <is>
          <t>Single source of truth</t>
        </is>
      </c>
    </row>
    <row r="224">
      <c r="A224" t="inlineStr">
        <is>
          <t>Cost_Register</t>
        </is>
      </c>
      <c r="B224" t="inlineStr">
        <is>
          <t>FX Rate</t>
        </is>
      </c>
      <c r="C224" t="inlineStr">
        <is>
          <t>FX Rate normalized field</t>
        </is>
      </c>
      <c r="D224" t="inlineStr">
        <is>
          <t>Text/Number</t>
        </is>
      </c>
      <c r="E224" t="inlineStr">
        <is>
          <t>Yes</t>
        </is>
      </c>
      <c r="F224" t="inlineStr">
        <is>
          <t>Macro Output</t>
        </is>
      </c>
      <c r="G224" t="inlineStr">
        <is>
          <t>Input Sheets</t>
        </is>
      </c>
      <c r="H224" t="inlineStr">
        <is>
          <t>Header validation</t>
        </is>
      </c>
      <c r="I224" t="inlineStr">
        <is>
          <t>All reports</t>
        </is>
      </c>
      <c r="J224" t="inlineStr">
        <is>
          <t>Single source of truth</t>
        </is>
      </c>
    </row>
    <row r="225">
      <c r="A225" t="inlineStr">
        <is>
          <t>Cost_Register</t>
        </is>
      </c>
      <c r="B225" t="inlineStr">
        <is>
          <t>Base Cost</t>
        </is>
      </c>
      <c r="C225" t="inlineStr">
        <is>
          <t>Base Cost normalized field</t>
        </is>
      </c>
      <c r="D225" t="inlineStr">
        <is>
          <t>Text/Number</t>
        </is>
      </c>
      <c r="E225" t="inlineStr">
        <is>
          <t>Yes</t>
        </is>
      </c>
      <c r="F225" t="inlineStr">
        <is>
          <t>Macro Output</t>
        </is>
      </c>
      <c r="G225" t="inlineStr">
        <is>
          <t>Input Sheets</t>
        </is>
      </c>
      <c r="H225" t="inlineStr">
        <is>
          <t>Header validation</t>
        </is>
      </c>
      <c r="I225" t="inlineStr">
        <is>
          <t>All reports</t>
        </is>
      </c>
      <c r="J225" t="inlineStr">
        <is>
          <t>Single source of truth</t>
        </is>
      </c>
    </row>
    <row r="226">
      <c r="A226" t="inlineStr">
        <is>
          <t>Cost_Register</t>
        </is>
      </c>
      <c r="B226" t="inlineStr">
        <is>
          <t>Base Cost EUR</t>
        </is>
      </c>
      <c r="C226" t="inlineStr">
        <is>
          <t>Base Cost EUR normalized field</t>
        </is>
      </c>
      <c r="D226" t="inlineStr">
        <is>
          <t>Text/Number</t>
        </is>
      </c>
      <c r="E226" t="inlineStr">
        <is>
          <t>Yes</t>
        </is>
      </c>
      <c r="F226" t="inlineStr">
        <is>
          <t>Macro Output</t>
        </is>
      </c>
      <c r="G226" t="inlineStr">
        <is>
          <t>Input Sheets</t>
        </is>
      </c>
      <c r="H226" t="inlineStr">
        <is>
          <t>Header validation</t>
        </is>
      </c>
      <c r="I226" t="inlineStr">
        <is>
          <t>All reports</t>
        </is>
      </c>
      <c r="J226" t="inlineStr">
        <is>
          <t>Single source of truth</t>
        </is>
      </c>
    </row>
    <row r="227">
      <c r="A227" t="inlineStr">
        <is>
          <t>Cost_Register</t>
        </is>
      </c>
      <c r="B227" t="inlineStr">
        <is>
          <t>Estimate Basis</t>
        </is>
      </c>
      <c r="C227" t="inlineStr">
        <is>
          <t>Estimate Basis normalized field</t>
        </is>
      </c>
      <c r="D227" t="inlineStr">
        <is>
          <t>Text/Number</t>
        </is>
      </c>
      <c r="E227" t="inlineStr">
        <is>
          <t>Yes</t>
        </is>
      </c>
      <c r="F227" t="inlineStr">
        <is>
          <t>Macro Output</t>
        </is>
      </c>
      <c r="G227" t="inlineStr">
        <is>
          <t>Input Sheets</t>
        </is>
      </c>
      <c r="H227" t="inlineStr">
        <is>
          <t>Header validation</t>
        </is>
      </c>
      <c r="I227" t="inlineStr">
        <is>
          <t>All reports</t>
        </is>
      </c>
      <c r="J227" t="inlineStr">
        <is>
          <t>Single source of truth</t>
        </is>
      </c>
    </row>
    <row r="228">
      <c r="A228" t="inlineStr">
        <is>
          <t>Cost_Register</t>
        </is>
      </c>
      <c r="B228" t="inlineStr">
        <is>
          <t>Accuracy Low %</t>
        </is>
      </c>
      <c r="C228" t="inlineStr">
        <is>
          <t>Accuracy Low % normalized field</t>
        </is>
      </c>
      <c r="D228" t="inlineStr">
        <is>
          <t>Text/Number</t>
        </is>
      </c>
      <c r="E228" t="inlineStr">
        <is>
          <t>Yes</t>
        </is>
      </c>
      <c r="F228" t="inlineStr">
        <is>
          <t>Macro Output</t>
        </is>
      </c>
      <c r="G228" t="inlineStr">
        <is>
          <t>Input Sheets</t>
        </is>
      </c>
      <c r="H228" t="inlineStr">
        <is>
          <t>Header validation</t>
        </is>
      </c>
      <c r="I228" t="inlineStr">
        <is>
          <t>All reports</t>
        </is>
      </c>
      <c r="J228" t="inlineStr">
        <is>
          <t>Single source of truth</t>
        </is>
      </c>
    </row>
    <row r="229">
      <c r="A229" t="inlineStr">
        <is>
          <t>Cost_Register</t>
        </is>
      </c>
      <c r="B229" t="inlineStr">
        <is>
          <t>Accuracy High %</t>
        </is>
      </c>
      <c r="C229" t="inlineStr">
        <is>
          <t>Accuracy High % normalized field</t>
        </is>
      </c>
      <c r="D229" t="inlineStr">
        <is>
          <t>Text/Number</t>
        </is>
      </c>
      <c r="E229" t="inlineStr">
        <is>
          <t>Yes</t>
        </is>
      </c>
      <c r="F229" t="inlineStr">
        <is>
          <t>Macro Output</t>
        </is>
      </c>
      <c r="G229" t="inlineStr">
        <is>
          <t>Input Sheets</t>
        </is>
      </c>
      <c r="H229" t="inlineStr">
        <is>
          <t>Header validation</t>
        </is>
      </c>
      <c r="I229" t="inlineStr">
        <is>
          <t>All reports</t>
        </is>
      </c>
      <c r="J229" t="inlineStr">
        <is>
          <t>Single source of truth</t>
        </is>
      </c>
    </row>
    <row r="230">
      <c r="A230" t="inlineStr">
        <is>
          <t>Cost_Register</t>
        </is>
      </c>
      <c r="B230" t="inlineStr">
        <is>
          <t>Low Cost</t>
        </is>
      </c>
      <c r="C230" t="inlineStr">
        <is>
          <t>Low Cost normalized field</t>
        </is>
      </c>
      <c r="D230" t="inlineStr">
        <is>
          <t>Text/Number</t>
        </is>
      </c>
      <c r="E230" t="inlineStr">
        <is>
          <t>Yes</t>
        </is>
      </c>
      <c r="F230" t="inlineStr">
        <is>
          <t>Macro Output</t>
        </is>
      </c>
      <c r="G230" t="inlineStr">
        <is>
          <t>Input Sheets</t>
        </is>
      </c>
      <c r="H230" t="inlineStr">
        <is>
          <t>Header validation</t>
        </is>
      </c>
      <c r="I230" t="inlineStr">
        <is>
          <t>All reports</t>
        </is>
      </c>
      <c r="J230" t="inlineStr">
        <is>
          <t>Single source of truth</t>
        </is>
      </c>
    </row>
    <row r="231">
      <c r="A231" t="inlineStr">
        <is>
          <t>Cost_Register</t>
        </is>
      </c>
      <c r="B231" t="inlineStr">
        <is>
          <t>Most Likely Cost</t>
        </is>
      </c>
      <c r="C231" t="inlineStr">
        <is>
          <t>Most Likely Cost normalized field</t>
        </is>
      </c>
      <c r="D231" t="inlineStr">
        <is>
          <t>Text/Number</t>
        </is>
      </c>
      <c r="E231" t="inlineStr">
        <is>
          <t>Yes</t>
        </is>
      </c>
      <c r="F231" t="inlineStr">
        <is>
          <t>Macro Output</t>
        </is>
      </c>
      <c r="G231" t="inlineStr">
        <is>
          <t>Input Sheets</t>
        </is>
      </c>
      <c r="H231" t="inlineStr">
        <is>
          <t>Header validation</t>
        </is>
      </c>
      <c r="I231" t="inlineStr">
        <is>
          <t>All reports</t>
        </is>
      </c>
      <c r="J231" t="inlineStr">
        <is>
          <t>Single source of truth</t>
        </is>
      </c>
    </row>
    <row r="232">
      <c r="A232" t="inlineStr">
        <is>
          <t>Cost_Register</t>
        </is>
      </c>
      <c r="B232" t="inlineStr">
        <is>
          <t>High Cost</t>
        </is>
      </c>
      <c r="C232" t="inlineStr">
        <is>
          <t>High Cost normalized field</t>
        </is>
      </c>
      <c r="D232" t="inlineStr">
        <is>
          <t>Text/Number</t>
        </is>
      </c>
      <c r="E232" t="inlineStr">
        <is>
          <t>Yes</t>
        </is>
      </c>
      <c r="F232" t="inlineStr">
        <is>
          <t>Macro Output</t>
        </is>
      </c>
      <c r="G232" t="inlineStr">
        <is>
          <t>Input Sheets</t>
        </is>
      </c>
      <c r="H232" t="inlineStr">
        <is>
          <t>Header validation</t>
        </is>
      </c>
      <c r="I232" t="inlineStr">
        <is>
          <t>All reports</t>
        </is>
      </c>
      <c r="J232" t="inlineStr">
        <is>
          <t>Single source of truth</t>
        </is>
      </c>
    </row>
    <row r="233">
      <c r="A233" t="inlineStr">
        <is>
          <t>Cost_Register</t>
        </is>
      </c>
      <c r="B233" t="inlineStr">
        <is>
          <t>Contingency Eligible</t>
        </is>
      </c>
      <c r="C233" t="inlineStr">
        <is>
          <t>Contingency Eligible normalized field</t>
        </is>
      </c>
      <c r="D233" t="inlineStr">
        <is>
          <t>Text/Number</t>
        </is>
      </c>
      <c r="E233" t="inlineStr">
        <is>
          <t>Yes</t>
        </is>
      </c>
      <c r="F233" t="inlineStr">
        <is>
          <t>Macro Output</t>
        </is>
      </c>
      <c r="G233" t="inlineStr">
        <is>
          <t>Input Sheets</t>
        </is>
      </c>
      <c r="H233" t="inlineStr">
        <is>
          <t>Header validation</t>
        </is>
      </c>
      <c r="I233" t="inlineStr">
        <is>
          <t>All reports</t>
        </is>
      </c>
      <c r="J233" t="inlineStr">
        <is>
          <t>Single source of truth</t>
        </is>
      </c>
    </row>
    <row r="234">
      <c r="A234" t="inlineStr">
        <is>
          <t>Cost_Register</t>
        </is>
      </c>
      <c r="B234" t="inlineStr">
        <is>
          <t>Escalation Eligible</t>
        </is>
      </c>
      <c r="C234" t="inlineStr">
        <is>
          <t>Escalation Eligible normalized field</t>
        </is>
      </c>
      <c r="D234" t="inlineStr">
        <is>
          <t>Text/Number</t>
        </is>
      </c>
      <c r="E234" t="inlineStr">
        <is>
          <t>Yes</t>
        </is>
      </c>
      <c r="F234" t="inlineStr">
        <is>
          <t>Macro Output</t>
        </is>
      </c>
      <c r="G234" t="inlineStr">
        <is>
          <t>Input Sheets</t>
        </is>
      </c>
      <c r="H234" t="inlineStr">
        <is>
          <t>Header validation</t>
        </is>
      </c>
      <c r="I234" t="inlineStr">
        <is>
          <t>All reports</t>
        </is>
      </c>
      <c r="J234" t="inlineStr">
        <is>
          <t>Single source of truth</t>
        </is>
      </c>
    </row>
    <row r="235">
      <c r="A235" t="inlineStr">
        <is>
          <t>Cost_Register</t>
        </is>
      </c>
      <c r="B235" t="inlineStr">
        <is>
          <t>Spend Category</t>
        </is>
      </c>
      <c r="C235" t="inlineStr">
        <is>
          <t>Spend Category normalized field</t>
        </is>
      </c>
      <c r="D235" t="inlineStr">
        <is>
          <t>Text/Number</t>
        </is>
      </c>
      <c r="E235" t="inlineStr">
        <is>
          <t>Yes</t>
        </is>
      </c>
      <c r="F235" t="inlineStr">
        <is>
          <t>Macro Output</t>
        </is>
      </c>
      <c r="G235" t="inlineStr">
        <is>
          <t>Input Sheets</t>
        </is>
      </c>
      <c r="H235" t="inlineStr">
        <is>
          <t>Header validation</t>
        </is>
      </c>
      <c r="I235" t="inlineStr">
        <is>
          <t>All reports</t>
        </is>
      </c>
      <c r="J235" t="inlineStr">
        <is>
          <t>Single source of truth</t>
        </is>
      </c>
    </row>
    <row r="236">
      <c r="A236" t="inlineStr">
        <is>
          <t>Cost_Register</t>
        </is>
      </c>
      <c r="B236" t="inlineStr">
        <is>
          <t>Phase</t>
        </is>
      </c>
      <c r="C236" t="inlineStr">
        <is>
          <t>Phase normalized field</t>
        </is>
      </c>
      <c r="D236" t="inlineStr">
        <is>
          <t>Text/Number</t>
        </is>
      </c>
      <c r="E236" t="inlineStr">
        <is>
          <t>Yes</t>
        </is>
      </c>
      <c r="F236" t="inlineStr">
        <is>
          <t>Macro Output</t>
        </is>
      </c>
      <c r="G236" t="inlineStr">
        <is>
          <t>Input Sheets</t>
        </is>
      </c>
      <c r="H236" t="inlineStr">
        <is>
          <t>Header validation</t>
        </is>
      </c>
      <c r="I236" t="inlineStr">
        <is>
          <t>All reports</t>
        </is>
      </c>
      <c r="J236" t="inlineStr">
        <is>
          <t>Single source of truth</t>
        </is>
      </c>
    </row>
    <row r="237">
      <c r="A237" t="inlineStr">
        <is>
          <t>Cost_Register</t>
        </is>
      </c>
      <c r="B237" t="inlineStr">
        <is>
          <t>Start Month</t>
        </is>
      </c>
      <c r="C237" t="inlineStr">
        <is>
          <t>Start Month normalized field</t>
        </is>
      </c>
      <c r="D237" t="inlineStr">
        <is>
          <t>Text/Number</t>
        </is>
      </c>
      <c r="E237" t="inlineStr">
        <is>
          <t>Yes</t>
        </is>
      </c>
      <c r="F237" t="inlineStr">
        <is>
          <t>Macro Output</t>
        </is>
      </c>
      <c r="G237" t="inlineStr">
        <is>
          <t>Input Sheets</t>
        </is>
      </c>
      <c r="H237" t="inlineStr">
        <is>
          <t>Header validation</t>
        </is>
      </c>
      <c r="I237" t="inlineStr">
        <is>
          <t>All reports</t>
        </is>
      </c>
      <c r="J237" t="inlineStr">
        <is>
          <t>Single source of truth</t>
        </is>
      </c>
    </row>
    <row r="238">
      <c r="A238" t="inlineStr">
        <is>
          <t>Cost_Register</t>
        </is>
      </c>
      <c r="B238" t="inlineStr">
        <is>
          <t>End Month</t>
        </is>
      </c>
      <c r="C238" t="inlineStr">
        <is>
          <t>End Month normalized field</t>
        </is>
      </c>
      <c r="D238" t="inlineStr">
        <is>
          <t>Text/Number</t>
        </is>
      </c>
      <c r="E238" t="inlineStr">
        <is>
          <t>Yes</t>
        </is>
      </c>
      <c r="F238" t="inlineStr">
        <is>
          <t>Macro Output</t>
        </is>
      </c>
      <c r="G238" t="inlineStr">
        <is>
          <t>Input Sheets</t>
        </is>
      </c>
      <c r="H238" t="inlineStr">
        <is>
          <t>Header validation</t>
        </is>
      </c>
      <c r="I238" t="inlineStr">
        <is>
          <t>All reports</t>
        </is>
      </c>
      <c r="J238" t="inlineStr">
        <is>
          <t>Single source of truth</t>
        </is>
      </c>
    </row>
    <row r="239">
      <c r="A239" t="inlineStr">
        <is>
          <t>Cost_Register</t>
        </is>
      </c>
      <c r="B239" t="inlineStr">
        <is>
          <t>Spend Curve</t>
        </is>
      </c>
      <c r="C239" t="inlineStr">
        <is>
          <t>Spend Curve normalized field</t>
        </is>
      </c>
      <c r="D239" t="inlineStr">
        <is>
          <t>Text/Number</t>
        </is>
      </c>
      <c r="E239" t="inlineStr">
        <is>
          <t>Yes</t>
        </is>
      </c>
      <c r="F239" t="inlineStr">
        <is>
          <t>Macro Output</t>
        </is>
      </c>
      <c r="G239" t="inlineStr">
        <is>
          <t>Input Sheets</t>
        </is>
      </c>
      <c r="H239" t="inlineStr">
        <is>
          <t>Header validation</t>
        </is>
      </c>
      <c r="I239" t="inlineStr">
        <is>
          <t>All reports</t>
        </is>
      </c>
      <c r="J239" t="inlineStr">
        <is>
          <t>Single source of truth</t>
        </is>
      </c>
    </row>
    <row r="240">
      <c r="A240" t="inlineStr">
        <is>
          <t>Cost_Register</t>
        </is>
      </c>
      <c r="B240" t="inlineStr">
        <is>
          <t>Notes</t>
        </is>
      </c>
      <c r="C240" t="inlineStr">
        <is>
          <t>Notes normalized field</t>
        </is>
      </c>
      <c r="D240" t="inlineStr">
        <is>
          <t>Text/Number</t>
        </is>
      </c>
      <c r="E240" t="inlineStr">
        <is>
          <t>Yes</t>
        </is>
      </c>
      <c r="F240" t="inlineStr">
        <is>
          <t>Macro Output</t>
        </is>
      </c>
      <c r="G240" t="inlineStr">
        <is>
          <t>Input Sheets</t>
        </is>
      </c>
      <c r="H240" t="inlineStr">
        <is>
          <t>Header validation</t>
        </is>
      </c>
      <c r="I240" t="inlineStr">
        <is>
          <t>All reports</t>
        </is>
      </c>
      <c r="J240" t="inlineStr">
        <is>
          <t>Single source of truth</t>
        </is>
      </c>
    </row>
  </sheetData>
  <mergeCells count="2">
    <mergeCell ref="A2:L2"/>
    <mergeCell ref="A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AD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25"/>
  <cols>
    <col width="12" customWidth="1" style="70" min="1" max="1"/>
    <col width="32" customWidth="1" style="70" min="2" max="2"/>
    <col width="16" customWidth="1" style="70" min="3" max="7"/>
    <col width="10" customWidth="1" style="70" min="4" max="4"/>
    <col width="12" customWidth="1" style="70" min="5" max="5"/>
    <col width="16" customWidth="1" style="70" min="6" max="6"/>
    <col width="14" customWidth="1" style="70" min="7" max="7"/>
    <col width="10" customWidth="1" style="70" min="8" max="8"/>
    <col width="10" customWidth="1" style="70" min="9" max="9"/>
    <col width="14" customWidth="1" style="70" min="10" max="14"/>
    <col width="12" customWidth="1" style="70" min="11" max="11"/>
    <col width="12" customWidth="1" style="70" min="12" max="12"/>
    <col width="14" customWidth="1" style="70" min="13" max="13"/>
    <col width="14" customWidth="1" style="70" min="14" max="14"/>
    <col width="14" customWidth="1" style="70" min="15" max="20"/>
    <col width="12" customWidth="1" style="70" min="16" max="16"/>
    <col width="12" customWidth="1" style="70" min="17" max="17"/>
    <col width="14" customWidth="1" style="70" min="18" max="18"/>
    <col width="14" customWidth="1" style="70" min="19" max="19"/>
    <col width="14" customWidth="1" style="70" min="20" max="20"/>
    <col width="12" customWidth="1" style="70" min="21" max="27"/>
    <col width="12" customWidth="1" style="70" min="22" max="22"/>
    <col width="14" customWidth="1" style="70" min="23" max="23"/>
    <col width="14" customWidth="1" style="70" min="24" max="24"/>
    <col width="12" customWidth="1" style="70" min="25" max="25"/>
    <col width="12" customWidth="1" style="70" min="26" max="26"/>
    <col width="14" customWidth="1" style="70" min="27" max="27"/>
    <col width="24" customWidth="1" style="70" min="28" max="28"/>
  </cols>
  <sheetData>
    <row r="1" ht="24" customHeight="1" s="70">
      <c r="A1" s="144" t="inlineStr">
        <is>
          <t>Equipment Estimate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100" t="n"/>
      <c r="AD1" s="100" t="n"/>
    </row>
    <row r="2" ht="21.95000076293945" customHeight="1" s="70">
      <c r="A2" s="67" t="inlineStr">
        <is>
          <t>User input layer. Cost_Register must be rebuilt from these sheets via BuildCostRegister.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</row>
    <row r="4" ht="28" customHeight="1" s="70">
      <c r="A4" s="148" t="inlineStr">
        <is>
          <t>Item ID</t>
        </is>
      </c>
      <c r="B4" s="148" t="inlineStr">
        <is>
          <t>Description</t>
        </is>
      </c>
      <c r="C4" s="148" t="inlineStr">
        <is>
          <t>Discipline</t>
        </is>
      </c>
      <c r="D4" s="148" t="inlineStr">
        <is>
          <t>WBS</t>
        </is>
      </c>
      <c r="E4" s="148" t="inlineStr">
        <is>
          <t>CBS</t>
        </is>
      </c>
      <c r="F4" s="148" t="inlineStr">
        <is>
          <t>Cost Category</t>
        </is>
      </c>
      <c r="G4" s="148" t="inlineStr">
        <is>
          <t>Cost Type</t>
        </is>
      </c>
      <c r="H4" s="148" t="inlineStr">
        <is>
          <t>Quantity</t>
        </is>
      </c>
      <c r="I4" s="148" t="inlineStr">
        <is>
          <t>Unit</t>
        </is>
      </c>
      <c r="J4" s="148" t="inlineStr">
        <is>
          <t>Unit Rate</t>
        </is>
      </c>
      <c r="K4" s="148" t="inlineStr">
        <is>
          <t>Currency</t>
        </is>
      </c>
      <c r="L4" s="148" t="inlineStr">
        <is>
          <t>FX Rate</t>
        </is>
      </c>
      <c r="M4" s="148" t="inlineStr">
        <is>
          <t>Base Cost</t>
        </is>
      </c>
      <c r="N4" s="148" t="inlineStr">
        <is>
          <t>Base Cost EUR</t>
        </is>
      </c>
      <c r="O4" s="148" t="inlineStr">
        <is>
          <t>Estimate Basis</t>
        </is>
      </c>
      <c r="P4" s="148" t="inlineStr">
        <is>
          <t>Accuracy Low %</t>
        </is>
      </c>
      <c r="Q4" s="148" t="inlineStr">
        <is>
          <t>Accuracy High %</t>
        </is>
      </c>
      <c r="R4" s="148" t="inlineStr">
        <is>
          <t>Low Cost</t>
        </is>
      </c>
      <c r="S4" s="148" t="inlineStr">
        <is>
          <t>Most Likely Cost</t>
        </is>
      </c>
      <c r="T4" s="148" t="inlineStr">
        <is>
          <t>High Cost</t>
        </is>
      </c>
      <c r="U4" s="148" t="inlineStr">
        <is>
          <t>Contingency Eligible</t>
        </is>
      </c>
      <c r="V4" s="148" t="inlineStr">
        <is>
          <t>Escalation Eligible</t>
        </is>
      </c>
      <c r="W4" s="148" t="inlineStr">
        <is>
          <t>Spend Category</t>
        </is>
      </c>
      <c r="X4" s="148" t="inlineStr">
        <is>
          <t>Phase</t>
        </is>
      </c>
      <c r="Y4" s="148" t="inlineStr">
        <is>
          <t>Start Month</t>
        </is>
      </c>
      <c r="Z4" s="148" t="inlineStr">
        <is>
          <t>End Month</t>
        </is>
      </c>
      <c r="AA4" s="148" t="inlineStr">
        <is>
          <t>Spend Curve</t>
        </is>
      </c>
      <c r="AB4" s="148" t="inlineStr">
        <is>
          <t>Notes</t>
        </is>
      </c>
    </row>
    <row r="5">
      <c r="A5" s="149" t="inlineStr">
        <is>
          <t>EQ-001</t>
        </is>
      </c>
      <c r="B5" s="149" t="inlineStr">
        <is>
          <t>Process mixer package</t>
        </is>
      </c>
      <c r="C5" s="150">
        <f>IF($D5="","",IFERROR(INDEX(WBS_CBS!$E$5:$E$16,MATCH($D5,WBS_CBS!$A$5:$A$16,0)),""))</f>
        <v/>
      </c>
      <c r="D5" s="149" t="inlineStr">
        <is>
          <t>4.0</t>
        </is>
      </c>
      <c r="E5" s="150">
        <f>IF($D5="","",IFERROR(INDEX(WBS_CBS!$C$5:$C$16,MATCH($D5,WBS_CBS!$A$5:$A$16,0)),""))</f>
        <v/>
      </c>
      <c r="F5" s="150">
        <f>IF($D5="","",IFERROR(INDEX(WBS_CBS!$J$5:$J$16,MATCH($D5,WBS_CBS!$A$5:$A$16,0)),""))</f>
        <v/>
      </c>
      <c r="G5" s="149" t="inlineStr">
        <is>
          <t>Equipment</t>
        </is>
      </c>
      <c r="H5" s="151" t="n">
        <v>1</v>
      </c>
      <c r="I5" s="149" t="inlineStr">
        <is>
          <t>lot</t>
        </is>
      </c>
      <c r="J5" s="152" t="n">
        <v>2800000</v>
      </c>
      <c r="K5" s="149" t="inlineStr">
        <is>
          <t>EUR</t>
        </is>
      </c>
      <c r="L5" s="153">
        <f>IF($K5="","",IFERROR(INDEX(FX_Rates!$B$5:$B$14,MATCH($K5,FX_Rates!$A$5:$A$14,0)),""))</f>
        <v/>
      </c>
      <c r="M5" s="153">
        <f>IF(OR($H5="",$J5=""),"",$H5*$J5)</f>
        <v/>
      </c>
      <c r="N5" s="153">
        <f>IF(OR($M5="",$L5=""),"",$M5*$L5)</f>
        <v/>
      </c>
      <c r="O5" s="149" t="inlineStr">
        <is>
          <t>Class 3</t>
        </is>
      </c>
      <c r="P5" s="154">
        <f>IF($O5="","",IFERROR(INDEX(Basis_of_Estimate!$C$5:$C$9,MATCH($O5,Basis_of_Estimate!$A$5:$A$9,0)),""))</f>
        <v/>
      </c>
      <c r="Q5" s="154">
        <f>IF($O5="","",IFERROR(INDEX(Basis_of_Estimate!$D$5:$D$9,MATCH($O5,Basis_of_Estimate!$A$5:$A$9,0)),""))</f>
        <v/>
      </c>
      <c r="R5" s="153">
        <f>IF($N5="","",$N5*(1+$P5))</f>
        <v/>
      </c>
      <c r="S5" s="153">
        <f>IF($N5="","",$N5)</f>
        <v/>
      </c>
      <c r="T5" s="153">
        <f>IF($N5="","",$N5*(1+$Q5))</f>
        <v/>
      </c>
      <c r="U5" s="150">
        <f>IF($D5="","",IFERROR(INDEX(WBS_CBS!$M$5:$M$16,MATCH($D5,WBS_CBS!$A$5:$A$16,0)),"Yes"))</f>
        <v/>
      </c>
      <c r="V5" s="150">
        <f>IF($D5="","",IFERROR(INDEX(WBS_CBS!$N$5:$N$16,MATCH($D5,WBS_CBS!$A$5:$A$16,0)),"Yes"))</f>
        <v/>
      </c>
      <c r="W5" s="150">
        <f>IF($D5="","",IFERROR(INDEX(WBS_CBS!$K$5:$K$16,MATCH($D5,WBS_CBS!$A$5:$A$16,0)),""))</f>
        <v/>
      </c>
      <c r="X5" s="150">
        <f>IF($D5="","",IFERROR(INDEX(WBS_CBS!$F$5:$F$16,MATCH($D5,WBS_CBS!$A$5:$A$16,0)),""))</f>
        <v/>
      </c>
      <c r="Y5" s="149" t="n">
        <v>8</v>
      </c>
      <c r="Z5" s="149" t="n">
        <v>18</v>
      </c>
      <c r="AA5" s="150">
        <f>IF($D5="","",IFERROR(INDEX(WBS_CBS!$L$5:$L$16,MATCH($D5,WBS_CBS!$A$5:$A$16,0)),""))</f>
        <v/>
      </c>
      <c r="AB5" s="149" t="n"/>
    </row>
    <row r="6">
      <c r="A6" s="149" t="inlineStr">
        <is>
          <t>EQ-002</t>
        </is>
      </c>
      <c r="B6" s="149" t="inlineStr">
        <is>
          <t>Process vessels and tanks</t>
        </is>
      </c>
      <c r="C6" s="150">
        <f>IF($D6="","",IFERROR(INDEX(WBS_CBS!$E$5:$E$16,MATCH($D6,WBS_CBS!$A$5:$A$16,0)),""))</f>
        <v/>
      </c>
      <c r="D6" s="149" t="inlineStr">
        <is>
          <t>4.0</t>
        </is>
      </c>
      <c r="E6" s="150">
        <f>IF($D6="","",IFERROR(INDEX(WBS_CBS!$C$5:$C$16,MATCH($D6,WBS_CBS!$A$5:$A$16,0)),""))</f>
        <v/>
      </c>
      <c r="F6" s="150">
        <f>IF($D6="","",IFERROR(INDEX(WBS_CBS!$J$5:$J$16,MATCH($D6,WBS_CBS!$A$5:$A$16,0)),""))</f>
        <v/>
      </c>
      <c r="G6" s="149" t="inlineStr">
        <is>
          <t>Equipment</t>
        </is>
      </c>
      <c r="H6" s="151" t="n">
        <v>1</v>
      </c>
      <c r="I6" s="149" t="inlineStr">
        <is>
          <t>lot</t>
        </is>
      </c>
      <c r="J6" s="152" t="n">
        <v>3200000</v>
      </c>
      <c r="K6" s="149" t="inlineStr">
        <is>
          <t>EUR</t>
        </is>
      </c>
      <c r="L6" s="153">
        <f>IF($K6="","",IFERROR(INDEX(FX_Rates!$B$5:$B$14,MATCH($K6,FX_Rates!$A$5:$A$14,0)),""))</f>
        <v/>
      </c>
      <c r="M6" s="153">
        <f>IF(OR($H6="",$J6=""),"",$H6*$J6)</f>
        <v/>
      </c>
      <c r="N6" s="153">
        <f>IF(OR($M6="",$L6=""),"",$M6*$L6)</f>
        <v/>
      </c>
      <c r="O6" s="149" t="inlineStr">
        <is>
          <t>Class 3</t>
        </is>
      </c>
      <c r="P6" s="154">
        <f>IF($O6="","",IFERROR(INDEX(Basis_of_Estimate!$C$5:$C$9,MATCH($O6,Basis_of_Estimate!$A$5:$A$9,0)),""))</f>
        <v/>
      </c>
      <c r="Q6" s="154">
        <f>IF($O6="","",IFERROR(INDEX(Basis_of_Estimate!$D$5:$D$9,MATCH($O6,Basis_of_Estimate!$A$5:$A$9,0)),""))</f>
        <v/>
      </c>
      <c r="R6" s="153">
        <f>IF($N6="","",$N6*(1+$P6))</f>
        <v/>
      </c>
      <c r="S6" s="153">
        <f>IF($N6="","",$N6)</f>
        <v/>
      </c>
      <c r="T6" s="153">
        <f>IF($N6="","",$N6*(1+$Q6))</f>
        <v/>
      </c>
      <c r="U6" s="150">
        <f>IF($D6="","",IFERROR(INDEX(WBS_CBS!$M$5:$M$16,MATCH($D6,WBS_CBS!$A$5:$A$16,0)),"Yes"))</f>
        <v/>
      </c>
      <c r="V6" s="150">
        <f>IF($D6="","",IFERROR(INDEX(WBS_CBS!$N$5:$N$16,MATCH($D6,WBS_CBS!$A$5:$A$16,0)),"Yes"))</f>
        <v/>
      </c>
      <c r="W6" s="150">
        <f>IF($D6="","",IFERROR(INDEX(WBS_CBS!$K$5:$K$16,MATCH($D6,WBS_CBS!$A$5:$A$16,0)),""))</f>
        <v/>
      </c>
      <c r="X6" s="150">
        <f>IF($D6="","",IFERROR(INDEX(WBS_CBS!$F$5:$F$16,MATCH($D6,WBS_CBS!$A$5:$A$16,0)),""))</f>
        <v/>
      </c>
      <c r="Y6" s="149" t="n">
        <v>6</v>
      </c>
      <c r="Z6" s="149" t="n">
        <v>18</v>
      </c>
      <c r="AA6" s="150">
        <f>IF($D6="","",IFERROR(INDEX(WBS_CBS!$L$5:$L$16,MATCH($D6,WBS_CBS!$A$5:$A$16,0)),""))</f>
        <v/>
      </c>
      <c r="AB6" s="149" t="n"/>
    </row>
    <row r="7">
      <c r="A7" s="149" t="inlineStr">
        <is>
          <t>EQ-003</t>
        </is>
      </c>
      <c r="B7" s="149" t="inlineStr">
        <is>
          <t>Pumping and transfer skids</t>
        </is>
      </c>
      <c r="C7" s="150">
        <f>IF($D7="","",IFERROR(INDEX(WBS_CBS!$E$5:$E$16,MATCH($D7,WBS_CBS!$A$5:$A$16,0)),""))</f>
        <v/>
      </c>
      <c r="D7" s="149" t="inlineStr">
        <is>
          <t>4.0</t>
        </is>
      </c>
      <c r="E7" s="150">
        <f>IF($D7="","",IFERROR(INDEX(WBS_CBS!$C$5:$C$16,MATCH($D7,WBS_CBS!$A$5:$A$16,0)),""))</f>
        <v/>
      </c>
      <c r="F7" s="150">
        <f>IF($D7="","",IFERROR(INDEX(WBS_CBS!$J$5:$J$16,MATCH($D7,WBS_CBS!$A$5:$A$16,0)),""))</f>
        <v/>
      </c>
      <c r="G7" s="149" t="inlineStr">
        <is>
          <t>Equipment</t>
        </is>
      </c>
      <c r="H7" s="151" t="n">
        <v>1</v>
      </c>
      <c r="I7" s="149" t="inlineStr">
        <is>
          <t>lot</t>
        </is>
      </c>
      <c r="J7" s="152" t="n">
        <v>2000000</v>
      </c>
      <c r="K7" s="149" t="inlineStr">
        <is>
          <t>EUR</t>
        </is>
      </c>
      <c r="L7" s="153">
        <f>IF($K7="","",IFERROR(INDEX(FX_Rates!$B$5:$B$14,MATCH($K7,FX_Rates!$A$5:$A$14,0)),""))</f>
        <v/>
      </c>
      <c r="M7" s="153">
        <f>IF(OR($H7="",$J7=""),"",$H7*$J7)</f>
        <v/>
      </c>
      <c r="N7" s="153">
        <f>IF(OR($M7="",$L7=""),"",$M7*$L7)</f>
        <v/>
      </c>
      <c r="O7" s="149" t="inlineStr">
        <is>
          <t>Class 3</t>
        </is>
      </c>
      <c r="P7" s="154">
        <f>IF($O7="","",IFERROR(INDEX(Basis_of_Estimate!$C$5:$C$9,MATCH($O7,Basis_of_Estimate!$A$5:$A$9,0)),""))</f>
        <v/>
      </c>
      <c r="Q7" s="154">
        <f>IF($O7="","",IFERROR(INDEX(Basis_of_Estimate!$D$5:$D$9,MATCH($O7,Basis_of_Estimate!$A$5:$A$9,0)),""))</f>
        <v/>
      </c>
      <c r="R7" s="153">
        <f>IF($N7="","",$N7*(1+$P7))</f>
        <v/>
      </c>
      <c r="S7" s="153">
        <f>IF($N7="","",$N7)</f>
        <v/>
      </c>
      <c r="T7" s="153">
        <f>IF($N7="","",$N7*(1+$Q7))</f>
        <v/>
      </c>
      <c r="U7" s="150">
        <f>IF($D7="","",IFERROR(INDEX(WBS_CBS!$M$5:$M$16,MATCH($D7,WBS_CBS!$A$5:$A$16,0)),"Yes"))</f>
        <v/>
      </c>
      <c r="V7" s="150">
        <f>IF($D7="","",IFERROR(INDEX(WBS_CBS!$N$5:$N$16,MATCH($D7,WBS_CBS!$A$5:$A$16,0)),"Yes"))</f>
        <v/>
      </c>
      <c r="W7" s="150">
        <f>IF($D7="","",IFERROR(INDEX(WBS_CBS!$K$5:$K$16,MATCH($D7,WBS_CBS!$A$5:$A$16,0)),""))</f>
        <v/>
      </c>
      <c r="X7" s="150">
        <f>IF($D7="","",IFERROR(INDEX(WBS_CBS!$F$5:$F$16,MATCH($D7,WBS_CBS!$A$5:$A$16,0)),""))</f>
        <v/>
      </c>
      <c r="Y7" s="149" t="n">
        <v>10</v>
      </c>
      <c r="Z7" s="149" t="n">
        <v>20</v>
      </c>
      <c r="AA7" s="150">
        <f>IF($D7="","",IFERROR(INDEX(WBS_CBS!$L$5:$L$16,MATCH($D7,WBS_CBS!$A$5:$A$16,0)),""))</f>
        <v/>
      </c>
      <c r="AB7" s="149" t="n"/>
    </row>
    <row r="8">
      <c r="A8" s="149" t="inlineStr">
        <is>
          <t>EQ-004</t>
        </is>
      </c>
      <c r="B8" s="149" t="inlineStr">
        <is>
          <t>Heat exchangers and utility skids</t>
        </is>
      </c>
      <c r="C8" s="150">
        <f>IF($D8="","",IFERROR(INDEX(WBS_CBS!$E$5:$E$16,MATCH($D8,WBS_CBS!$A$5:$A$16,0)),""))</f>
        <v/>
      </c>
      <c r="D8" s="149" t="inlineStr">
        <is>
          <t>4.0</t>
        </is>
      </c>
      <c r="E8" s="150">
        <f>IF($D8="","",IFERROR(INDEX(WBS_CBS!$C$5:$C$16,MATCH($D8,WBS_CBS!$A$5:$A$16,0)),""))</f>
        <v/>
      </c>
      <c r="F8" s="150">
        <f>IF($D8="","",IFERROR(INDEX(WBS_CBS!$J$5:$J$16,MATCH($D8,WBS_CBS!$A$5:$A$16,0)),""))</f>
        <v/>
      </c>
      <c r="G8" s="149" t="inlineStr">
        <is>
          <t>Equipment</t>
        </is>
      </c>
      <c r="H8" s="151" t="n">
        <v>1</v>
      </c>
      <c r="I8" s="149" t="inlineStr">
        <is>
          <t>lot</t>
        </is>
      </c>
      <c r="J8" s="152" t="n">
        <v>2400000</v>
      </c>
      <c r="K8" s="149" t="inlineStr">
        <is>
          <t>EUR</t>
        </is>
      </c>
      <c r="L8" s="153">
        <f>IF($K8="","",IFERROR(INDEX(FX_Rates!$B$5:$B$14,MATCH($K8,FX_Rates!$A$5:$A$14,0)),""))</f>
        <v/>
      </c>
      <c r="M8" s="153">
        <f>IF(OR($H8="",$J8=""),"",$H8*$J8)</f>
        <v/>
      </c>
      <c r="N8" s="153">
        <f>IF(OR($M8="",$L8=""),"",$M8*$L8)</f>
        <v/>
      </c>
      <c r="O8" s="149" t="inlineStr">
        <is>
          <t>Class 3</t>
        </is>
      </c>
      <c r="P8" s="154">
        <f>IF($O8="","",IFERROR(INDEX(Basis_of_Estimate!$C$5:$C$9,MATCH($O8,Basis_of_Estimate!$A$5:$A$9,0)),""))</f>
        <v/>
      </c>
      <c r="Q8" s="154">
        <f>IF($O8="","",IFERROR(INDEX(Basis_of_Estimate!$D$5:$D$9,MATCH($O8,Basis_of_Estimate!$A$5:$A$9,0)),""))</f>
        <v/>
      </c>
      <c r="R8" s="153">
        <f>IF($N8="","",$N8*(1+$P8))</f>
        <v/>
      </c>
      <c r="S8" s="153">
        <f>IF($N8="","",$N8)</f>
        <v/>
      </c>
      <c r="T8" s="153">
        <f>IF($N8="","",$N8*(1+$Q8))</f>
        <v/>
      </c>
      <c r="U8" s="150">
        <f>IF($D8="","",IFERROR(INDEX(WBS_CBS!$M$5:$M$16,MATCH($D8,WBS_CBS!$A$5:$A$16,0)),"Yes"))</f>
        <v/>
      </c>
      <c r="V8" s="150">
        <f>IF($D8="","",IFERROR(INDEX(WBS_CBS!$N$5:$N$16,MATCH($D8,WBS_CBS!$A$5:$A$16,0)),"Yes"))</f>
        <v/>
      </c>
      <c r="W8" s="150">
        <f>IF($D8="","",IFERROR(INDEX(WBS_CBS!$K$5:$K$16,MATCH($D8,WBS_CBS!$A$5:$A$16,0)),""))</f>
        <v/>
      </c>
      <c r="X8" s="150">
        <f>IF($D8="","",IFERROR(INDEX(WBS_CBS!$F$5:$F$16,MATCH($D8,WBS_CBS!$A$5:$A$16,0)),""))</f>
        <v/>
      </c>
      <c r="Y8" s="149" t="n">
        <v>9</v>
      </c>
      <c r="Z8" s="149" t="n">
        <v>21</v>
      </c>
      <c r="AA8" s="150">
        <f>IF($D8="","",IFERROR(INDEX(WBS_CBS!$L$5:$L$16,MATCH($D8,WBS_CBS!$A$5:$A$16,0)),""))</f>
        <v/>
      </c>
      <c r="AB8" s="149" t="n"/>
    </row>
    <row r="9">
      <c r="A9" s="149" t="inlineStr">
        <is>
          <t>EQ-005</t>
        </is>
      </c>
      <c r="B9" s="149" t="inlineStr">
        <is>
          <t>Equipment installation auxiliaries</t>
        </is>
      </c>
      <c r="C9" s="150">
        <f>IF($D9="","",IFERROR(INDEX(WBS_CBS!$E$5:$E$16,MATCH($D9,WBS_CBS!$A$5:$A$16,0)),""))</f>
        <v/>
      </c>
      <c r="D9" s="149" t="inlineStr">
        <is>
          <t>4.0</t>
        </is>
      </c>
      <c r="E9" s="150">
        <f>IF($D9="","",IFERROR(INDEX(WBS_CBS!$C$5:$C$16,MATCH($D9,WBS_CBS!$A$5:$A$16,0)),""))</f>
        <v/>
      </c>
      <c r="F9" s="150">
        <f>IF($D9="","",IFERROR(INDEX(WBS_CBS!$J$5:$J$16,MATCH($D9,WBS_CBS!$A$5:$A$16,0)),""))</f>
        <v/>
      </c>
      <c r="G9" s="149" t="inlineStr">
        <is>
          <t>Equipment</t>
        </is>
      </c>
      <c r="H9" s="151" t="n">
        <v>1</v>
      </c>
      <c r="I9" s="149" t="inlineStr">
        <is>
          <t>lot</t>
        </is>
      </c>
      <c r="J9" s="152" t="n">
        <v>1600000</v>
      </c>
      <c r="K9" s="149" t="inlineStr">
        <is>
          <t>EUR</t>
        </is>
      </c>
      <c r="L9" s="153">
        <f>IF($K9="","",IFERROR(INDEX(FX_Rates!$B$5:$B$14,MATCH($K9,FX_Rates!$A$5:$A$14,0)),""))</f>
        <v/>
      </c>
      <c r="M9" s="153">
        <f>IF(OR($H9="",$J9=""),"",$H9*$J9)</f>
        <v/>
      </c>
      <c r="N9" s="153">
        <f>IF(OR($M9="",$L9=""),"",$M9*$L9)</f>
        <v/>
      </c>
      <c r="O9" s="149" t="inlineStr">
        <is>
          <t>Class 3</t>
        </is>
      </c>
      <c r="P9" s="154">
        <f>IF($O9="","",IFERROR(INDEX(Basis_of_Estimate!$C$5:$C$9,MATCH($O9,Basis_of_Estimate!$A$5:$A$9,0)),""))</f>
        <v/>
      </c>
      <c r="Q9" s="154">
        <f>IF($O9="","",IFERROR(INDEX(Basis_of_Estimate!$D$5:$D$9,MATCH($O9,Basis_of_Estimate!$A$5:$A$9,0)),""))</f>
        <v/>
      </c>
      <c r="R9" s="153">
        <f>IF($N9="","",$N9*(1+$P9))</f>
        <v/>
      </c>
      <c r="S9" s="153">
        <f>IF($N9="","",$N9)</f>
        <v/>
      </c>
      <c r="T9" s="153">
        <f>IF($N9="","",$N9*(1+$Q9))</f>
        <v/>
      </c>
      <c r="U9" s="150">
        <f>IF($D9="","",IFERROR(INDEX(WBS_CBS!$M$5:$M$16,MATCH($D9,WBS_CBS!$A$5:$A$16,0)),"Yes"))</f>
        <v/>
      </c>
      <c r="V9" s="150">
        <f>IF($D9="","",IFERROR(INDEX(WBS_CBS!$N$5:$N$16,MATCH($D9,WBS_CBS!$A$5:$A$16,0)),"Yes"))</f>
        <v/>
      </c>
      <c r="W9" s="150">
        <f>IF($D9="","",IFERROR(INDEX(WBS_CBS!$K$5:$K$16,MATCH($D9,WBS_CBS!$A$5:$A$16,0)),""))</f>
        <v/>
      </c>
      <c r="X9" s="150">
        <f>IF($D9="","",IFERROR(INDEX(WBS_CBS!$F$5:$F$16,MATCH($D9,WBS_CBS!$A$5:$A$16,0)),""))</f>
        <v/>
      </c>
      <c r="Y9" s="149" t="n">
        <v>14</v>
      </c>
      <c r="Z9" s="149" t="n">
        <v>27</v>
      </c>
      <c r="AA9" s="150">
        <f>IF($D9="","",IFERROR(INDEX(WBS_CBS!$L$5:$L$16,MATCH($D9,WBS_CBS!$A$5:$A$16,0)),""))</f>
        <v/>
      </c>
      <c r="AB9" s="149" t="n"/>
    </row>
    <row r="10">
      <c r="A10" s="149" t="n"/>
      <c r="B10" s="149" t="n"/>
      <c r="C10" s="150">
        <f>IF($D10="","",IFERROR(INDEX(WBS_CBS!$E$5:$E$16,MATCH($D10,WBS_CBS!$A$5:$A$16,0)),""))</f>
        <v/>
      </c>
      <c r="D10" s="149" t="n"/>
      <c r="E10" s="150">
        <f>IF($D10="","",IFERROR(INDEX(WBS_CBS!$C$5:$C$16,MATCH($D10,WBS_CBS!$A$5:$A$16,0)),""))</f>
        <v/>
      </c>
      <c r="F10" s="150">
        <f>IF($D10="","",IFERROR(INDEX(WBS_CBS!$J$5:$J$16,MATCH($D10,WBS_CBS!$A$5:$A$16,0)),""))</f>
        <v/>
      </c>
      <c r="G10" s="149" t="n"/>
      <c r="H10" s="151" t="n"/>
      <c r="I10" s="149" t="n"/>
      <c r="J10" s="152" t="n"/>
      <c r="K10" s="149" t="n"/>
      <c r="L10" s="153">
        <f>IF($K10="","",IFERROR(INDEX(FX_Rates!$B$5:$B$14,MATCH($K10,FX_Rates!$A$5:$A$14,0)),""))</f>
        <v/>
      </c>
      <c r="M10" s="153">
        <f>IF(OR($H10="",$J10=""),"",$H10*$J10)</f>
        <v/>
      </c>
      <c r="N10" s="153">
        <f>IF(OR($M10="",$L10=""),"",$M10*$L10)</f>
        <v/>
      </c>
      <c r="O10" s="149" t="n"/>
      <c r="P10" s="154">
        <f>IF($O10="","",IFERROR(INDEX(Basis_of_Estimate!$C$5:$C$9,MATCH($O10,Basis_of_Estimate!$A$5:$A$9,0)),""))</f>
        <v/>
      </c>
      <c r="Q10" s="154">
        <f>IF($O10="","",IFERROR(INDEX(Basis_of_Estimate!$D$5:$D$9,MATCH($O10,Basis_of_Estimate!$A$5:$A$9,0)),""))</f>
        <v/>
      </c>
      <c r="R10" s="153">
        <f>IF($N10="","",$N10*(1+$P10))</f>
        <v/>
      </c>
      <c r="S10" s="153">
        <f>IF($N10="","",$N10)</f>
        <v/>
      </c>
      <c r="T10" s="153">
        <f>IF($N10="","",$N10*(1+$Q10))</f>
        <v/>
      </c>
      <c r="U10" s="150">
        <f>IF($D10="","",IFERROR(INDEX(WBS_CBS!$M$5:$M$16,MATCH($D10,WBS_CBS!$A$5:$A$16,0)),"Yes"))</f>
        <v/>
      </c>
      <c r="V10" s="150">
        <f>IF($D10="","",IFERROR(INDEX(WBS_CBS!$N$5:$N$16,MATCH($D10,WBS_CBS!$A$5:$A$16,0)),"Yes"))</f>
        <v/>
      </c>
      <c r="W10" s="150">
        <f>IF($D10="","",IFERROR(INDEX(WBS_CBS!$K$5:$K$16,MATCH($D10,WBS_CBS!$A$5:$A$16,0)),""))</f>
        <v/>
      </c>
      <c r="X10" s="150">
        <f>IF($D10="","",IFERROR(INDEX(WBS_CBS!$F$5:$F$16,MATCH($D10,WBS_CBS!$A$5:$A$16,0)),""))</f>
        <v/>
      </c>
      <c r="Y10" s="149" t="n"/>
      <c r="Z10" s="149" t="n"/>
      <c r="AA10" s="150">
        <f>IF($D10="","",IFERROR(INDEX(WBS_CBS!$L$5:$L$16,MATCH($D10,WBS_CBS!$A$5:$A$16,0)),""))</f>
        <v/>
      </c>
      <c r="AB10" s="149" t="n"/>
    </row>
    <row r="11">
      <c r="A11" s="149" t="n"/>
      <c r="B11" s="149" t="n"/>
      <c r="C11" s="150">
        <f>IF($D11="","",IFERROR(INDEX(WBS_CBS!$E$5:$E$16,MATCH($D11,WBS_CBS!$A$5:$A$16,0)),""))</f>
        <v/>
      </c>
      <c r="D11" s="149" t="n"/>
      <c r="E11" s="150">
        <f>IF($D11="","",IFERROR(INDEX(WBS_CBS!$C$5:$C$16,MATCH($D11,WBS_CBS!$A$5:$A$16,0)),""))</f>
        <v/>
      </c>
      <c r="F11" s="150">
        <f>IF($D11="","",IFERROR(INDEX(WBS_CBS!$J$5:$J$16,MATCH($D11,WBS_CBS!$A$5:$A$16,0)),""))</f>
        <v/>
      </c>
      <c r="G11" s="149" t="n"/>
      <c r="H11" s="151" t="n"/>
      <c r="I11" s="149" t="n"/>
      <c r="J11" s="152" t="n"/>
      <c r="K11" s="149" t="n"/>
      <c r="L11" s="153">
        <f>IF($K11="","",IFERROR(INDEX(FX_Rates!$B$5:$B$14,MATCH($K11,FX_Rates!$A$5:$A$14,0)),""))</f>
        <v/>
      </c>
      <c r="M11" s="153">
        <f>IF(OR($H11="",$J11=""),"",$H11*$J11)</f>
        <v/>
      </c>
      <c r="N11" s="153">
        <f>IF(OR($M11="",$L11=""),"",$M11*$L11)</f>
        <v/>
      </c>
      <c r="O11" s="149" t="n"/>
      <c r="P11" s="154">
        <f>IF($O11="","",IFERROR(INDEX(Basis_of_Estimate!$C$5:$C$9,MATCH($O11,Basis_of_Estimate!$A$5:$A$9,0)),""))</f>
        <v/>
      </c>
      <c r="Q11" s="154">
        <f>IF($O11="","",IFERROR(INDEX(Basis_of_Estimate!$D$5:$D$9,MATCH($O11,Basis_of_Estimate!$A$5:$A$9,0)),""))</f>
        <v/>
      </c>
      <c r="R11" s="153">
        <f>IF($N11="","",$N11*(1+$P11))</f>
        <v/>
      </c>
      <c r="S11" s="153">
        <f>IF($N11="","",$N11)</f>
        <v/>
      </c>
      <c r="T11" s="153">
        <f>IF($N11="","",$N11*(1+$Q11))</f>
        <v/>
      </c>
      <c r="U11" s="150">
        <f>IF($D11="","",IFERROR(INDEX(WBS_CBS!$M$5:$M$16,MATCH($D11,WBS_CBS!$A$5:$A$16,0)),"Yes"))</f>
        <v/>
      </c>
      <c r="V11" s="150">
        <f>IF($D11="","",IFERROR(INDEX(WBS_CBS!$N$5:$N$16,MATCH($D11,WBS_CBS!$A$5:$A$16,0)),"Yes"))</f>
        <v/>
      </c>
      <c r="W11" s="150">
        <f>IF($D11="","",IFERROR(INDEX(WBS_CBS!$K$5:$K$16,MATCH($D11,WBS_CBS!$A$5:$A$16,0)),""))</f>
        <v/>
      </c>
      <c r="X11" s="150">
        <f>IF($D11="","",IFERROR(INDEX(WBS_CBS!$F$5:$F$16,MATCH($D11,WBS_CBS!$A$5:$A$16,0)),""))</f>
        <v/>
      </c>
      <c r="Y11" s="149" t="n"/>
      <c r="Z11" s="149" t="n"/>
      <c r="AA11" s="150">
        <f>IF($D11="","",IFERROR(INDEX(WBS_CBS!$L$5:$L$16,MATCH($D11,WBS_CBS!$A$5:$A$16,0)),""))</f>
        <v/>
      </c>
      <c r="AB11" s="149" t="n"/>
    </row>
    <row r="12">
      <c r="A12" s="149" t="n"/>
      <c r="B12" s="149" t="n"/>
      <c r="C12" s="150">
        <f>IF($D12="","",IFERROR(INDEX(WBS_CBS!$E$5:$E$16,MATCH($D12,WBS_CBS!$A$5:$A$16,0)),""))</f>
        <v/>
      </c>
      <c r="D12" s="149" t="n"/>
      <c r="E12" s="150">
        <f>IF($D12="","",IFERROR(INDEX(WBS_CBS!$C$5:$C$16,MATCH($D12,WBS_CBS!$A$5:$A$16,0)),""))</f>
        <v/>
      </c>
      <c r="F12" s="150">
        <f>IF($D12="","",IFERROR(INDEX(WBS_CBS!$J$5:$J$16,MATCH($D12,WBS_CBS!$A$5:$A$16,0)),""))</f>
        <v/>
      </c>
      <c r="G12" s="149" t="n"/>
      <c r="H12" s="151" t="n"/>
      <c r="I12" s="149" t="n"/>
      <c r="J12" s="152" t="n"/>
      <c r="K12" s="149" t="n"/>
      <c r="L12" s="153">
        <f>IF($K12="","",IFERROR(INDEX(FX_Rates!$B$5:$B$14,MATCH($K12,FX_Rates!$A$5:$A$14,0)),""))</f>
        <v/>
      </c>
      <c r="M12" s="153">
        <f>IF(OR($H12="",$J12=""),"",$H12*$J12)</f>
        <v/>
      </c>
      <c r="N12" s="153">
        <f>IF(OR($M12="",$L12=""),"",$M12*$L12)</f>
        <v/>
      </c>
      <c r="O12" s="149" t="n"/>
      <c r="P12" s="154">
        <f>IF($O12="","",IFERROR(INDEX(Basis_of_Estimate!$C$5:$C$9,MATCH($O12,Basis_of_Estimate!$A$5:$A$9,0)),""))</f>
        <v/>
      </c>
      <c r="Q12" s="154">
        <f>IF($O12="","",IFERROR(INDEX(Basis_of_Estimate!$D$5:$D$9,MATCH($O12,Basis_of_Estimate!$A$5:$A$9,0)),""))</f>
        <v/>
      </c>
      <c r="R12" s="153">
        <f>IF($N12="","",$N12*(1+$P12))</f>
        <v/>
      </c>
      <c r="S12" s="153">
        <f>IF($N12="","",$N12)</f>
        <v/>
      </c>
      <c r="T12" s="153">
        <f>IF($N12="","",$N12*(1+$Q12))</f>
        <v/>
      </c>
      <c r="U12" s="150">
        <f>IF($D12="","",IFERROR(INDEX(WBS_CBS!$M$5:$M$16,MATCH($D12,WBS_CBS!$A$5:$A$16,0)),"Yes"))</f>
        <v/>
      </c>
      <c r="V12" s="150">
        <f>IF($D12="","",IFERROR(INDEX(WBS_CBS!$N$5:$N$16,MATCH($D12,WBS_CBS!$A$5:$A$16,0)),"Yes"))</f>
        <v/>
      </c>
      <c r="W12" s="150">
        <f>IF($D12="","",IFERROR(INDEX(WBS_CBS!$K$5:$K$16,MATCH($D12,WBS_CBS!$A$5:$A$16,0)),""))</f>
        <v/>
      </c>
      <c r="X12" s="150">
        <f>IF($D12="","",IFERROR(INDEX(WBS_CBS!$F$5:$F$16,MATCH($D12,WBS_CBS!$A$5:$A$16,0)),""))</f>
        <v/>
      </c>
      <c r="Y12" s="149" t="n"/>
      <c r="Z12" s="149" t="n"/>
      <c r="AA12" s="150">
        <f>IF($D12="","",IFERROR(INDEX(WBS_CBS!$L$5:$L$16,MATCH($D12,WBS_CBS!$A$5:$A$16,0)),""))</f>
        <v/>
      </c>
      <c r="AB12" s="149" t="n"/>
    </row>
    <row r="13">
      <c r="A13" s="149" t="n"/>
      <c r="B13" s="149" t="n"/>
      <c r="C13" s="150">
        <f>IF($D13="","",IFERROR(INDEX(WBS_CBS!$E$5:$E$16,MATCH($D13,WBS_CBS!$A$5:$A$16,0)),""))</f>
        <v/>
      </c>
      <c r="D13" s="149" t="n"/>
      <c r="E13" s="150">
        <f>IF($D13="","",IFERROR(INDEX(WBS_CBS!$C$5:$C$16,MATCH($D13,WBS_CBS!$A$5:$A$16,0)),""))</f>
        <v/>
      </c>
      <c r="F13" s="150">
        <f>IF($D13="","",IFERROR(INDEX(WBS_CBS!$J$5:$J$16,MATCH($D13,WBS_CBS!$A$5:$A$16,0)),""))</f>
        <v/>
      </c>
      <c r="G13" s="149" t="n"/>
      <c r="H13" s="151" t="n"/>
      <c r="I13" s="149" t="n"/>
      <c r="J13" s="152" t="n"/>
      <c r="K13" s="149" t="n"/>
      <c r="L13" s="153">
        <f>IF($K13="","",IFERROR(INDEX(FX_Rates!$B$5:$B$14,MATCH($K13,FX_Rates!$A$5:$A$14,0)),""))</f>
        <v/>
      </c>
      <c r="M13" s="153">
        <f>IF(OR($H13="",$J13=""),"",$H13*$J13)</f>
        <v/>
      </c>
      <c r="N13" s="153">
        <f>IF(OR($M13="",$L13=""),"",$M13*$L13)</f>
        <v/>
      </c>
      <c r="O13" s="149" t="n"/>
      <c r="P13" s="154">
        <f>IF($O13="","",IFERROR(INDEX(Basis_of_Estimate!$C$5:$C$9,MATCH($O13,Basis_of_Estimate!$A$5:$A$9,0)),""))</f>
        <v/>
      </c>
      <c r="Q13" s="154">
        <f>IF($O13="","",IFERROR(INDEX(Basis_of_Estimate!$D$5:$D$9,MATCH($O13,Basis_of_Estimate!$A$5:$A$9,0)),""))</f>
        <v/>
      </c>
      <c r="R13" s="153">
        <f>IF($N13="","",$N13*(1+$P13))</f>
        <v/>
      </c>
      <c r="S13" s="153">
        <f>IF($N13="","",$N13)</f>
        <v/>
      </c>
      <c r="T13" s="153">
        <f>IF($N13="","",$N13*(1+$Q13))</f>
        <v/>
      </c>
      <c r="U13" s="150">
        <f>IF($D13="","",IFERROR(INDEX(WBS_CBS!$M$5:$M$16,MATCH($D13,WBS_CBS!$A$5:$A$16,0)),"Yes"))</f>
        <v/>
      </c>
      <c r="V13" s="150">
        <f>IF($D13="","",IFERROR(INDEX(WBS_CBS!$N$5:$N$16,MATCH($D13,WBS_CBS!$A$5:$A$16,0)),"Yes"))</f>
        <v/>
      </c>
      <c r="W13" s="150">
        <f>IF($D13="","",IFERROR(INDEX(WBS_CBS!$K$5:$K$16,MATCH($D13,WBS_CBS!$A$5:$A$16,0)),""))</f>
        <v/>
      </c>
      <c r="X13" s="150">
        <f>IF($D13="","",IFERROR(INDEX(WBS_CBS!$F$5:$F$16,MATCH($D13,WBS_CBS!$A$5:$A$16,0)),""))</f>
        <v/>
      </c>
      <c r="Y13" s="149" t="n"/>
      <c r="Z13" s="149" t="n"/>
      <c r="AA13" s="150">
        <f>IF($D13="","",IFERROR(INDEX(WBS_CBS!$L$5:$L$16,MATCH($D13,WBS_CBS!$A$5:$A$16,0)),""))</f>
        <v/>
      </c>
      <c r="AB13" s="149" t="n"/>
    </row>
    <row r="14">
      <c r="A14" s="149" t="n"/>
      <c r="B14" s="149" t="n"/>
      <c r="C14" s="150">
        <f>IF($D14="","",IFERROR(INDEX(WBS_CBS!$E$5:$E$16,MATCH($D14,WBS_CBS!$A$5:$A$16,0)),""))</f>
        <v/>
      </c>
      <c r="D14" s="149" t="n"/>
      <c r="E14" s="150">
        <f>IF($D14="","",IFERROR(INDEX(WBS_CBS!$C$5:$C$16,MATCH($D14,WBS_CBS!$A$5:$A$16,0)),""))</f>
        <v/>
      </c>
      <c r="F14" s="150">
        <f>IF($D14="","",IFERROR(INDEX(WBS_CBS!$J$5:$J$16,MATCH($D14,WBS_CBS!$A$5:$A$16,0)),""))</f>
        <v/>
      </c>
      <c r="G14" s="149" t="n"/>
      <c r="H14" s="151" t="n"/>
      <c r="I14" s="149" t="n"/>
      <c r="J14" s="152" t="n"/>
      <c r="K14" s="149" t="n"/>
      <c r="L14" s="153">
        <f>IF($K14="","",IFERROR(INDEX(FX_Rates!$B$5:$B$14,MATCH($K14,FX_Rates!$A$5:$A$14,0)),""))</f>
        <v/>
      </c>
      <c r="M14" s="153">
        <f>IF(OR($H14="",$J14=""),"",$H14*$J14)</f>
        <v/>
      </c>
      <c r="N14" s="153">
        <f>IF(OR($M14="",$L14=""),"",$M14*$L14)</f>
        <v/>
      </c>
      <c r="O14" s="149" t="n"/>
      <c r="P14" s="154">
        <f>IF($O14="","",IFERROR(INDEX(Basis_of_Estimate!$C$5:$C$9,MATCH($O14,Basis_of_Estimate!$A$5:$A$9,0)),""))</f>
        <v/>
      </c>
      <c r="Q14" s="154">
        <f>IF($O14="","",IFERROR(INDEX(Basis_of_Estimate!$D$5:$D$9,MATCH($O14,Basis_of_Estimate!$A$5:$A$9,0)),""))</f>
        <v/>
      </c>
      <c r="R14" s="153">
        <f>IF($N14="","",$N14*(1+$P14))</f>
        <v/>
      </c>
      <c r="S14" s="153">
        <f>IF($N14="","",$N14)</f>
        <v/>
      </c>
      <c r="T14" s="153">
        <f>IF($N14="","",$N14*(1+$Q14))</f>
        <v/>
      </c>
      <c r="U14" s="150">
        <f>IF($D14="","",IFERROR(INDEX(WBS_CBS!$M$5:$M$16,MATCH($D14,WBS_CBS!$A$5:$A$16,0)),"Yes"))</f>
        <v/>
      </c>
      <c r="V14" s="150">
        <f>IF($D14="","",IFERROR(INDEX(WBS_CBS!$N$5:$N$16,MATCH($D14,WBS_CBS!$A$5:$A$16,0)),"Yes"))</f>
        <v/>
      </c>
      <c r="W14" s="150">
        <f>IF($D14="","",IFERROR(INDEX(WBS_CBS!$K$5:$K$16,MATCH($D14,WBS_CBS!$A$5:$A$16,0)),""))</f>
        <v/>
      </c>
      <c r="X14" s="150">
        <f>IF($D14="","",IFERROR(INDEX(WBS_CBS!$F$5:$F$16,MATCH($D14,WBS_CBS!$A$5:$A$16,0)),""))</f>
        <v/>
      </c>
      <c r="Y14" s="149" t="n"/>
      <c r="Z14" s="149" t="n"/>
      <c r="AA14" s="150">
        <f>IF($D14="","",IFERROR(INDEX(WBS_CBS!$L$5:$L$16,MATCH($D14,WBS_CBS!$A$5:$A$16,0)),""))</f>
        <v/>
      </c>
      <c r="AB14" s="149" t="n"/>
    </row>
    <row r="15">
      <c r="A15" s="149" t="n"/>
      <c r="B15" s="149" t="n"/>
      <c r="C15" s="150">
        <f>IF($D15="","",IFERROR(INDEX(WBS_CBS!$E$5:$E$16,MATCH($D15,WBS_CBS!$A$5:$A$16,0)),""))</f>
        <v/>
      </c>
      <c r="D15" s="149" t="n"/>
      <c r="E15" s="150">
        <f>IF($D15="","",IFERROR(INDEX(WBS_CBS!$C$5:$C$16,MATCH($D15,WBS_CBS!$A$5:$A$16,0)),""))</f>
        <v/>
      </c>
      <c r="F15" s="150">
        <f>IF($D15="","",IFERROR(INDEX(WBS_CBS!$J$5:$J$16,MATCH($D15,WBS_CBS!$A$5:$A$16,0)),""))</f>
        <v/>
      </c>
      <c r="G15" s="149" t="n"/>
      <c r="H15" s="151" t="n"/>
      <c r="I15" s="149" t="n"/>
      <c r="J15" s="152" t="n"/>
      <c r="K15" s="149" t="n"/>
      <c r="L15" s="153">
        <f>IF($K15="","",IFERROR(INDEX(FX_Rates!$B$5:$B$14,MATCH($K15,FX_Rates!$A$5:$A$14,0)),""))</f>
        <v/>
      </c>
      <c r="M15" s="153">
        <f>IF(OR($H15="",$J15=""),"",$H15*$J15)</f>
        <v/>
      </c>
      <c r="N15" s="153">
        <f>IF(OR($M15="",$L15=""),"",$M15*$L15)</f>
        <v/>
      </c>
      <c r="O15" s="149" t="n"/>
      <c r="P15" s="154">
        <f>IF($O15="","",IFERROR(INDEX(Basis_of_Estimate!$C$5:$C$9,MATCH($O15,Basis_of_Estimate!$A$5:$A$9,0)),""))</f>
        <v/>
      </c>
      <c r="Q15" s="154">
        <f>IF($O15="","",IFERROR(INDEX(Basis_of_Estimate!$D$5:$D$9,MATCH($O15,Basis_of_Estimate!$A$5:$A$9,0)),""))</f>
        <v/>
      </c>
      <c r="R15" s="153">
        <f>IF($N15="","",$N15*(1+$P15))</f>
        <v/>
      </c>
      <c r="S15" s="153">
        <f>IF($N15="","",$N15)</f>
        <v/>
      </c>
      <c r="T15" s="153">
        <f>IF($N15="","",$N15*(1+$Q15))</f>
        <v/>
      </c>
      <c r="U15" s="150">
        <f>IF($D15="","",IFERROR(INDEX(WBS_CBS!$M$5:$M$16,MATCH($D15,WBS_CBS!$A$5:$A$16,0)),"Yes"))</f>
        <v/>
      </c>
      <c r="V15" s="150">
        <f>IF($D15="","",IFERROR(INDEX(WBS_CBS!$N$5:$N$16,MATCH($D15,WBS_CBS!$A$5:$A$16,0)),"Yes"))</f>
        <v/>
      </c>
      <c r="W15" s="150">
        <f>IF($D15="","",IFERROR(INDEX(WBS_CBS!$K$5:$K$16,MATCH($D15,WBS_CBS!$A$5:$A$16,0)),""))</f>
        <v/>
      </c>
      <c r="X15" s="150">
        <f>IF($D15="","",IFERROR(INDEX(WBS_CBS!$F$5:$F$16,MATCH($D15,WBS_CBS!$A$5:$A$16,0)),""))</f>
        <v/>
      </c>
      <c r="Y15" s="149" t="n"/>
      <c r="Z15" s="149" t="n"/>
      <c r="AA15" s="150">
        <f>IF($D15="","",IFERROR(INDEX(WBS_CBS!$L$5:$L$16,MATCH($D15,WBS_CBS!$A$5:$A$16,0)),""))</f>
        <v/>
      </c>
      <c r="AB15" s="149" t="n"/>
    </row>
    <row r="16">
      <c r="A16" s="149" t="n"/>
      <c r="B16" s="149" t="n"/>
      <c r="C16" s="150">
        <f>IF($D16="","",IFERROR(INDEX(WBS_CBS!$E$5:$E$16,MATCH($D16,WBS_CBS!$A$5:$A$16,0)),""))</f>
        <v/>
      </c>
      <c r="D16" s="149" t="n"/>
      <c r="E16" s="150">
        <f>IF($D16="","",IFERROR(INDEX(WBS_CBS!$C$5:$C$16,MATCH($D16,WBS_CBS!$A$5:$A$16,0)),""))</f>
        <v/>
      </c>
      <c r="F16" s="150">
        <f>IF($D16="","",IFERROR(INDEX(WBS_CBS!$J$5:$J$16,MATCH($D16,WBS_CBS!$A$5:$A$16,0)),""))</f>
        <v/>
      </c>
      <c r="G16" s="149" t="n"/>
      <c r="H16" s="151" t="n"/>
      <c r="I16" s="149" t="n"/>
      <c r="J16" s="152" t="n"/>
      <c r="K16" s="149" t="n"/>
      <c r="L16" s="153">
        <f>IF($K16="","",IFERROR(INDEX(FX_Rates!$B$5:$B$14,MATCH($K16,FX_Rates!$A$5:$A$14,0)),""))</f>
        <v/>
      </c>
      <c r="M16" s="153">
        <f>IF(OR($H16="",$J16=""),"",$H16*$J16)</f>
        <v/>
      </c>
      <c r="N16" s="153">
        <f>IF(OR($M16="",$L16=""),"",$M16*$L16)</f>
        <v/>
      </c>
      <c r="O16" s="149" t="n"/>
      <c r="P16" s="154">
        <f>IF($O16="","",IFERROR(INDEX(Basis_of_Estimate!$C$5:$C$9,MATCH($O16,Basis_of_Estimate!$A$5:$A$9,0)),""))</f>
        <v/>
      </c>
      <c r="Q16" s="154">
        <f>IF($O16="","",IFERROR(INDEX(Basis_of_Estimate!$D$5:$D$9,MATCH($O16,Basis_of_Estimate!$A$5:$A$9,0)),""))</f>
        <v/>
      </c>
      <c r="R16" s="153">
        <f>IF($N16="","",$N16*(1+$P16))</f>
        <v/>
      </c>
      <c r="S16" s="153">
        <f>IF($N16="","",$N16)</f>
        <v/>
      </c>
      <c r="T16" s="153">
        <f>IF($N16="","",$N16*(1+$Q16))</f>
        <v/>
      </c>
      <c r="U16" s="150">
        <f>IF($D16="","",IFERROR(INDEX(WBS_CBS!$M$5:$M$16,MATCH($D16,WBS_CBS!$A$5:$A$16,0)),"Yes"))</f>
        <v/>
      </c>
      <c r="V16" s="150">
        <f>IF($D16="","",IFERROR(INDEX(WBS_CBS!$N$5:$N$16,MATCH($D16,WBS_CBS!$A$5:$A$16,0)),"Yes"))</f>
        <v/>
      </c>
      <c r="W16" s="150">
        <f>IF($D16="","",IFERROR(INDEX(WBS_CBS!$K$5:$K$16,MATCH($D16,WBS_CBS!$A$5:$A$16,0)),""))</f>
        <v/>
      </c>
      <c r="X16" s="150">
        <f>IF($D16="","",IFERROR(INDEX(WBS_CBS!$F$5:$F$16,MATCH($D16,WBS_CBS!$A$5:$A$16,0)),""))</f>
        <v/>
      </c>
      <c r="Y16" s="149" t="n"/>
      <c r="Z16" s="149" t="n"/>
      <c r="AA16" s="150">
        <f>IF($D16="","",IFERROR(INDEX(WBS_CBS!$L$5:$L$16,MATCH($D16,WBS_CBS!$A$5:$A$16,0)),""))</f>
        <v/>
      </c>
      <c r="AB16" s="149" t="n"/>
    </row>
    <row r="17">
      <c r="A17" s="149" t="n"/>
      <c r="B17" s="149" t="n"/>
      <c r="C17" s="150">
        <f>IF($D17="","",IFERROR(INDEX(WBS_CBS!$E$5:$E$16,MATCH($D17,WBS_CBS!$A$5:$A$16,0)),""))</f>
        <v/>
      </c>
      <c r="D17" s="149" t="n"/>
      <c r="E17" s="150">
        <f>IF($D17="","",IFERROR(INDEX(WBS_CBS!$C$5:$C$16,MATCH($D17,WBS_CBS!$A$5:$A$16,0)),""))</f>
        <v/>
      </c>
      <c r="F17" s="150">
        <f>IF($D17="","",IFERROR(INDEX(WBS_CBS!$J$5:$J$16,MATCH($D17,WBS_CBS!$A$5:$A$16,0)),""))</f>
        <v/>
      </c>
      <c r="G17" s="149" t="n"/>
      <c r="H17" s="151" t="n"/>
      <c r="I17" s="149" t="n"/>
      <c r="J17" s="152" t="n"/>
      <c r="K17" s="149" t="n"/>
      <c r="L17" s="153">
        <f>IF($K17="","",IFERROR(INDEX(FX_Rates!$B$5:$B$14,MATCH($K17,FX_Rates!$A$5:$A$14,0)),""))</f>
        <v/>
      </c>
      <c r="M17" s="153">
        <f>IF(OR($H17="",$J17=""),"",$H17*$J17)</f>
        <v/>
      </c>
      <c r="N17" s="153">
        <f>IF(OR($M17="",$L17=""),"",$M17*$L17)</f>
        <v/>
      </c>
      <c r="O17" s="149" t="n"/>
      <c r="P17" s="154">
        <f>IF($O17="","",IFERROR(INDEX(Basis_of_Estimate!$C$5:$C$9,MATCH($O17,Basis_of_Estimate!$A$5:$A$9,0)),""))</f>
        <v/>
      </c>
      <c r="Q17" s="154">
        <f>IF($O17="","",IFERROR(INDEX(Basis_of_Estimate!$D$5:$D$9,MATCH($O17,Basis_of_Estimate!$A$5:$A$9,0)),""))</f>
        <v/>
      </c>
      <c r="R17" s="153">
        <f>IF($N17="","",$N17*(1+$P17))</f>
        <v/>
      </c>
      <c r="S17" s="153">
        <f>IF($N17="","",$N17)</f>
        <v/>
      </c>
      <c r="T17" s="153">
        <f>IF($N17="","",$N17*(1+$Q17))</f>
        <v/>
      </c>
      <c r="U17" s="150">
        <f>IF($D17="","",IFERROR(INDEX(WBS_CBS!$M$5:$M$16,MATCH($D17,WBS_CBS!$A$5:$A$16,0)),"Yes"))</f>
        <v/>
      </c>
      <c r="V17" s="150">
        <f>IF($D17="","",IFERROR(INDEX(WBS_CBS!$N$5:$N$16,MATCH($D17,WBS_CBS!$A$5:$A$16,0)),"Yes"))</f>
        <v/>
      </c>
      <c r="W17" s="150">
        <f>IF($D17="","",IFERROR(INDEX(WBS_CBS!$K$5:$K$16,MATCH($D17,WBS_CBS!$A$5:$A$16,0)),""))</f>
        <v/>
      </c>
      <c r="X17" s="150">
        <f>IF($D17="","",IFERROR(INDEX(WBS_CBS!$F$5:$F$16,MATCH($D17,WBS_CBS!$A$5:$A$16,0)),""))</f>
        <v/>
      </c>
      <c r="Y17" s="149" t="n"/>
      <c r="Z17" s="149" t="n"/>
      <c r="AA17" s="150">
        <f>IF($D17="","",IFERROR(INDEX(WBS_CBS!$L$5:$L$16,MATCH($D17,WBS_CBS!$A$5:$A$16,0)),""))</f>
        <v/>
      </c>
      <c r="AB17" s="149" t="n"/>
    </row>
    <row r="18">
      <c r="A18" s="149" t="n"/>
      <c r="B18" s="149" t="n"/>
      <c r="C18" s="150">
        <f>IF($D18="","",IFERROR(INDEX(WBS_CBS!$E$5:$E$16,MATCH($D18,WBS_CBS!$A$5:$A$16,0)),""))</f>
        <v/>
      </c>
      <c r="D18" s="149" t="n"/>
      <c r="E18" s="150">
        <f>IF($D18="","",IFERROR(INDEX(WBS_CBS!$C$5:$C$16,MATCH($D18,WBS_CBS!$A$5:$A$16,0)),""))</f>
        <v/>
      </c>
      <c r="F18" s="150">
        <f>IF($D18="","",IFERROR(INDEX(WBS_CBS!$J$5:$J$16,MATCH($D18,WBS_CBS!$A$5:$A$16,0)),""))</f>
        <v/>
      </c>
      <c r="G18" s="149" t="n"/>
      <c r="H18" s="151" t="n"/>
      <c r="I18" s="149" t="n"/>
      <c r="J18" s="152" t="n"/>
      <c r="K18" s="149" t="n"/>
      <c r="L18" s="153">
        <f>IF($K18="","",IFERROR(INDEX(FX_Rates!$B$5:$B$14,MATCH($K18,FX_Rates!$A$5:$A$14,0)),""))</f>
        <v/>
      </c>
      <c r="M18" s="153">
        <f>IF(OR($H18="",$J18=""),"",$H18*$J18)</f>
        <v/>
      </c>
      <c r="N18" s="153">
        <f>IF(OR($M18="",$L18=""),"",$M18*$L18)</f>
        <v/>
      </c>
      <c r="O18" s="149" t="n"/>
      <c r="P18" s="154">
        <f>IF($O18="","",IFERROR(INDEX(Basis_of_Estimate!$C$5:$C$9,MATCH($O18,Basis_of_Estimate!$A$5:$A$9,0)),""))</f>
        <v/>
      </c>
      <c r="Q18" s="154">
        <f>IF($O18="","",IFERROR(INDEX(Basis_of_Estimate!$D$5:$D$9,MATCH($O18,Basis_of_Estimate!$A$5:$A$9,0)),""))</f>
        <v/>
      </c>
      <c r="R18" s="153">
        <f>IF($N18="","",$N18*(1+$P18))</f>
        <v/>
      </c>
      <c r="S18" s="153">
        <f>IF($N18="","",$N18)</f>
        <v/>
      </c>
      <c r="T18" s="153">
        <f>IF($N18="","",$N18*(1+$Q18))</f>
        <v/>
      </c>
      <c r="U18" s="150">
        <f>IF($D18="","",IFERROR(INDEX(WBS_CBS!$M$5:$M$16,MATCH($D18,WBS_CBS!$A$5:$A$16,0)),"Yes"))</f>
        <v/>
      </c>
      <c r="V18" s="150">
        <f>IF($D18="","",IFERROR(INDEX(WBS_CBS!$N$5:$N$16,MATCH($D18,WBS_CBS!$A$5:$A$16,0)),"Yes"))</f>
        <v/>
      </c>
      <c r="W18" s="150">
        <f>IF($D18="","",IFERROR(INDEX(WBS_CBS!$K$5:$K$16,MATCH($D18,WBS_CBS!$A$5:$A$16,0)),""))</f>
        <v/>
      </c>
      <c r="X18" s="150">
        <f>IF($D18="","",IFERROR(INDEX(WBS_CBS!$F$5:$F$16,MATCH($D18,WBS_CBS!$A$5:$A$16,0)),""))</f>
        <v/>
      </c>
      <c r="Y18" s="149" t="n"/>
      <c r="Z18" s="149" t="n"/>
      <c r="AA18" s="150">
        <f>IF($D18="","",IFERROR(INDEX(WBS_CBS!$L$5:$L$16,MATCH($D18,WBS_CBS!$A$5:$A$16,0)),""))</f>
        <v/>
      </c>
      <c r="AB18" s="149" t="n"/>
    </row>
    <row r="19">
      <c r="A19" s="149" t="n"/>
      <c r="B19" s="149" t="n"/>
      <c r="C19" s="150">
        <f>IF($D19="","",IFERROR(INDEX(WBS_CBS!$E$5:$E$16,MATCH($D19,WBS_CBS!$A$5:$A$16,0)),""))</f>
        <v/>
      </c>
      <c r="D19" s="149" t="n"/>
      <c r="E19" s="150">
        <f>IF($D19="","",IFERROR(INDEX(WBS_CBS!$C$5:$C$16,MATCH($D19,WBS_CBS!$A$5:$A$16,0)),""))</f>
        <v/>
      </c>
      <c r="F19" s="150">
        <f>IF($D19="","",IFERROR(INDEX(WBS_CBS!$J$5:$J$16,MATCH($D19,WBS_CBS!$A$5:$A$16,0)),""))</f>
        <v/>
      </c>
      <c r="G19" s="149" t="n"/>
      <c r="H19" s="151" t="n"/>
      <c r="I19" s="149" t="n"/>
      <c r="J19" s="152" t="n"/>
      <c r="K19" s="149" t="n"/>
      <c r="L19" s="153">
        <f>IF($K19="","",IFERROR(INDEX(FX_Rates!$B$5:$B$14,MATCH($K19,FX_Rates!$A$5:$A$14,0)),""))</f>
        <v/>
      </c>
      <c r="M19" s="153">
        <f>IF(OR($H19="",$J19=""),"",$H19*$J19)</f>
        <v/>
      </c>
      <c r="N19" s="153">
        <f>IF(OR($M19="",$L19=""),"",$M19*$L19)</f>
        <v/>
      </c>
      <c r="O19" s="149" t="n"/>
      <c r="P19" s="154">
        <f>IF($O19="","",IFERROR(INDEX(Basis_of_Estimate!$C$5:$C$9,MATCH($O19,Basis_of_Estimate!$A$5:$A$9,0)),""))</f>
        <v/>
      </c>
      <c r="Q19" s="154">
        <f>IF($O19="","",IFERROR(INDEX(Basis_of_Estimate!$D$5:$D$9,MATCH($O19,Basis_of_Estimate!$A$5:$A$9,0)),""))</f>
        <v/>
      </c>
      <c r="R19" s="153">
        <f>IF($N19="","",$N19*(1+$P19))</f>
        <v/>
      </c>
      <c r="S19" s="153">
        <f>IF($N19="","",$N19)</f>
        <v/>
      </c>
      <c r="T19" s="153">
        <f>IF($N19="","",$N19*(1+$Q19))</f>
        <v/>
      </c>
      <c r="U19" s="150">
        <f>IF($D19="","",IFERROR(INDEX(WBS_CBS!$M$5:$M$16,MATCH($D19,WBS_CBS!$A$5:$A$16,0)),"Yes"))</f>
        <v/>
      </c>
      <c r="V19" s="150">
        <f>IF($D19="","",IFERROR(INDEX(WBS_CBS!$N$5:$N$16,MATCH($D19,WBS_CBS!$A$5:$A$16,0)),"Yes"))</f>
        <v/>
      </c>
      <c r="W19" s="150">
        <f>IF($D19="","",IFERROR(INDEX(WBS_CBS!$K$5:$K$16,MATCH($D19,WBS_CBS!$A$5:$A$16,0)),""))</f>
        <v/>
      </c>
      <c r="X19" s="150">
        <f>IF($D19="","",IFERROR(INDEX(WBS_CBS!$F$5:$F$16,MATCH($D19,WBS_CBS!$A$5:$A$16,0)),""))</f>
        <v/>
      </c>
      <c r="Y19" s="149" t="n"/>
      <c r="Z19" s="149" t="n"/>
      <c r="AA19" s="150">
        <f>IF($D19="","",IFERROR(INDEX(WBS_CBS!$L$5:$L$16,MATCH($D19,WBS_CBS!$A$5:$A$16,0)),""))</f>
        <v/>
      </c>
      <c r="AB19" s="149" t="n"/>
    </row>
    <row r="20">
      <c r="A20" s="149" t="n"/>
      <c r="B20" s="149" t="n"/>
      <c r="C20" s="150">
        <f>IF($D20="","",IFERROR(INDEX(WBS_CBS!$E$5:$E$16,MATCH($D20,WBS_CBS!$A$5:$A$16,0)),""))</f>
        <v/>
      </c>
      <c r="D20" s="149" t="n"/>
      <c r="E20" s="150">
        <f>IF($D20="","",IFERROR(INDEX(WBS_CBS!$C$5:$C$16,MATCH($D20,WBS_CBS!$A$5:$A$16,0)),""))</f>
        <v/>
      </c>
      <c r="F20" s="150">
        <f>IF($D20="","",IFERROR(INDEX(WBS_CBS!$J$5:$J$16,MATCH($D20,WBS_CBS!$A$5:$A$16,0)),""))</f>
        <v/>
      </c>
      <c r="G20" s="149" t="n"/>
      <c r="H20" s="151" t="n"/>
      <c r="I20" s="149" t="n"/>
      <c r="J20" s="152" t="n"/>
      <c r="K20" s="149" t="n"/>
      <c r="L20" s="153">
        <f>IF($K20="","",IFERROR(INDEX(FX_Rates!$B$5:$B$14,MATCH($K20,FX_Rates!$A$5:$A$14,0)),""))</f>
        <v/>
      </c>
      <c r="M20" s="153">
        <f>IF(OR($H20="",$J20=""),"",$H20*$J20)</f>
        <v/>
      </c>
      <c r="N20" s="153">
        <f>IF(OR($M20="",$L20=""),"",$M20*$L20)</f>
        <v/>
      </c>
      <c r="O20" s="149" t="n"/>
      <c r="P20" s="154">
        <f>IF($O20="","",IFERROR(INDEX(Basis_of_Estimate!$C$5:$C$9,MATCH($O20,Basis_of_Estimate!$A$5:$A$9,0)),""))</f>
        <v/>
      </c>
      <c r="Q20" s="154">
        <f>IF($O20="","",IFERROR(INDEX(Basis_of_Estimate!$D$5:$D$9,MATCH($O20,Basis_of_Estimate!$A$5:$A$9,0)),""))</f>
        <v/>
      </c>
      <c r="R20" s="153">
        <f>IF($N20="","",$N20*(1+$P20))</f>
        <v/>
      </c>
      <c r="S20" s="153">
        <f>IF($N20="","",$N20)</f>
        <v/>
      </c>
      <c r="T20" s="153">
        <f>IF($N20="","",$N20*(1+$Q20))</f>
        <v/>
      </c>
      <c r="U20" s="150">
        <f>IF($D20="","",IFERROR(INDEX(WBS_CBS!$M$5:$M$16,MATCH($D20,WBS_CBS!$A$5:$A$16,0)),"Yes"))</f>
        <v/>
      </c>
      <c r="V20" s="150">
        <f>IF($D20="","",IFERROR(INDEX(WBS_CBS!$N$5:$N$16,MATCH($D20,WBS_CBS!$A$5:$A$16,0)),"Yes"))</f>
        <v/>
      </c>
      <c r="W20" s="150">
        <f>IF($D20="","",IFERROR(INDEX(WBS_CBS!$K$5:$K$16,MATCH($D20,WBS_CBS!$A$5:$A$16,0)),""))</f>
        <v/>
      </c>
      <c r="X20" s="150">
        <f>IF($D20="","",IFERROR(INDEX(WBS_CBS!$F$5:$F$16,MATCH($D20,WBS_CBS!$A$5:$A$16,0)),""))</f>
        <v/>
      </c>
      <c r="Y20" s="149" t="n"/>
      <c r="Z20" s="149" t="n"/>
      <c r="AA20" s="150">
        <f>IF($D20="","",IFERROR(INDEX(WBS_CBS!$L$5:$L$16,MATCH($D20,WBS_CBS!$A$5:$A$16,0)),""))</f>
        <v/>
      </c>
      <c r="AB20" s="149" t="n"/>
    </row>
    <row r="21">
      <c r="A21" s="149" t="n"/>
      <c r="B21" s="149" t="n"/>
      <c r="C21" s="150">
        <f>IF($D21="","",IFERROR(INDEX(WBS_CBS!$E$5:$E$16,MATCH($D21,WBS_CBS!$A$5:$A$16,0)),""))</f>
        <v/>
      </c>
      <c r="D21" s="149" t="n"/>
      <c r="E21" s="150">
        <f>IF($D21="","",IFERROR(INDEX(WBS_CBS!$C$5:$C$16,MATCH($D21,WBS_CBS!$A$5:$A$16,0)),""))</f>
        <v/>
      </c>
      <c r="F21" s="150">
        <f>IF($D21="","",IFERROR(INDEX(WBS_CBS!$J$5:$J$16,MATCH($D21,WBS_CBS!$A$5:$A$16,0)),""))</f>
        <v/>
      </c>
      <c r="G21" s="149" t="n"/>
      <c r="H21" s="151" t="n"/>
      <c r="I21" s="149" t="n"/>
      <c r="J21" s="152" t="n"/>
      <c r="K21" s="149" t="n"/>
      <c r="L21" s="153">
        <f>IF($K21="","",IFERROR(INDEX(FX_Rates!$B$5:$B$14,MATCH($K21,FX_Rates!$A$5:$A$14,0)),""))</f>
        <v/>
      </c>
      <c r="M21" s="153">
        <f>IF(OR($H21="",$J21=""),"",$H21*$J21)</f>
        <v/>
      </c>
      <c r="N21" s="153">
        <f>IF(OR($M21="",$L21=""),"",$M21*$L21)</f>
        <v/>
      </c>
      <c r="O21" s="149" t="n"/>
      <c r="P21" s="154">
        <f>IF($O21="","",IFERROR(INDEX(Basis_of_Estimate!$C$5:$C$9,MATCH($O21,Basis_of_Estimate!$A$5:$A$9,0)),""))</f>
        <v/>
      </c>
      <c r="Q21" s="154">
        <f>IF($O21="","",IFERROR(INDEX(Basis_of_Estimate!$D$5:$D$9,MATCH($O21,Basis_of_Estimate!$A$5:$A$9,0)),""))</f>
        <v/>
      </c>
      <c r="R21" s="153">
        <f>IF($N21="","",$N21*(1+$P21))</f>
        <v/>
      </c>
      <c r="S21" s="153">
        <f>IF($N21="","",$N21)</f>
        <v/>
      </c>
      <c r="T21" s="153">
        <f>IF($N21="","",$N21*(1+$Q21))</f>
        <v/>
      </c>
      <c r="U21" s="150">
        <f>IF($D21="","",IFERROR(INDEX(WBS_CBS!$M$5:$M$16,MATCH($D21,WBS_CBS!$A$5:$A$16,0)),"Yes"))</f>
        <v/>
      </c>
      <c r="V21" s="150">
        <f>IF($D21="","",IFERROR(INDEX(WBS_CBS!$N$5:$N$16,MATCH($D21,WBS_CBS!$A$5:$A$16,0)),"Yes"))</f>
        <v/>
      </c>
      <c r="W21" s="150">
        <f>IF($D21="","",IFERROR(INDEX(WBS_CBS!$K$5:$K$16,MATCH($D21,WBS_CBS!$A$5:$A$16,0)),""))</f>
        <v/>
      </c>
      <c r="X21" s="150">
        <f>IF($D21="","",IFERROR(INDEX(WBS_CBS!$F$5:$F$16,MATCH($D21,WBS_CBS!$A$5:$A$16,0)),""))</f>
        <v/>
      </c>
      <c r="Y21" s="149" t="n"/>
      <c r="Z21" s="149" t="n"/>
      <c r="AA21" s="150">
        <f>IF($D21="","",IFERROR(INDEX(WBS_CBS!$L$5:$L$16,MATCH($D21,WBS_CBS!$A$5:$A$16,0)),""))</f>
        <v/>
      </c>
      <c r="AB21" s="149" t="n"/>
    </row>
    <row r="22">
      <c r="A22" s="149" t="n"/>
      <c r="B22" s="149" t="n"/>
      <c r="C22" s="150">
        <f>IF($D22="","",IFERROR(INDEX(WBS_CBS!$E$5:$E$16,MATCH($D22,WBS_CBS!$A$5:$A$16,0)),""))</f>
        <v/>
      </c>
      <c r="D22" s="149" t="n"/>
      <c r="E22" s="150">
        <f>IF($D22="","",IFERROR(INDEX(WBS_CBS!$C$5:$C$16,MATCH($D22,WBS_CBS!$A$5:$A$16,0)),""))</f>
        <v/>
      </c>
      <c r="F22" s="150">
        <f>IF($D22="","",IFERROR(INDEX(WBS_CBS!$J$5:$J$16,MATCH($D22,WBS_CBS!$A$5:$A$16,0)),""))</f>
        <v/>
      </c>
      <c r="G22" s="149" t="n"/>
      <c r="H22" s="151" t="n"/>
      <c r="I22" s="149" t="n"/>
      <c r="J22" s="152" t="n"/>
      <c r="K22" s="149" t="n"/>
      <c r="L22" s="153">
        <f>IF($K22="","",IFERROR(INDEX(FX_Rates!$B$5:$B$14,MATCH($K22,FX_Rates!$A$5:$A$14,0)),""))</f>
        <v/>
      </c>
      <c r="M22" s="153">
        <f>IF(OR($H22="",$J22=""),"",$H22*$J22)</f>
        <v/>
      </c>
      <c r="N22" s="153">
        <f>IF(OR($M22="",$L22=""),"",$M22*$L22)</f>
        <v/>
      </c>
      <c r="O22" s="149" t="n"/>
      <c r="P22" s="154">
        <f>IF($O22="","",IFERROR(INDEX(Basis_of_Estimate!$C$5:$C$9,MATCH($O22,Basis_of_Estimate!$A$5:$A$9,0)),""))</f>
        <v/>
      </c>
      <c r="Q22" s="154">
        <f>IF($O22="","",IFERROR(INDEX(Basis_of_Estimate!$D$5:$D$9,MATCH($O22,Basis_of_Estimate!$A$5:$A$9,0)),""))</f>
        <v/>
      </c>
      <c r="R22" s="153">
        <f>IF($N22="","",$N22*(1+$P22))</f>
        <v/>
      </c>
      <c r="S22" s="153">
        <f>IF($N22="","",$N22)</f>
        <v/>
      </c>
      <c r="T22" s="153">
        <f>IF($N22="","",$N22*(1+$Q22))</f>
        <v/>
      </c>
      <c r="U22" s="150">
        <f>IF($D22="","",IFERROR(INDEX(WBS_CBS!$M$5:$M$16,MATCH($D22,WBS_CBS!$A$5:$A$16,0)),"Yes"))</f>
        <v/>
      </c>
      <c r="V22" s="150">
        <f>IF($D22="","",IFERROR(INDEX(WBS_CBS!$N$5:$N$16,MATCH($D22,WBS_CBS!$A$5:$A$16,0)),"Yes"))</f>
        <v/>
      </c>
      <c r="W22" s="150">
        <f>IF($D22="","",IFERROR(INDEX(WBS_CBS!$K$5:$K$16,MATCH($D22,WBS_CBS!$A$5:$A$16,0)),""))</f>
        <v/>
      </c>
      <c r="X22" s="150">
        <f>IF($D22="","",IFERROR(INDEX(WBS_CBS!$F$5:$F$16,MATCH($D22,WBS_CBS!$A$5:$A$16,0)),""))</f>
        <v/>
      </c>
      <c r="Y22" s="149" t="n"/>
      <c r="Z22" s="149" t="n"/>
      <c r="AA22" s="150">
        <f>IF($D22="","",IFERROR(INDEX(WBS_CBS!$L$5:$L$16,MATCH($D22,WBS_CBS!$A$5:$A$16,0)),""))</f>
        <v/>
      </c>
      <c r="AB22" s="149" t="n"/>
    </row>
    <row r="23">
      <c r="A23" s="149" t="n"/>
      <c r="B23" s="149" t="n"/>
      <c r="C23" s="150">
        <f>IF($D23="","",IFERROR(INDEX(WBS_CBS!$E$5:$E$16,MATCH($D23,WBS_CBS!$A$5:$A$16,0)),""))</f>
        <v/>
      </c>
      <c r="D23" s="149" t="n"/>
      <c r="E23" s="150">
        <f>IF($D23="","",IFERROR(INDEX(WBS_CBS!$C$5:$C$16,MATCH($D23,WBS_CBS!$A$5:$A$16,0)),""))</f>
        <v/>
      </c>
      <c r="F23" s="150">
        <f>IF($D23="","",IFERROR(INDEX(WBS_CBS!$J$5:$J$16,MATCH($D23,WBS_CBS!$A$5:$A$16,0)),""))</f>
        <v/>
      </c>
      <c r="G23" s="149" t="n"/>
      <c r="H23" s="151" t="n"/>
      <c r="I23" s="149" t="n"/>
      <c r="J23" s="152" t="n"/>
      <c r="K23" s="149" t="n"/>
      <c r="L23" s="153">
        <f>IF($K23="","",IFERROR(INDEX(FX_Rates!$B$5:$B$14,MATCH($K23,FX_Rates!$A$5:$A$14,0)),""))</f>
        <v/>
      </c>
      <c r="M23" s="153">
        <f>IF(OR($H23="",$J23=""),"",$H23*$J23)</f>
        <v/>
      </c>
      <c r="N23" s="153">
        <f>IF(OR($M23="",$L23=""),"",$M23*$L23)</f>
        <v/>
      </c>
      <c r="O23" s="149" t="n"/>
      <c r="P23" s="154">
        <f>IF($O23="","",IFERROR(INDEX(Basis_of_Estimate!$C$5:$C$9,MATCH($O23,Basis_of_Estimate!$A$5:$A$9,0)),""))</f>
        <v/>
      </c>
      <c r="Q23" s="154">
        <f>IF($O23="","",IFERROR(INDEX(Basis_of_Estimate!$D$5:$D$9,MATCH($O23,Basis_of_Estimate!$A$5:$A$9,0)),""))</f>
        <v/>
      </c>
      <c r="R23" s="153">
        <f>IF($N23="","",$N23*(1+$P23))</f>
        <v/>
      </c>
      <c r="S23" s="153">
        <f>IF($N23="","",$N23)</f>
        <v/>
      </c>
      <c r="T23" s="153">
        <f>IF($N23="","",$N23*(1+$Q23))</f>
        <v/>
      </c>
      <c r="U23" s="150">
        <f>IF($D23="","",IFERROR(INDEX(WBS_CBS!$M$5:$M$16,MATCH($D23,WBS_CBS!$A$5:$A$16,0)),"Yes"))</f>
        <v/>
      </c>
      <c r="V23" s="150">
        <f>IF($D23="","",IFERROR(INDEX(WBS_CBS!$N$5:$N$16,MATCH($D23,WBS_CBS!$A$5:$A$16,0)),"Yes"))</f>
        <v/>
      </c>
      <c r="W23" s="150">
        <f>IF($D23="","",IFERROR(INDEX(WBS_CBS!$K$5:$K$16,MATCH($D23,WBS_CBS!$A$5:$A$16,0)),""))</f>
        <v/>
      </c>
      <c r="X23" s="150">
        <f>IF($D23="","",IFERROR(INDEX(WBS_CBS!$F$5:$F$16,MATCH($D23,WBS_CBS!$A$5:$A$16,0)),""))</f>
        <v/>
      </c>
      <c r="Y23" s="149" t="n"/>
      <c r="Z23" s="149" t="n"/>
      <c r="AA23" s="150">
        <f>IF($D23="","",IFERROR(INDEX(WBS_CBS!$L$5:$L$16,MATCH($D23,WBS_CBS!$A$5:$A$16,0)),""))</f>
        <v/>
      </c>
      <c r="AB23" s="149" t="n"/>
    </row>
    <row r="24">
      <c r="A24" s="149" t="n"/>
      <c r="B24" s="149" t="n"/>
      <c r="C24" s="150">
        <f>IF($D24="","",IFERROR(INDEX(WBS_CBS!$E$5:$E$16,MATCH($D24,WBS_CBS!$A$5:$A$16,0)),""))</f>
        <v/>
      </c>
      <c r="D24" s="149" t="n"/>
      <c r="E24" s="150">
        <f>IF($D24="","",IFERROR(INDEX(WBS_CBS!$C$5:$C$16,MATCH($D24,WBS_CBS!$A$5:$A$16,0)),""))</f>
        <v/>
      </c>
      <c r="F24" s="150">
        <f>IF($D24="","",IFERROR(INDEX(WBS_CBS!$J$5:$J$16,MATCH($D24,WBS_CBS!$A$5:$A$16,0)),""))</f>
        <v/>
      </c>
      <c r="G24" s="149" t="n"/>
      <c r="H24" s="151" t="n"/>
      <c r="I24" s="149" t="n"/>
      <c r="J24" s="152" t="n"/>
      <c r="K24" s="149" t="n"/>
      <c r="L24" s="153">
        <f>IF($K24="","",IFERROR(INDEX(FX_Rates!$B$5:$B$14,MATCH($K24,FX_Rates!$A$5:$A$14,0)),""))</f>
        <v/>
      </c>
      <c r="M24" s="153">
        <f>IF(OR($H24="",$J24=""),"",$H24*$J24)</f>
        <v/>
      </c>
      <c r="N24" s="153">
        <f>IF(OR($M24="",$L24=""),"",$M24*$L24)</f>
        <v/>
      </c>
      <c r="O24" s="149" t="n"/>
      <c r="P24" s="154">
        <f>IF($O24="","",IFERROR(INDEX(Basis_of_Estimate!$C$5:$C$9,MATCH($O24,Basis_of_Estimate!$A$5:$A$9,0)),""))</f>
        <v/>
      </c>
      <c r="Q24" s="154">
        <f>IF($O24="","",IFERROR(INDEX(Basis_of_Estimate!$D$5:$D$9,MATCH($O24,Basis_of_Estimate!$A$5:$A$9,0)),""))</f>
        <v/>
      </c>
      <c r="R24" s="153">
        <f>IF($N24="","",$N24*(1+$P24))</f>
        <v/>
      </c>
      <c r="S24" s="153">
        <f>IF($N24="","",$N24)</f>
        <v/>
      </c>
      <c r="T24" s="153">
        <f>IF($N24="","",$N24*(1+$Q24))</f>
        <v/>
      </c>
      <c r="U24" s="150">
        <f>IF($D24="","",IFERROR(INDEX(WBS_CBS!$M$5:$M$16,MATCH($D24,WBS_CBS!$A$5:$A$16,0)),"Yes"))</f>
        <v/>
      </c>
      <c r="V24" s="150">
        <f>IF($D24="","",IFERROR(INDEX(WBS_CBS!$N$5:$N$16,MATCH($D24,WBS_CBS!$A$5:$A$16,0)),"Yes"))</f>
        <v/>
      </c>
      <c r="W24" s="150">
        <f>IF($D24="","",IFERROR(INDEX(WBS_CBS!$K$5:$K$16,MATCH($D24,WBS_CBS!$A$5:$A$16,0)),""))</f>
        <v/>
      </c>
      <c r="X24" s="150">
        <f>IF($D24="","",IFERROR(INDEX(WBS_CBS!$F$5:$F$16,MATCH($D24,WBS_CBS!$A$5:$A$16,0)),""))</f>
        <v/>
      </c>
      <c r="Y24" s="149" t="n"/>
      <c r="Z24" s="149" t="n"/>
      <c r="AA24" s="150">
        <f>IF($D24="","",IFERROR(INDEX(WBS_CBS!$L$5:$L$16,MATCH($D24,WBS_CBS!$A$5:$A$16,0)),""))</f>
        <v/>
      </c>
      <c r="AB24" s="149" t="n"/>
    </row>
    <row r="25">
      <c r="A25" s="149" t="n"/>
      <c r="B25" s="149" t="n"/>
      <c r="C25" s="150">
        <f>IF($D25="","",IFERROR(INDEX(WBS_CBS!$E$5:$E$16,MATCH($D25,WBS_CBS!$A$5:$A$16,0)),""))</f>
        <v/>
      </c>
      <c r="D25" s="149" t="n"/>
      <c r="E25" s="150">
        <f>IF($D25="","",IFERROR(INDEX(WBS_CBS!$C$5:$C$16,MATCH($D25,WBS_CBS!$A$5:$A$16,0)),""))</f>
        <v/>
      </c>
      <c r="F25" s="150">
        <f>IF($D25="","",IFERROR(INDEX(WBS_CBS!$J$5:$J$16,MATCH($D25,WBS_CBS!$A$5:$A$16,0)),""))</f>
        <v/>
      </c>
      <c r="G25" s="149" t="n"/>
      <c r="H25" s="151" t="n"/>
      <c r="I25" s="149" t="n"/>
      <c r="J25" s="152" t="n"/>
      <c r="K25" s="149" t="n"/>
      <c r="L25" s="153">
        <f>IF($K25="","",IFERROR(INDEX(FX_Rates!$B$5:$B$14,MATCH($K25,FX_Rates!$A$5:$A$14,0)),""))</f>
        <v/>
      </c>
      <c r="M25" s="153">
        <f>IF(OR($H25="",$J25=""),"",$H25*$J25)</f>
        <v/>
      </c>
      <c r="N25" s="153">
        <f>IF(OR($M25="",$L25=""),"",$M25*$L25)</f>
        <v/>
      </c>
      <c r="O25" s="149" t="n"/>
      <c r="P25" s="154">
        <f>IF($O25="","",IFERROR(INDEX(Basis_of_Estimate!$C$5:$C$9,MATCH($O25,Basis_of_Estimate!$A$5:$A$9,0)),""))</f>
        <v/>
      </c>
      <c r="Q25" s="154">
        <f>IF($O25="","",IFERROR(INDEX(Basis_of_Estimate!$D$5:$D$9,MATCH($O25,Basis_of_Estimate!$A$5:$A$9,0)),""))</f>
        <v/>
      </c>
      <c r="R25" s="153">
        <f>IF($N25="","",$N25*(1+$P25))</f>
        <v/>
      </c>
      <c r="S25" s="153">
        <f>IF($N25="","",$N25)</f>
        <v/>
      </c>
      <c r="T25" s="153">
        <f>IF($N25="","",$N25*(1+$Q25))</f>
        <v/>
      </c>
      <c r="U25" s="150">
        <f>IF($D25="","",IFERROR(INDEX(WBS_CBS!$M$5:$M$16,MATCH($D25,WBS_CBS!$A$5:$A$16,0)),"Yes"))</f>
        <v/>
      </c>
      <c r="V25" s="150">
        <f>IF($D25="","",IFERROR(INDEX(WBS_CBS!$N$5:$N$16,MATCH($D25,WBS_CBS!$A$5:$A$16,0)),"Yes"))</f>
        <v/>
      </c>
      <c r="W25" s="150">
        <f>IF($D25="","",IFERROR(INDEX(WBS_CBS!$K$5:$K$16,MATCH($D25,WBS_CBS!$A$5:$A$16,0)),""))</f>
        <v/>
      </c>
      <c r="X25" s="150">
        <f>IF($D25="","",IFERROR(INDEX(WBS_CBS!$F$5:$F$16,MATCH($D25,WBS_CBS!$A$5:$A$16,0)),""))</f>
        <v/>
      </c>
      <c r="Y25" s="149" t="n"/>
      <c r="Z25" s="149" t="n"/>
      <c r="AA25" s="150">
        <f>IF($D25="","",IFERROR(INDEX(WBS_CBS!$L$5:$L$16,MATCH($D25,WBS_CBS!$A$5:$A$16,0)),""))</f>
        <v/>
      </c>
      <c r="AB25" s="149" t="n"/>
    </row>
    <row r="26">
      <c r="A26" s="149" t="n"/>
      <c r="B26" s="149" t="n"/>
      <c r="C26" s="150">
        <f>IF($D26="","",IFERROR(INDEX(WBS_CBS!$E$5:$E$16,MATCH($D26,WBS_CBS!$A$5:$A$16,0)),""))</f>
        <v/>
      </c>
      <c r="D26" s="149" t="n"/>
      <c r="E26" s="150">
        <f>IF($D26="","",IFERROR(INDEX(WBS_CBS!$C$5:$C$16,MATCH($D26,WBS_CBS!$A$5:$A$16,0)),""))</f>
        <v/>
      </c>
      <c r="F26" s="150">
        <f>IF($D26="","",IFERROR(INDEX(WBS_CBS!$J$5:$J$16,MATCH($D26,WBS_CBS!$A$5:$A$16,0)),""))</f>
        <v/>
      </c>
      <c r="G26" s="149" t="n"/>
      <c r="H26" s="151" t="n"/>
      <c r="I26" s="149" t="n"/>
      <c r="J26" s="152" t="n"/>
      <c r="K26" s="149" t="n"/>
      <c r="L26" s="153">
        <f>IF($K26="","",IFERROR(INDEX(FX_Rates!$B$5:$B$14,MATCH($K26,FX_Rates!$A$5:$A$14,0)),""))</f>
        <v/>
      </c>
      <c r="M26" s="153">
        <f>IF(OR($H26="",$J26=""),"",$H26*$J26)</f>
        <v/>
      </c>
      <c r="N26" s="153">
        <f>IF(OR($M26="",$L26=""),"",$M26*$L26)</f>
        <v/>
      </c>
      <c r="O26" s="149" t="n"/>
      <c r="P26" s="154">
        <f>IF($O26="","",IFERROR(INDEX(Basis_of_Estimate!$C$5:$C$9,MATCH($O26,Basis_of_Estimate!$A$5:$A$9,0)),""))</f>
        <v/>
      </c>
      <c r="Q26" s="154">
        <f>IF($O26="","",IFERROR(INDEX(Basis_of_Estimate!$D$5:$D$9,MATCH($O26,Basis_of_Estimate!$A$5:$A$9,0)),""))</f>
        <v/>
      </c>
      <c r="R26" s="153">
        <f>IF($N26="","",$N26*(1+$P26))</f>
        <v/>
      </c>
      <c r="S26" s="153">
        <f>IF($N26="","",$N26)</f>
        <v/>
      </c>
      <c r="T26" s="153">
        <f>IF($N26="","",$N26*(1+$Q26))</f>
        <v/>
      </c>
      <c r="U26" s="150">
        <f>IF($D26="","",IFERROR(INDEX(WBS_CBS!$M$5:$M$16,MATCH($D26,WBS_CBS!$A$5:$A$16,0)),"Yes"))</f>
        <v/>
      </c>
      <c r="V26" s="150">
        <f>IF($D26="","",IFERROR(INDEX(WBS_CBS!$N$5:$N$16,MATCH($D26,WBS_CBS!$A$5:$A$16,0)),"Yes"))</f>
        <v/>
      </c>
      <c r="W26" s="150">
        <f>IF($D26="","",IFERROR(INDEX(WBS_CBS!$K$5:$K$16,MATCH($D26,WBS_CBS!$A$5:$A$16,0)),""))</f>
        <v/>
      </c>
      <c r="X26" s="150">
        <f>IF($D26="","",IFERROR(INDEX(WBS_CBS!$F$5:$F$16,MATCH($D26,WBS_CBS!$A$5:$A$16,0)),""))</f>
        <v/>
      </c>
      <c r="Y26" s="149" t="n"/>
      <c r="Z26" s="149" t="n"/>
      <c r="AA26" s="150">
        <f>IF($D26="","",IFERROR(INDEX(WBS_CBS!$L$5:$L$16,MATCH($D26,WBS_CBS!$A$5:$A$16,0)),""))</f>
        <v/>
      </c>
      <c r="AB26" s="149" t="n"/>
    </row>
    <row r="27">
      <c r="A27" s="149" t="n"/>
      <c r="B27" s="149" t="n"/>
      <c r="C27" s="150">
        <f>IF($D27="","",IFERROR(INDEX(WBS_CBS!$E$5:$E$16,MATCH($D27,WBS_CBS!$A$5:$A$16,0)),""))</f>
        <v/>
      </c>
      <c r="D27" s="149" t="n"/>
      <c r="E27" s="150">
        <f>IF($D27="","",IFERROR(INDEX(WBS_CBS!$C$5:$C$16,MATCH($D27,WBS_CBS!$A$5:$A$16,0)),""))</f>
        <v/>
      </c>
      <c r="F27" s="150">
        <f>IF($D27="","",IFERROR(INDEX(WBS_CBS!$J$5:$J$16,MATCH($D27,WBS_CBS!$A$5:$A$16,0)),""))</f>
        <v/>
      </c>
      <c r="G27" s="149" t="n"/>
      <c r="H27" s="151" t="n"/>
      <c r="I27" s="149" t="n"/>
      <c r="J27" s="152" t="n"/>
      <c r="K27" s="149" t="n"/>
      <c r="L27" s="153">
        <f>IF($K27="","",IFERROR(INDEX(FX_Rates!$B$5:$B$14,MATCH($K27,FX_Rates!$A$5:$A$14,0)),""))</f>
        <v/>
      </c>
      <c r="M27" s="153">
        <f>IF(OR($H27="",$J27=""),"",$H27*$J27)</f>
        <v/>
      </c>
      <c r="N27" s="153">
        <f>IF(OR($M27="",$L27=""),"",$M27*$L27)</f>
        <v/>
      </c>
      <c r="O27" s="149" t="n"/>
      <c r="P27" s="154">
        <f>IF($O27="","",IFERROR(INDEX(Basis_of_Estimate!$C$5:$C$9,MATCH($O27,Basis_of_Estimate!$A$5:$A$9,0)),""))</f>
        <v/>
      </c>
      <c r="Q27" s="154">
        <f>IF($O27="","",IFERROR(INDEX(Basis_of_Estimate!$D$5:$D$9,MATCH($O27,Basis_of_Estimate!$A$5:$A$9,0)),""))</f>
        <v/>
      </c>
      <c r="R27" s="153">
        <f>IF($N27="","",$N27*(1+$P27))</f>
        <v/>
      </c>
      <c r="S27" s="153">
        <f>IF($N27="","",$N27)</f>
        <v/>
      </c>
      <c r="T27" s="153">
        <f>IF($N27="","",$N27*(1+$Q27))</f>
        <v/>
      </c>
      <c r="U27" s="150">
        <f>IF($D27="","",IFERROR(INDEX(WBS_CBS!$M$5:$M$16,MATCH($D27,WBS_CBS!$A$5:$A$16,0)),"Yes"))</f>
        <v/>
      </c>
      <c r="V27" s="150">
        <f>IF($D27="","",IFERROR(INDEX(WBS_CBS!$N$5:$N$16,MATCH($D27,WBS_CBS!$A$5:$A$16,0)),"Yes"))</f>
        <v/>
      </c>
      <c r="W27" s="150">
        <f>IF($D27="","",IFERROR(INDEX(WBS_CBS!$K$5:$K$16,MATCH($D27,WBS_CBS!$A$5:$A$16,0)),""))</f>
        <v/>
      </c>
      <c r="X27" s="150">
        <f>IF($D27="","",IFERROR(INDEX(WBS_CBS!$F$5:$F$16,MATCH($D27,WBS_CBS!$A$5:$A$16,0)),""))</f>
        <v/>
      </c>
      <c r="Y27" s="149" t="n"/>
      <c r="Z27" s="149" t="n"/>
      <c r="AA27" s="150">
        <f>IF($D27="","",IFERROR(INDEX(WBS_CBS!$L$5:$L$16,MATCH($D27,WBS_CBS!$A$5:$A$16,0)),""))</f>
        <v/>
      </c>
      <c r="AB27" s="149" t="n"/>
    </row>
    <row r="28">
      <c r="A28" s="149" t="n"/>
      <c r="B28" s="149" t="n"/>
      <c r="C28" s="150">
        <f>IF($D28="","",IFERROR(INDEX(WBS_CBS!$E$5:$E$16,MATCH($D28,WBS_CBS!$A$5:$A$16,0)),""))</f>
        <v/>
      </c>
      <c r="D28" s="149" t="n"/>
      <c r="E28" s="150">
        <f>IF($D28="","",IFERROR(INDEX(WBS_CBS!$C$5:$C$16,MATCH($D28,WBS_CBS!$A$5:$A$16,0)),""))</f>
        <v/>
      </c>
      <c r="F28" s="150">
        <f>IF($D28="","",IFERROR(INDEX(WBS_CBS!$J$5:$J$16,MATCH($D28,WBS_CBS!$A$5:$A$16,0)),""))</f>
        <v/>
      </c>
      <c r="G28" s="149" t="n"/>
      <c r="H28" s="151" t="n"/>
      <c r="I28" s="149" t="n"/>
      <c r="J28" s="152" t="n"/>
      <c r="K28" s="149" t="n"/>
      <c r="L28" s="153">
        <f>IF($K28="","",IFERROR(INDEX(FX_Rates!$B$5:$B$14,MATCH($K28,FX_Rates!$A$5:$A$14,0)),""))</f>
        <v/>
      </c>
      <c r="M28" s="153">
        <f>IF(OR($H28="",$J28=""),"",$H28*$J28)</f>
        <v/>
      </c>
      <c r="N28" s="153">
        <f>IF(OR($M28="",$L28=""),"",$M28*$L28)</f>
        <v/>
      </c>
      <c r="O28" s="149" t="n"/>
      <c r="P28" s="154">
        <f>IF($O28="","",IFERROR(INDEX(Basis_of_Estimate!$C$5:$C$9,MATCH($O28,Basis_of_Estimate!$A$5:$A$9,0)),""))</f>
        <v/>
      </c>
      <c r="Q28" s="154">
        <f>IF($O28="","",IFERROR(INDEX(Basis_of_Estimate!$D$5:$D$9,MATCH($O28,Basis_of_Estimate!$A$5:$A$9,0)),""))</f>
        <v/>
      </c>
      <c r="R28" s="153">
        <f>IF($N28="","",$N28*(1+$P28))</f>
        <v/>
      </c>
      <c r="S28" s="153">
        <f>IF($N28="","",$N28)</f>
        <v/>
      </c>
      <c r="T28" s="153">
        <f>IF($N28="","",$N28*(1+$Q28))</f>
        <v/>
      </c>
      <c r="U28" s="150">
        <f>IF($D28="","",IFERROR(INDEX(WBS_CBS!$M$5:$M$16,MATCH($D28,WBS_CBS!$A$5:$A$16,0)),"Yes"))</f>
        <v/>
      </c>
      <c r="V28" s="150">
        <f>IF($D28="","",IFERROR(INDEX(WBS_CBS!$N$5:$N$16,MATCH($D28,WBS_CBS!$A$5:$A$16,0)),"Yes"))</f>
        <v/>
      </c>
      <c r="W28" s="150">
        <f>IF($D28="","",IFERROR(INDEX(WBS_CBS!$K$5:$K$16,MATCH($D28,WBS_CBS!$A$5:$A$16,0)),""))</f>
        <v/>
      </c>
      <c r="X28" s="150">
        <f>IF($D28="","",IFERROR(INDEX(WBS_CBS!$F$5:$F$16,MATCH($D28,WBS_CBS!$A$5:$A$16,0)),""))</f>
        <v/>
      </c>
      <c r="Y28" s="149" t="n"/>
      <c r="Z28" s="149" t="n"/>
      <c r="AA28" s="150">
        <f>IF($D28="","",IFERROR(INDEX(WBS_CBS!$L$5:$L$16,MATCH($D28,WBS_CBS!$A$5:$A$16,0)),""))</f>
        <v/>
      </c>
      <c r="AB28" s="149" t="n"/>
    </row>
    <row r="29">
      <c r="A29" s="149" t="n"/>
      <c r="B29" s="149" t="n"/>
      <c r="C29" s="150">
        <f>IF($D29="","",IFERROR(INDEX(WBS_CBS!$E$5:$E$16,MATCH($D29,WBS_CBS!$A$5:$A$16,0)),""))</f>
        <v/>
      </c>
      <c r="D29" s="149" t="n"/>
      <c r="E29" s="150">
        <f>IF($D29="","",IFERROR(INDEX(WBS_CBS!$C$5:$C$16,MATCH($D29,WBS_CBS!$A$5:$A$16,0)),""))</f>
        <v/>
      </c>
      <c r="F29" s="150">
        <f>IF($D29="","",IFERROR(INDEX(WBS_CBS!$J$5:$J$16,MATCH($D29,WBS_CBS!$A$5:$A$16,0)),""))</f>
        <v/>
      </c>
      <c r="G29" s="149" t="n"/>
      <c r="H29" s="151" t="n"/>
      <c r="I29" s="149" t="n"/>
      <c r="J29" s="152" t="n"/>
      <c r="K29" s="149" t="n"/>
      <c r="L29" s="153">
        <f>IF($K29="","",IFERROR(INDEX(FX_Rates!$B$5:$B$14,MATCH($K29,FX_Rates!$A$5:$A$14,0)),""))</f>
        <v/>
      </c>
      <c r="M29" s="153">
        <f>IF(OR($H29="",$J29=""),"",$H29*$J29)</f>
        <v/>
      </c>
      <c r="N29" s="153">
        <f>IF(OR($M29="",$L29=""),"",$M29*$L29)</f>
        <v/>
      </c>
      <c r="O29" s="149" t="n"/>
      <c r="P29" s="154">
        <f>IF($O29="","",IFERROR(INDEX(Basis_of_Estimate!$C$5:$C$9,MATCH($O29,Basis_of_Estimate!$A$5:$A$9,0)),""))</f>
        <v/>
      </c>
      <c r="Q29" s="154">
        <f>IF($O29="","",IFERROR(INDEX(Basis_of_Estimate!$D$5:$D$9,MATCH($O29,Basis_of_Estimate!$A$5:$A$9,0)),""))</f>
        <v/>
      </c>
      <c r="R29" s="153">
        <f>IF($N29="","",$N29*(1+$P29))</f>
        <v/>
      </c>
      <c r="S29" s="153">
        <f>IF($N29="","",$N29)</f>
        <v/>
      </c>
      <c r="T29" s="153">
        <f>IF($N29="","",$N29*(1+$Q29))</f>
        <v/>
      </c>
      <c r="U29" s="150">
        <f>IF($D29="","",IFERROR(INDEX(WBS_CBS!$M$5:$M$16,MATCH($D29,WBS_CBS!$A$5:$A$16,0)),"Yes"))</f>
        <v/>
      </c>
      <c r="V29" s="150">
        <f>IF($D29="","",IFERROR(INDEX(WBS_CBS!$N$5:$N$16,MATCH($D29,WBS_CBS!$A$5:$A$16,0)),"Yes"))</f>
        <v/>
      </c>
      <c r="W29" s="150">
        <f>IF($D29="","",IFERROR(INDEX(WBS_CBS!$K$5:$K$16,MATCH($D29,WBS_CBS!$A$5:$A$16,0)),""))</f>
        <v/>
      </c>
      <c r="X29" s="150">
        <f>IF($D29="","",IFERROR(INDEX(WBS_CBS!$F$5:$F$16,MATCH($D29,WBS_CBS!$A$5:$A$16,0)),""))</f>
        <v/>
      </c>
      <c r="Y29" s="149" t="n"/>
      <c r="Z29" s="149" t="n"/>
      <c r="AA29" s="150">
        <f>IF($D29="","",IFERROR(INDEX(WBS_CBS!$L$5:$L$16,MATCH($D29,WBS_CBS!$A$5:$A$16,0)),""))</f>
        <v/>
      </c>
      <c r="AB29" s="149" t="n"/>
    </row>
    <row r="30">
      <c r="A30" s="149" t="n"/>
      <c r="B30" s="149" t="n"/>
      <c r="C30" s="150">
        <f>IF($D30="","",IFERROR(INDEX(WBS_CBS!$E$5:$E$16,MATCH($D30,WBS_CBS!$A$5:$A$16,0)),""))</f>
        <v/>
      </c>
      <c r="D30" s="149" t="n"/>
      <c r="E30" s="150">
        <f>IF($D30="","",IFERROR(INDEX(WBS_CBS!$C$5:$C$16,MATCH($D30,WBS_CBS!$A$5:$A$16,0)),""))</f>
        <v/>
      </c>
      <c r="F30" s="150">
        <f>IF($D30="","",IFERROR(INDEX(WBS_CBS!$J$5:$J$16,MATCH($D30,WBS_CBS!$A$5:$A$16,0)),""))</f>
        <v/>
      </c>
      <c r="G30" s="149" t="n"/>
      <c r="H30" s="151" t="n"/>
      <c r="I30" s="149" t="n"/>
      <c r="J30" s="152" t="n"/>
      <c r="K30" s="149" t="n"/>
      <c r="L30" s="153">
        <f>IF($K30="","",IFERROR(INDEX(FX_Rates!$B$5:$B$14,MATCH($K30,FX_Rates!$A$5:$A$14,0)),""))</f>
        <v/>
      </c>
      <c r="M30" s="153">
        <f>IF(OR($H30="",$J30=""),"",$H30*$J30)</f>
        <v/>
      </c>
      <c r="N30" s="153">
        <f>IF(OR($M30="",$L30=""),"",$M30*$L30)</f>
        <v/>
      </c>
      <c r="O30" s="149" t="n"/>
      <c r="P30" s="154">
        <f>IF($O30="","",IFERROR(INDEX(Basis_of_Estimate!$C$5:$C$9,MATCH($O30,Basis_of_Estimate!$A$5:$A$9,0)),""))</f>
        <v/>
      </c>
      <c r="Q30" s="154">
        <f>IF($O30="","",IFERROR(INDEX(Basis_of_Estimate!$D$5:$D$9,MATCH($O30,Basis_of_Estimate!$A$5:$A$9,0)),""))</f>
        <v/>
      </c>
      <c r="R30" s="153">
        <f>IF($N30="","",$N30*(1+$P30))</f>
        <v/>
      </c>
      <c r="S30" s="153">
        <f>IF($N30="","",$N30)</f>
        <v/>
      </c>
      <c r="T30" s="153">
        <f>IF($N30="","",$N30*(1+$Q30))</f>
        <v/>
      </c>
      <c r="U30" s="150">
        <f>IF($D30="","",IFERROR(INDEX(WBS_CBS!$M$5:$M$16,MATCH($D30,WBS_CBS!$A$5:$A$16,0)),"Yes"))</f>
        <v/>
      </c>
      <c r="V30" s="150">
        <f>IF($D30="","",IFERROR(INDEX(WBS_CBS!$N$5:$N$16,MATCH($D30,WBS_CBS!$A$5:$A$16,0)),"Yes"))</f>
        <v/>
      </c>
      <c r="W30" s="150">
        <f>IF($D30="","",IFERROR(INDEX(WBS_CBS!$K$5:$K$16,MATCH($D30,WBS_CBS!$A$5:$A$16,0)),""))</f>
        <v/>
      </c>
      <c r="X30" s="150">
        <f>IF($D30="","",IFERROR(INDEX(WBS_CBS!$F$5:$F$16,MATCH($D30,WBS_CBS!$A$5:$A$16,0)),""))</f>
        <v/>
      </c>
      <c r="Y30" s="149" t="n"/>
      <c r="Z30" s="149" t="n"/>
      <c r="AA30" s="150">
        <f>IF($D30="","",IFERROR(INDEX(WBS_CBS!$L$5:$L$16,MATCH($D30,WBS_CBS!$A$5:$A$16,0)),""))</f>
        <v/>
      </c>
      <c r="AB30" s="149" t="n"/>
    </row>
    <row r="31">
      <c r="A31" s="149" t="n"/>
      <c r="B31" s="149" t="n"/>
      <c r="C31" s="150">
        <f>IF($D31="","",IFERROR(INDEX(WBS_CBS!$E$5:$E$16,MATCH($D31,WBS_CBS!$A$5:$A$16,0)),""))</f>
        <v/>
      </c>
      <c r="D31" s="149" t="n"/>
      <c r="E31" s="150">
        <f>IF($D31="","",IFERROR(INDEX(WBS_CBS!$C$5:$C$16,MATCH($D31,WBS_CBS!$A$5:$A$16,0)),""))</f>
        <v/>
      </c>
      <c r="F31" s="150">
        <f>IF($D31="","",IFERROR(INDEX(WBS_CBS!$J$5:$J$16,MATCH($D31,WBS_CBS!$A$5:$A$16,0)),""))</f>
        <v/>
      </c>
      <c r="G31" s="149" t="n"/>
      <c r="H31" s="151" t="n"/>
      <c r="I31" s="149" t="n"/>
      <c r="J31" s="152" t="n"/>
      <c r="K31" s="149" t="n"/>
      <c r="L31" s="153">
        <f>IF($K31="","",IFERROR(INDEX(FX_Rates!$B$5:$B$14,MATCH($K31,FX_Rates!$A$5:$A$14,0)),""))</f>
        <v/>
      </c>
      <c r="M31" s="153">
        <f>IF(OR($H31="",$J31=""),"",$H31*$J31)</f>
        <v/>
      </c>
      <c r="N31" s="153">
        <f>IF(OR($M31="",$L31=""),"",$M31*$L31)</f>
        <v/>
      </c>
      <c r="O31" s="149" t="n"/>
      <c r="P31" s="154">
        <f>IF($O31="","",IFERROR(INDEX(Basis_of_Estimate!$C$5:$C$9,MATCH($O31,Basis_of_Estimate!$A$5:$A$9,0)),""))</f>
        <v/>
      </c>
      <c r="Q31" s="154">
        <f>IF($O31="","",IFERROR(INDEX(Basis_of_Estimate!$D$5:$D$9,MATCH($O31,Basis_of_Estimate!$A$5:$A$9,0)),""))</f>
        <v/>
      </c>
      <c r="R31" s="153">
        <f>IF($N31="","",$N31*(1+$P31))</f>
        <v/>
      </c>
      <c r="S31" s="153">
        <f>IF($N31="","",$N31)</f>
        <v/>
      </c>
      <c r="T31" s="153">
        <f>IF($N31="","",$N31*(1+$Q31))</f>
        <v/>
      </c>
      <c r="U31" s="150">
        <f>IF($D31="","",IFERROR(INDEX(WBS_CBS!$M$5:$M$16,MATCH($D31,WBS_CBS!$A$5:$A$16,0)),"Yes"))</f>
        <v/>
      </c>
      <c r="V31" s="150">
        <f>IF($D31="","",IFERROR(INDEX(WBS_CBS!$N$5:$N$16,MATCH($D31,WBS_CBS!$A$5:$A$16,0)),"Yes"))</f>
        <v/>
      </c>
      <c r="W31" s="150">
        <f>IF($D31="","",IFERROR(INDEX(WBS_CBS!$K$5:$K$16,MATCH($D31,WBS_CBS!$A$5:$A$16,0)),""))</f>
        <v/>
      </c>
      <c r="X31" s="150">
        <f>IF($D31="","",IFERROR(INDEX(WBS_CBS!$F$5:$F$16,MATCH($D31,WBS_CBS!$A$5:$A$16,0)),""))</f>
        <v/>
      </c>
      <c r="Y31" s="149" t="n"/>
      <c r="Z31" s="149" t="n"/>
      <c r="AA31" s="150">
        <f>IF($D31="","",IFERROR(INDEX(WBS_CBS!$L$5:$L$16,MATCH($D31,WBS_CBS!$A$5:$A$16,0)),""))</f>
        <v/>
      </c>
      <c r="AB31" s="149" t="n"/>
    </row>
    <row r="32">
      <c r="A32" s="149" t="n"/>
      <c r="B32" s="149" t="n"/>
      <c r="C32" s="150">
        <f>IF($D32="","",IFERROR(INDEX(WBS_CBS!$E$5:$E$16,MATCH($D32,WBS_CBS!$A$5:$A$16,0)),""))</f>
        <v/>
      </c>
      <c r="D32" s="149" t="n"/>
      <c r="E32" s="150">
        <f>IF($D32="","",IFERROR(INDEX(WBS_CBS!$C$5:$C$16,MATCH($D32,WBS_CBS!$A$5:$A$16,0)),""))</f>
        <v/>
      </c>
      <c r="F32" s="150">
        <f>IF($D32="","",IFERROR(INDEX(WBS_CBS!$J$5:$J$16,MATCH($D32,WBS_CBS!$A$5:$A$16,0)),""))</f>
        <v/>
      </c>
      <c r="G32" s="149" t="n"/>
      <c r="H32" s="151" t="n"/>
      <c r="I32" s="149" t="n"/>
      <c r="J32" s="152" t="n"/>
      <c r="K32" s="149" t="n"/>
      <c r="L32" s="153">
        <f>IF($K32="","",IFERROR(INDEX(FX_Rates!$B$5:$B$14,MATCH($K32,FX_Rates!$A$5:$A$14,0)),""))</f>
        <v/>
      </c>
      <c r="M32" s="153">
        <f>IF(OR($H32="",$J32=""),"",$H32*$J32)</f>
        <v/>
      </c>
      <c r="N32" s="153">
        <f>IF(OR($M32="",$L32=""),"",$M32*$L32)</f>
        <v/>
      </c>
      <c r="O32" s="149" t="n"/>
      <c r="P32" s="154">
        <f>IF($O32="","",IFERROR(INDEX(Basis_of_Estimate!$C$5:$C$9,MATCH($O32,Basis_of_Estimate!$A$5:$A$9,0)),""))</f>
        <v/>
      </c>
      <c r="Q32" s="154">
        <f>IF($O32="","",IFERROR(INDEX(Basis_of_Estimate!$D$5:$D$9,MATCH($O32,Basis_of_Estimate!$A$5:$A$9,0)),""))</f>
        <v/>
      </c>
      <c r="R32" s="153">
        <f>IF($N32="","",$N32*(1+$P32))</f>
        <v/>
      </c>
      <c r="S32" s="153">
        <f>IF($N32="","",$N32)</f>
        <v/>
      </c>
      <c r="T32" s="153">
        <f>IF($N32="","",$N32*(1+$Q32))</f>
        <v/>
      </c>
      <c r="U32" s="150">
        <f>IF($D32="","",IFERROR(INDEX(WBS_CBS!$M$5:$M$16,MATCH($D32,WBS_CBS!$A$5:$A$16,0)),"Yes"))</f>
        <v/>
      </c>
      <c r="V32" s="150">
        <f>IF($D32="","",IFERROR(INDEX(WBS_CBS!$N$5:$N$16,MATCH($D32,WBS_CBS!$A$5:$A$16,0)),"Yes"))</f>
        <v/>
      </c>
      <c r="W32" s="150">
        <f>IF($D32="","",IFERROR(INDEX(WBS_CBS!$K$5:$K$16,MATCH($D32,WBS_CBS!$A$5:$A$16,0)),""))</f>
        <v/>
      </c>
      <c r="X32" s="150">
        <f>IF($D32="","",IFERROR(INDEX(WBS_CBS!$F$5:$F$16,MATCH($D32,WBS_CBS!$A$5:$A$16,0)),""))</f>
        <v/>
      </c>
      <c r="Y32" s="149" t="n"/>
      <c r="Z32" s="149" t="n"/>
      <c r="AA32" s="150">
        <f>IF($D32="","",IFERROR(INDEX(WBS_CBS!$L$5:$L$16,MATCH($D32,WBS_CBS!$A$5:$A$16,0)),""))</f>
        <v/>
      </c>
      <c r="AB32" s="149" t="n"/>
    </row>
    <row r="33">
      <c r="A33" s="149" t="n"/>
      <c r="B33" s="149" t="n"/>
      <c r="C33" s="150">
        <f>IF($D33="","",IFERROR(INDEX(WBS_CBS!$E$5:$E$16,MATCH($D33,WBS_CBS!$A$5:$A$16,0)),""))</f>
        <v/>
      </c>
      <c r="D33" s="149" t="n"/>
      <c r="E33" s="150">
        <f>IF($D33="","",IFERROR(INDEX(WBS_CBS!$C$5:$C$16,MATCH($D33,WBS_CBS!$A$5:$A$16,0)),""))</f>
        <v/>
      </c>
      <c r="F33" s="150">
        <f>IF($D33="","",IFERROR(INDEX(WBS_CBS!$J$5:$J$16,MATCH($D33,WBS_CBS!$A$5:$A$16,0)),""))</f>
        <v/>
      </c>
      <c r="G33" s="149" t="n"/>
      <c r="H33" s="151" t="n"/>
      <c r="I33" s="149" t="n"/>
      <c r="J33" s="152" t="n"/>
      <c r="K33" s="149" t="n"/>
      <c r="L33" s="153">
        <f>IF($K33="","",IFERROR(INDEX(FX_Rates!$B$5:$B$14,MATCH($K33,FX_Rates!$A$5:$A$14,0)),""))</f>
        <v/>
      </c>
      <c r="M33" s="153">
        <f>IF(OR($H33="",$J33=""),"",$H33*$J33)</f>
        <v/>
      </c>
      <c r="N33" s="153">
        <f>IF(OR($M33="",$L33=""),"",$M33*$L33)</f>
        <v/>
      </c>
      <c r="O33" s="149" t="n"/>
      <c r="P33" s="154">
        <f>IF($O33="","",IFERROR(INDEX(Basis_of_Estimate!$C$5:$C$9,MATCH($O33,Basis_of_Estimate!$A$5:$A$9,0)),""))</f>
        <v/>
      </c>
      <c r="Q33" s="154">
        <f>IF($O33="","",IFERROR(INDEX(Basis_of_Estimate!$D$5:$D$9,MATCH($O33,Basis_of_Estimate!$A$5:$A$9,0)),""))</f>
        <v/>
      </c>
      <c r="R33" s="153">
        <f>IF($N33="","",$N33*(1+$P33))</f>
        <v/>
      </c>
      <c r="S33" s="153">
        <f>IF($N33="","",$N33)</f>
        <v/>
      </c>
      <c r="T33" s="153">
        <f>IF($N33="","",$N33*(1+$Q33))</f>
        <v/>
      </c>
      <c r="U33" s="150">
        <f>IF($D33="","",IFERROR(INDEX(WBS_CBS!$M$5:$M$16,MATCH($D33,WBS_CBS!$A$5:$A$16,0)),"Yes"))</f>
        <v/>
      </c>
      <c r="V33" s="150">
        <f>IF($D33="","",IFERROR(INDEX(WBS_CBS!$N$5:$N$16,MATCH($D33,WBS_CBS!$A$5:$A$16,0)),"Yes"))</f>
        <v/>
      </c>
      <c r="W33" s="150">
        <f>IF($D33="","",IFERROR(INDEX(WBS_CBS!$K$5:$K$16,MATCH($D33,WBS_CBS!$A$5:$A$16,0)),""))</f>
        <v/>
      </c>
      <c r="X33" s="150">
        <f>IF($D33="","",IFERROR(INDEX(WBS_CBS!$F$5:$F$16,MATCH($D33,WBS_CBS!$A$5:$A$16,0)),""))</f>
        <v/>
      </c>
      <c r="Y33" s="149" t="n"/>
      <c r="Z33" s="149" t="n"/>
      <c r="AA33" s="150">
        <f>IF($D33="","",IFERROR(INDEX(WBS_CBS!$L$5:$L$16,MATCH($D33,WBS_CBS!$A$5:$A$16,0)),""))</f>
        <v/>
      </c>
      <c r="AB33" s="149" t="n"/>
    </row>
    <row r="34">
      <c r="A34" s="149" t="n"/>
      <c r="B34" s="149" t="n"/>
      <c r="C34" s="150">
        <f>IF($D34="","",IFERROR(INDEX(WBS_CBS!$E$5:$E$16,MATCH($D34,WBS_CBS!$A$5:$A$16,0)),""))</f>
        <v/>
      </c>
      <c r="D34" s="149" t="n"/>
      <c r="E34" s="150">
        <f>IF($D34="","",IFERROR(INDEX(WBS_CBS!$C$5:$C$16,MATCH($D34,WBS_CBS!$A$5:$A$16,0)),""))</f>
        <v/>
      </c>
      <c r="F34" s="150">
        <f>IF($D34="","",IFERROR(INDEX(WBS_CBS!$J$5:$J$16,MATCH($D34,WBS_CBS!$A$5:$A$16,0)),""))</f>
        <v/>
      </c>
      <c r="G34" s="149" t="n"/>
      <c r="H34" s="151" t="n"/>
      <c r="I34" s="149" t="n"/>
      <c r="J34" s="152" t="n"/>
      <c r="K34" s="149" t="n"/>
      <c r="L34" s="153">
        <f>IF($K34="","",IFERROR(INDEX(FX_Rates!$B$5:$B$14,MATCH($K34,FX_Rates!$A$5:$A$14,0)),""))</f>
        <v/>
      </c>
      <c r="M34" s="153">
        <f>IF(OR($H34="",$J34=""),"",$H34*$J34)</f>
        <v/>
      </c>
      <c r="N34" s="153">
        <f>IF(OR($M34="",$L34=""),"",$M34*$L34)</f>
        <v/>
      </c>
      <c r="O34" s="149" t="n"/>
      <c r="P34" s="154">
        <f>IF($O34="","",IFERROR(INDEX(Basis_of_Estimate!$C$5:$C$9,MATCH($O34,Basis_of_Estimate!$A$5:$A$9,0)),""))</f>
        <v/>
      </c>
      <c r="Q34" s="154">
        <f>IF($O34="","",IFERROR(INDEX(Basis_of_Estimate!$D$5:$D$9,MATCH($O34,Basis_of_Estimate!$A$5:$A$9,0)),""))</f>
        <v/>
      </c>
      <c r="R34" s="153">
        <f>IF($N34="","",$N34*(1+$P34))</f>
        <v/>
      </c>
      <c r="S34" s="153">
        <f>IF($N34="","",$N34)</f>
        <v/>
      </c>
      <c r="T34" s="153">
        <f>IF($N34="","",$N34*(1+$Q34))</f>
        <v/>
      </c>
      <c r="U34" s="150">
        <f>IF($D34="","",IFERROR(INDEX(WBS_CBS!$M$5:$M$16,MATCH($D34,WBS_CBS!$A$5:$A$16,0)),"Yes"))</f>
        <v/>
      </c>
      <c r="V34" s="150">
        <f>IF($D34="","",IFERROR(INDEX(WBS_CBS!$N$5:$N$16,MATCH($D34,WBS_CBS!$A$5:$A$16,0)),"Yes"))</f>
        <v/>
      </c>
      <c r="W34" s="150">
        <f>IF($D34="","",IFERROR(INDEX(WBS_CBS!$K$5:$K$16,MATCH($D34,WBS_CBS!$A$5:$A$16,0)),""))</f>
        <v/>
      </c>
      <c r="X34" s="150">
        <f>IF($D34="","",IFERROR(INDEX(WBS_CBS!$F$5:$F$16,MATCH($D34,WBS_CBS!$A$5:$A$16,0)),""))</f>
        <v/>
      </c>
      <c r="Y34" s="149" t="n"/>
      <c r="Z34" s="149" t="n"/>
      <c r="AA34" s="150">
        <f>IF($D34="","",IFERROR(INDEX(WBS_CBS!$L$5:$L$16,MATCH($D34,WBS_CBS!$A$5:$A$16,0)),""))</f>
        <v/>
      </c>
      <c r="AB34" s="149" t="n"/>
    </row>
    <row r="35">
      <c r="A35" s="149" t="n"/>
      <c r="B35" s="149" t="n"/>
      <c r="C35" s="150">
        <f>IF($D35="","",IFERROR(INDEX(WBS_CBS!$E$5:$E$16,MATCH($D35,WBS_CBS!$A$5:$A$16,0)),""))</f>
        <v/>
      </c>
      <c r="D35" s="149" t="n"/>
      <c r="E35" s="150">
        <f>IF($D35="","",IFERROR(INDEX(WBS_CBS!$C$5:$C$16,MATCH($D35,WBS_CBS!$A$5:$A$16,0)),""))</f>
        <v/>
      </c>
      <c r="F35" s="150">
        <f>IF($D35="","",IFERROR(INDEX(WBS_CBS!$J$5:$J$16,MATCH($D35,WBS_CBS!$A$5:$A$16,0)),""))</f>
        <v/>
      </c>
      <c r="G35" s="149" t="n"/>
      <c r="H35" s="151" t="n"/>
      <c r="I35" s="149" t="n"/>
      <c r="J35" s="152" t="n"/>
      <c r="K35" s="149" t="n"/>
      <c r="L35" s="153">
        <f>IF($K35="","",IFERROR(INDEX(FX_Rates!$B$5:$B$14,MATCH($K35,FX_Rates!$A$5:$A$14,0)),""))</f>
        <v/>
      </c>
      <c r="M35" s="153">
        <f>IF(OR($H35="",$J35=""),"",$H35*$J35)</f>
        <v/>
      </c>
      <c r="N35" s="153">
        <f>IF(OR($M35="",$L35=""),"",$M35*$L35)</f>
        <v/>
      </c>
      <c r="O35" s="149" t="n"/>
      <c r="P35" s="154">
        <f>IF($O35="","",IFERROR(INDEX(Basis_of_Estimate!$C$5:$C$9,MATCH($O35,Basis_of_Estimate!$A$5:$A$9,0)),""))</f>
        <v/>
      </c>
      <c r="Q35" s="154">
        <f>IF($O35="","",IFERROR(INDEX(Basis_of_Estimate!$D$5:$D$9,MATCH($O35,Basis_of_Estimate!$A$5:$A$9,0)),""))</f>
        <v/>
      </c>
      <c r="R35" s="153">
        <f>IF($N35="","",$N35*(1+$P35))</f>
        <v/>
      </c>
      <c r="S35" s="153">
        <f>IF($N35="","",$N35)</f>
        <v/>
      </c>
      <c r="T35" s="153">
        <f>IF($N35="","",$N35*(1+$Q35))</f>
        <v/>
      </c>
      <c r="U35" s="150">
        <f>IF($D35="","",IFERROR(INDEX(WBS_CBS!$M$5:$M$16,MATCH($D35,WBS_CBS!$A$5:$A$16,0)),"Yes"))</f>
        <v/>
      </c>
      <c r="V35" s="150">
        <f>IF($D35="","",IFERROR(INDEX(WBS_CBS!$N$5:$N$16,MATCH($D35,WBS_CBS!$A$5:$A$16,0)),"Yes"))</f>
        <v/>
      </c>
      <c r="W35" s="150">
        <f>IF($D35="","",IFERROR(INDEX(WBS_CBS!$K$5:$K$16,MATCH($D35,WBS_CBS!$A$5:$A$16,0)),""))</f>
        <v/>
      </c>
      <c r="X35" s="150">
        <f>IF($D35="","",IFERROR(INDEX(WBS_CBS!$F$5:$F$16,MATCH($D35,WBS_CBS!$A$5:$A$16,0)),""))</f>
        <v/>
      </c>
      <c r="Y35" s="149" t="n"/>
      <c r="Z35" s="149" t="n"/>
      <c r="AA35" s="150">
        <f>IF($D35="","",IFERROR(INDEX(WBS_CBS!$L$5:$L$16,MATCH($D35,WBS_CBS!$A$5:$A$16,0)),""))</f>
        <v/>
      </c>
      <c r="AB35" s="149" t="n"/>
    </row>
    <row r="36">
      <c r="A36" s="149" t="n"/>
      <c r="B36" s="149" t="n"/>
      <c r="C36" s="150">
        <f>IF($D36="","",IFERROR(INDEX(WBS_CBS!$E$5:$E$16,MATCH($D36,WBS_CBS!$A$5:$A$16,0)),""))</f>
        <v/>
      </c>
      <c r="D36" s="149" t="n"/>
      <c r="E36" s="150">
        <f>IF($D36="","",IFERROR(INDEX(WBS_CBS!$C$5:$C$16,MATCH($D36,WBS_CBS!$A$5:$A$16,0)),""))</f>
        <v/>
      </c>
      <c r="F36" s="150">
        <f>IF($D36="","",IFERROR(INDEX(WBS_CBS!$J$5:$J$16,MATCH($D36,WBS_CBS!$A$5:$A$16,0)),""))</f>
        <v/>
      </c>
      <c r="G36" s="149" t="n"/>
      <c r="H36" s="151" t="n"/>
      <c r="I36" s="149" t="n"/>
      <c r="J36" s="152" t="n"/>
      <c r="K36" s="149" t="n"/>
      <c r="L36" s="153">
        <f>IF($K36="","",IFERROR(INDEX(FX_Rates!$B$5:$B$14,MATCH($K36,FX_Rates!$A$5:$A$14,0)),""))</f>
        <v/>
      </c>
      <c r="M36" s="153">
        <f>IF(OR($H36="",$J36=""),"",$H36*$J36)</f>
        <v/>
      </c>
      <c r="N36" s="153">
        <f>IF(OR($M36="",$L36=""),"",$M36*$L36)</f>
        <v/>
      </c>
      <c r="O36" s="149" t="n"/>
      <c r="P36" s="154">
        <f>IF($O36="","",IFERROR(INDEX(Basis_of_Estimate!$C$5:$C$9,MATCH($O36,Basis_of_Estimate!$A$5:$A$9,0)),""))</f>
        <v/>
      </c>
      <c r="Q36" s="154">
        <f>IF($O36="","",IFERROR(INDEX(Basis_of_Estimate!$D$5:$D$9,MATCH($O36,Basis_of_Estimate!$A$5:$A$9,0)),""))</f>
        <v/>
      </c>
      <c r="R36" s="153">
        <f>IF($N36="","",$N36*(1+$P36))</f>
        <v/>
      </c>
      <c r="S36" s="153">
        <f>IF($N36="","",$N36)</f>
        <v/>
      </c>
      <c r="T36" s="153">
        <f>IF($N36="","",$N36*(1+$Q36))</f>
        <v/>
      </c>
      <c r="U36" s="150">
        <f>IF($D36="","",IFERROR(INDEX(WBS_CBS!$M$5:$M$16,MATCH($D36,WBS_CBS!$A$5:$A$16,0)),"Yes"))</f>
        <v/>
      </c>
      <c r="V36" s="150">
        <f>IF($D36="","",IFERROR(INDEX(WBS_CBS!$N$5:$N$16,MATCH($D36,WBS_CBS!$A$5:$A$16,0)),"Yes"))</f>
        <v/>
      </c>
      <c r="W36" s="150">
        <f>IF($D36="","",IFERROR(INDEX(WBS_CBS!$K$5:$K$16,MATCH($D36,WBS_CBS!$A$5:$A$16,0)),""))</f>
        <v/>
      </c>
      <c r="X36" s="150">
        <f>IF($D36="","",IFERROR(INDEX(WBS_CBS!$F$5:$F$16,MATCH($D36,WBS_CBS!$A$5:$A$16,0)),""))</f>
        <v/>
      </c>
      <c r="Y36" s="149" t="n"/>
      <c r="Z36" s="149" t="n"/>
      <c r="AA36" s="150">
        <f>IF($D36="","",IFERROR(INDEX(WBS_CBS!$L$5:$L$16,MATCH($D36,WBS_CBS!$A$5:$A$16,0)),""))</f>
        <v/>
      </c>
      <c r="AB36" s="149" t="n"/>
    </row>
    <row r="37">
      <c r="A37" s="149" t="n"/>
      <c r="B37" s="149" t="n"/>
      <c r="C37" s="150">
        <f>IF($D37="","",IFERROR(INDEX(WBS_CBS!$E$5:$E$16,MATCH($D37,WBS_CBS!$A$5:$A$16,0)),""))</f>
        <v/>
      </c>
      <c r="D37" s="149" t="n"/>
      <c r="E37" s="150">
        <f>IF($D37="","",IFERROR(INDEX(WBS_CBS!$C$5:$C$16,MATCH($D37,WBS_CBS!$A$5:$A$16,0)),""))</f>
        <v/>
      </c>
      <c r="F37" s="150">
        <f>IF($D37="","",IFERROR(INDEX(WBS_CBS!$J$5:$J$16,MATCH($D37,WBS_CBS!$A$5:$A$16,0)),""))</f>
        <v/>
      </c>
      <c r="G37" s="149" t="n"/>
      <c r="H37" s="151" t="n"/>
      <c r="I37" s="149" t="n"/>
      <c r="J37" s="152" t="n"/>
      <c r="K37" s="149" t="n"/>
      <c r="L37" s="153">
        <f>IF($K37="","",IFERROR(INDEX(FX_Rates!$B$5:$B$14,MATCH($K37,FX_Rates!$A$5:$A$14,0)),""))</f>
        <v/>
      </c>
      <c r="M37" s="153">
        <f>IF(OR($H37="",$J37=""),"",$H37*$J37)</f>
        <v/>
      </c>
      <c r="N37" s="153">
        <f>IF(OR($M37="",$L37=""),"",$M37*$L37)</f>
        <v/>
      </c>
      <c r="O37" s="149" t="n"/>
      <c r="P37" s="154">
        <f>IF($O37="","",IFERROR(INDEX(Basis_of_Estimate!$C$5:$C$9,MATCH($O37,Basis_of_Estimate!$A$5:$A$9,0)),""))</f>
        <v/>
      </c>
      <c r="Q37" s="154">
        <f>IF($O37="","",IFERROR(INDEX(Basis_of_Estimate!$D$5:$D$9,MATCH($O37,Basis_of_Estimate!$A$5:$A$9,0)),""))</f>
        <v/>
      </c>
      <c r="R37" s="153">
        <f>IF($N37="","",$N37*(1+$P37))</f>
        <v/>
      </c>
      <c r="S37" s="153">
        <f>IF($N37="","",$N37)</f>
        <v/>
      </c>
      <c r="T37" s="153">
        <f>IF($N37="","",$N37*(1+$Q37))</f>
        <v/>
      </c>
      <c r="U37" s="150">
        <f>IF($D37="","",IFERROR(INDEX(WBS_CBS!$M$5:$M$16,MATCH($D37,WBS_CBS!$A$5:$A$16,0)),"Yes"))</f>
        <v/>
      </c>
      <c r="V37" s="150">
        <f>IF($D37="","",IFERROR(INDEX(WBS_CBS!$N$5:$N$16,MATCH($D37,WBS_CBS!$A$5:$A$16,0)),"Yes"))</f>
        <v/>
      </c>
      <c r="W37" s="150">
        <f>IF($D37="","",IFERROR(INDEX(WBS_CBS!$K$5:$K$16,MATCH($D37,WBS_CBS!$A$5:$A$16,0)),""))</f>
        <v/>
      </c>
      <c r="X37" s="150">
        <f>IF($D37="","",IFERROR(INDEX(WBS_CBS!$F$5:$F$16,MATCH($D37,WBS_CBS!$A$5:$A$16,0)),""))</f>
        <v/>
      </c>
      <c r="Y37" s="149" t="n"/>
      <c r="Z37" s="149" t="n"/>
      <c r="AA37" s="150">
        <f>IF($D37="","",IFERROR(INDEX(WBS_CBS!$L$5:$L$16,MATCH($D37,WBS_CBS!$A$5:$A$16,0)),""))</f>
        <v/>
      </c>
      <c r="AB37" s="149" t="n"/>
    </row>
    <row r="38">
      <c r="A38" s="149" t="n"/>
      <c r="B38" s="149" t="n"/>
      <c r="C38" s="150">
        <f>IF($D38="","",IFERROR(INDEX(WBS_CBS!$E$5:$E$16,MATCH($D38,WBS_CBS!$A$5:$A$16,0)),""))</f>
        <v/>
      </c>
      <c r="D38" s="149" t="n"/>
      <c r="E38" s="150">
        <f>IF($D38="","",IFERROR(INDEX(WBS_CBS!$C$5:$C$16,MATCH($D38,WBS_CBS!$A$5:$A$16,0)),""))</f>
        <v/>
      </c>
      <c r="F38" s="150">
        <f>IF($D38="","",IFERROR(INDEX(WBS_CBS!$J$5:$J$16,MATCH($D38,WBS_CBS!$A$5:$A$16,0)),""))</f>
        <v/>
      </c>
      <c r="G38" s="149" t="n"/>
      <c r="H38" s="151" t="n"/>
      <c r="I38" s="149" t="n"/>
      <c r="J38" s="152" t="n"/>
      <c r="K38" s="149" t="n"/>
      <c r="L38" s="153">
        <f>IF($K38="","",IFERROR(INDEX(FX_Rates!$B$5:$B$14,MATCH($K38,FX_Rates!$A$5:$A$14,0)),""))</f>
        <v/>
      </c>
      <c r="M38" s="153">
        <f>IF(OR($H38="",$J38=""),"",$H38*$J38)</f>
        <v/>
      </c>
      <c r="N38" s="153">
        <f>IF(OR($M38="",$L38=""),"",$M38*$L38)</f>
        <v/>
      </c>
      <c r="O38" s="149" t="n"/>
      <c r="P38" s="154">
        <f>IF($O38="","",IFERROR(INDEX(Basis_of_Estimate!$C$5:$C$9,MATCH($O38,Basis_of_Estimate!$A$5:$A$9,0)),""))</f>
        <v/>
      </c>
      <c r="Q38" s="154">
        <f>IF($O38="","",IFERROR(INDEX(Basis_of_Estimate!$D$5:$D$9,MATCH($O38,Basis_of_Estimate!$A$5:$A$9,0)),""))</f>
        <v/>
      </c>
      <c r="R38" s="153">
        <f>IF($N38="","",$N38*(1+$P38))</f>
        <v/>
      </c>
      <c r="S38" s="153">
        <f>IF($N38="","",$N38)</f>
        <v/>
      </c>
      <c r="T38" s="153">
        <f>IF($N38="","",$N38*(1+$Q38))</f>
        <v/>
      </c>
      <c r="U38" s="150">
        <f>IF($D38="","",IFERROR(INDEX(WBS_CBS!$M$5:$M$16,MATCH($D38,WBS_CBS!$A$5:$A$16,0)),"Yes"))</f>
        <v/>
      </c>
      <c r="V38" s="150">
        <f>IF($D38="","",IFERROR(INDEX(WBS_CBS!$N$5:$N$16,MATCH($D38,WBS_CBS!$A$5:$A$16,0)),"Yes"))</f>
        <v/>
      </c>
      <c r="W38" s="150">
        <f>IF($D38="","",IFERROR(INDEX(WBS_CBS!$K$5:$K$16,MATCH($D38,WBS_CBS!$A$5:$A$16,0)),""))</f>
        <v/>
      </c>
      <c r="X38" s="150">
        <f>IF($D38="","",IFERROR(INDEX(WBS_CBS!$F$5:$F$16,MATCH($D38,WBS_CBS!$A$5:$A$16,0)),""))</f>
        <v/>
      </c>
      <c r="Y38" s="149" t="n"/>
      <c r="Z38" s="149" t="n"/>
      <c r="AA38" s="150">
        <f>IF($D38="","",IFERROR(INDEX(WBS_CBS!$L$5:$L$16,MATCH($D38,WBS_CBS!$A$5:$A$16,0)),""))</f>
        <v/>
      </c>
      <c r="AB38" s="149" t="n"/>
    </row>
    <row r="39">
      <c r="A39" s="149" t="n"/>
      <c r="B39" s="149" t="n"/>
      <c r="C39" s="150">
        <f>IF($D39="","",IFERROR(INDEX(WBS_CBS!$E$5:$E$16,MATCH($D39,WBS_CBS!$A$5:$A$16,0)),""))</f>
        <v/>
      </c>
      <c r="D39" s="149" t="n"/>
      <c r="E39" s="150">
        <f>IF($D39="","",IFERROR(INDEX(WBS_CBS!$C$5:$C$16,MATCH($D39,WBS_CBS!$A$5:$A$16,0)),""))</f>
        <v/>
      </c>
      <c r="F39" s="150">
        <f>IF($D39="","",IFERROR(INDEX(WBS_CBS!$J$5:$J$16,MATCH($D39,WBS_CBS!$A$5:$A$16,0)),""))</f>
        <v/>
      </c>
      <c r="G39" s="149" t="n"/>
      <c r="H39" s="151" t="n"/>
      <c r="I39" s="149" t="n"/>
      <c r="J39" s="152" t="n"/>
      <c r="K39" s="149" t="n"/>
      <c r="L39" s="153">
        <f>IF($K39="","",IFERROR(INDEX(FX_Rates!$B$5:$B$14,MATCH($K39,FX_Rates!$A$5:$A$14,0)),""))</f>
        <v/>
      </c>
      <c r="M39" s="153">
        <f>IF(OR($H39="",$J39=""),"",$H39*$J39)</f>
        <v/>
      </c>
      <c r="N39" s="153">
        <f>IF(OR($M39="",$L39=""),"",$M39*$L39)</f>
        <v/>
      </c>
      <c r="O39" s="149" t="n"/>
      <c r="P39" s="154">
        <f>IF($O39="","",IFERROR(INDEX(Basis_of_Estimate!$C$5:$C$9,MATCH($O39,Basis_of_Estimate!$A$5:$A$9,0)),""))</f>
        <v/>
      </c>
      <c r="Q39" s="154">
        <f>IF($O39="","",IFERROR(INDEX(Basis_of_Estimate!$D$5:$D$9,MATCH($O39,Basis_of_Estimate!$A$5:$A$9,0)),""))</f>
        <v/>
      </c>
      <c r="R39" s="153">
        <f>IF($N39="","",$N39*(1+$P39))</f>
        <v/>
      </c>
      <c r="S39" s="153">
        <f>IF($N39="","",$N39)</f>
        <v/>
      </c>
      <c r="T39" s="153">
        <f>IF($N39="","",$N39*(1+$Q39))</f>
        <v/>
      </c>
      <c r="U39" s="150">
        <f>IF($D39="","",IFERROR(INDEX(WBS_CBS!$M$5:$M$16,MATCH($D39,WBS_CBS!$A$5:$A$16,0)),"Yes"))</f>
        <v/>
      </c>
      <c r="V39" s="150">
        <f>IF($D39="","",IFERROR(INDEX(WBS_CBS!$N$5:$N$16,MATCH($D39,WBS_CBS!$A$5:$A$16,0)),"Yes"))</f>
        <v/>
      </c>
      <c r="W39" s="150">
        <f>IF($D39="","",IFERROR(INDEX(WBS_CBS!$K$5:$K$16,MATCH($D39,WBS_CBS!$A$5:$A$16,0)),""))</f>
        <v/>
      </c>
      <c r="X39" s="150">
        <f>IF($D39="","",IFERROR(INDEX(WBS_CBS!$F$5:$F$16,MATCH($D39,WBS_CBS!$A$5:$A$16,0)),""))</f>
        <v/>
      </c>
      <c r="Y39" s="149" t="n"/>
      <c r="Z39" s="149" t="n"/>
      <c r="AA39" s="150">
        <f>IF($D39="","",IFERROR(INDEX(WBS_CBS!$L$5:$L$16,MATCH($D39,WBS_CBS!$A$5:$A$16,0)),""))</f>
        <v/>
      </c>
      <c r="AB39" s="149" t="n"/>
    </row>
    <row r="40">
      <c r="A40" s="149" t="n"/>
      <c r="B40" s="149" t="n"/>
      <c r="C40" s="150">
        <f>IF($D40="","",IFERROR(INDEX(WBS_CBS!$E$5:$E$16,MATCH($D40,WBS_CBS!$A$5:$A$16,0)),""))</f>
        <v/>
      </c>
      <c r="D40" s="149" t="n"/>
      <c r="E40" s="150">
        <f>IF($D40="","",IFERROR(INDEX(WBS_CBS!$C$5:$C$16,MATCH($D40,WBS_CBS!$A$5:$A$16,0)),""))</f>
        <v/>
      </c>
      <c r="F40" s="150">
        <f>IF($D40="","",IFERROR(INDEX(WBS_CBS!$J$5:$J$16,MATCH($D40,WBS_CBS!$A$5:$A$16,0)),""))</f>
        <v/>
      </c>
      <c r="G40" s="149" t="n"/>
      <c r="H40" s="151" t="n"/>
      <c r="I40" s="149" t="n"/>
      <c r="J40" s="152" t="n"/>
      <c r="K40" s="149" t="n"/>
      <c r="L40" s="153">
        <f>IF($K40="","",IFERROR(INDEX(FX_Rates!$B$5:$B$14,MATCH($K40,FX_Rates!$A$5:$A$14,0)),""))</f>
        <v/>
      </c>
      <c r="M40" s="153">
        <f>IF(OR($H40="",$J40=""),"",$H40*$J40)</f>
        <v/>
      </c>
      <c r="N40" s="153">
        <f>IF(OR($M40="",$L40=""),"",$M40*$L40)</f>
        <v/>
      </c>
      <c r="O40" s="149" t="n"/>
      <c r="P40" s="154">
        <f>IF($O40="","",IFERROR(INDEX(Basis_of_Estimate!$C$5:$C$9,MATCH($O40,Basis_of_Estimate!$A$5:$A$9,0)),""))</f>
        <v/>
      </c>
      <c r="Q40" s="154">
        <f>IF($O40="","",IFERROR(INDEX(Basis_of_Estimate!$D$5:$D$9,MATCH($O40,Basis_of_Estimate!$A$5:$A$9,0)),""))</f>
        <v/>
      </c>
      <c r="R40" s="153">
        <f>IF($N40="","",$N40*(1+$P40))</f>
        <v/>
      </c>
      <c r="S40" s="153">
        <f>IF($N40="","",$N40)</f>
        <v/>
      </c>
      <c r="T40" s="153">
        <f>IF($N40="","",$N40*(1+$Q40))</f>
        <v/>
      </c>
      <c r="U40" s="150">
        <f>IF($D40="","",IFERROR(INDEX(WBS_CBS!$M$5:$M$16,MATCH($D40,WBS_CBS!$A$5:$A$16,0)),"Yes"))</f>
        <v/>
      </c>
      <c r="V40" s="150">
        <f>IF($D40="","",IFERROR(INDEX(WBS_CBS!$N$5:$N$16,MATCH($D40,WBS_CBS!$A$5:$A$16,0)),"Yes"))</f>
        <v/>
      </c>
      <c r="W40" s="150">
        <f>IF($D40="","",IFERROR(INDEX(WBS_CBS!$K$5:$K$16,MATCH($D40,WBS_CBS!$A$5:$A$16,0)),""))</f>
        <v/>
      </c>
      <c r="X40" s="150">
        <f>IF($D40="","",IFERROR(INDEX(WBS_CBS!$F$5:$F$16,MATCH($D40,WBS_CBS!$A$5:$A$16,0)),""))</f>
        <v/>
      </c>
      <c r="Y40" s="149" t="n"/>
      <c r="Z40" s="149" t="n"/>
      <c r="AA40" s="150">
        <f>IF($D40="","",IFERROR(INDEX(WBS_CBS!$L$5:$L$16,MATCH($D40,WBS_CBS!$A$5:$A$16,0)),""))</f>
        <v/>
      </c>
      <c r="AB40" s="149" t="n"/>
    </row>
    <row r="41">
      <c r="A41" s="149" t="n"/>
      <c r="B41" s="149" t="n"/>
      <c r="C41" s="150">
        <f>IF($D41="","",IFERROR(INDEX(WBS_CBS!$E$5:$E$16,MATCH($D41,WBS_CBS!$A$5:$A$16,0)),""))</f>
        <v/>
      </c>
      <c r="D41" s="149" t="n"/>
      <c r="E41" s="150">
        <f>IF($D41="","",IFERROR(INDEX(WBS_CBS!$C$5:$C$16,MATCH($D41,WBS_CBS!$A$5:$A$16,0)),""))</f>
        <v/>
      </c>
      <c r="F41" s="150">
        <f>IF($D41="","",IFERROR(INDEX(WBS_CBS!$J$5:$J$16,MATCH($D41,WBS_CBS!$A$5:$A$16,0)),""))</f>
        <v/>
      </c>
      <c r="G41" s="149" t="n"/>
      <c r="H41" s="151" t="n"/>
      <c r="I41" s="149" t="n"/>
      <c r="J41" s="152" t="n"/>
      <c r="K41" s="149" t="n"/>
      <c r="L41" s="153">
        <f>IF($K41="","",IFERROR(INDEX(FX_Rates!$B$5:$B$14,MATCH($K41,FX_Rates!$A$5:$A$14,0)),""))</f>
        <v/>
      </c>
      <c r="M41" s="153">
        <f>IF(OR($H41="",$J41=""),"",$H41*$J41)</f>
        <v/>
      </c>
      <c r="N41" s="153">
        <f>IF(OR($M41="",$L41=""),"",$M41*$L41)</f>
        <v/>
      </c>
      <c r="O41" s="149" t="n"/>
      <c r="P41" s="154">
        <f>IF($O41="","",IFERROR(INDEX(Basis_of_Estimate!$C$5:$C$9,MATCH($O41,Basis_of_Estimate!$A$5:$A$9,0)),""))</f>
        <v/>
      </c>
      <c r="Q41" s="154">
        <f>IF($O41="","",IFERROR(INDEX(Basis_of_Estimate!$D$5:$D$9,MATCH($O41,Basis_of_Estimate!$A$5:$A$9,0)),""))</f>
        <v/>
      </c>
      <c r="R41" s="153">
        <f>IF($N41="","",$N41*(1+$P41))</f>
        <v/>
      </c>
      <c r="S41" s="153">
        <f>IF($N41="","",$N41)</f>
        <v/>
      </c>
      <c r="T41" s="153">
        <f>IF($N41="","",$N41*(1+$Q41))</f>
        <v/>
      </c>
      <c r="U41" s="150">
        <f>IF($D41="","",IFERROR(INDEX(WBS_CBS!$M$5:$M$16,MATCH($D41,WBS_CBS!$A$5:$A$16,0)),"Yes"))</f>
        <v/>
      </c>
      <c r="V41" s="150">
        <f>IF($D41="","",IFERROR(INDEX(WBS_CBS!$N$5:$N$16,MATCH($D41,WBS_CBS!$A$5:$A$16,0)),"Yes"))</f>
        <v/>
      </c>
      <c r="W41" s="150">
        <f>IF($D41="","",IFERROR(INDEX(WBS_CBS!$K$5:$K$16,MATCH($D41,WBS_CBS!$A$5:$A$16,0)),""))</f>
        <v/>
      </c>
      <c r="X41" s="150">
        <f>IF($D41="","",IFERROR(INDEX(WBS_CBS!$F$5:$F$16,MATCH($D41,WBS_CBS!$A$5:$A$16,0)),""))</f>
        <v/>
      </c>
      <c r="Y41" s="149" t="n"/>
      <c r="Z41" s="149" t="n"/>
      <c r="AA41" s="150">
        <f>IF($D41="","",IFERROR(INDEX(WBS_CBS!$L$5:$L$16,MATCH($D41,WBS_CBS!$A$5:$A$16,0)),""))</f>
        <v/>
      </c>
      <c r="AB41" s="149" t="n"/>
    </row>
    <row r="42">
      <c r="A42" s="149" t="n"/>
      <c r="B42" s="149" t="n"/>
      <c r="C42" s="150">
        <f>IF($D42="","",IFERROR(INDEX(WBS_CBS!$E$5:$E$16,MATCH($D42,WBS_CBS!$A$5:$A$16,0)),""))</f>
        <v/>
      </c>
      <c r="D42" s="149" t="n"/>
      <c r="E42" s="150">
        <f>IF($D42="","",IFERROR(INDEX(WBS_CBS!$C$5:$C$16,MATCH($D42,WBS_CBS!$A$5:$A$16,0)),""))</f>
        <v/>
      </c>
      <c r="F42" s="150">
        <f>IF($D42="","",IFERROR(INDEX(WBS_CBS!$J$5:$J$16,MATCH($D42,WBS_CBS!$A$5:$A$16,0)),""))</f>
        <v/>
      </c>
      <c r="G42" s="149" t="n"/>
      <c r="H42" s="151" t="n"/>
      <c r="I42" s="149" t="n"/>
      <c r="J42" s="152" t="n"/>
      <c r="K42" s="149" t="n"/>
      <c r="L42" s="153">
        <f>IF($K42="","",IFERROR(INDEX(FX_Rates!$B$5:$B$14,MATCH($K42,FX_Rates!$A$5:$A$14,0)),""))</f>
        <v/>
      </c>
      <c r="M42" s="153">
        <f>IF(OR($H42="",$J42=""),"",$H42*$J42)</f>
        <v/>
      </c>
      <c r="N42" s="153">
        <f>IF(OR($M42="",$L42=""),"",$M42*$L42)</f>
        <v/>
      </c>
      <c r="O42" s="149" t="n"/>
      <c r="P42" s="154">
        <f>IF($O42="","",IFERROR(INDEX(Basis_of_Estimate!$C$5:$C$9,MATCH($O42,Basis_of_Estimate!$A$5:$A$9,0)),""))</f>
        <v/>
      </c>
      <c r="Q42" s="154">
        <f>IF($O42="","",IFERROR(INDEX(Basis_of_Estimate!$D$5:$D$9,MATCH($O42,Basis_of_Estimate!$A$5:$A$9,0)),""))</f>
        <v/>
      </c>
      <c r="R42" s="153">
        <f>IF($N42="","",$N42*(1+$P42))</f>
        <v/>
      </c>
      <c r="S42" s="153">
        <f>IF($N42="","",$N42)</f>
        <v/>
      </c>
      <c r="T42" s="153">
        <f>IF($N42="","",$N42*(1+$Q42))</f>
        <v/>
      </c>
      <c r="U42" s="150">
        <f>IF($D42="","",IFERROR(INDEX(WBS_CBS!$M$5:$M$16,MATCH($D42,WBS_CBS!$A$5:$A$16,0)),"Yes"))</f>
        <v/>
      </c>
      <c r="V42" s="150">
        <f>IF($D42="","",IFERROR(INDEX(WBS_CBS!$N$5:$N$16,MATCH($D42,WBS_CBS!$A$5:$A$16,0)),"Yes"))</f>
        <v/>
      </c>
      <c r="W42" s="150">
        <f>IF($D42="","",IFERROR(INDEX(WBS_CBS!$K$5:$K$16,MATCH($D42,WBS_CBS!$A$5:$A$16,0)),""))</f>
        <v/>
      </c>
      <c r="X42" s="150">
        <f>IF($D42="","",IFERROR(INDEX(WBS_CBS!$F$5:$F$16,MATCH($D42,WBS_CBS!$A$5:$A$16,0)),""))</f>
        <v/>
      </c>
      <c r="Y42" s="149" t="n"/>
      <c r="Z42" s="149" t="n"/>
      <c r="AA42" s="150">
        <f>IF($D42="","",IFERROR(INDEX(WBS_CBS!$L$5:$L$16,MATCH($D42,WBS_CBS!$A$5:$A$16,0)),""))</f>
        <v/>
      </c>
      <c r="AB42" s="149" t="n"/>
    </row>
    <row r="43">
      <c r="A43" s="149" t="n"/>
      <c r="B43" s="149" t="n"/>
      <c r="C43" s="150">
        <f>IF($D43="","",IFERROR(INDEX(WBS_CBS!$E$5:$E$16,MATCH($D43,WBS_CBS!$A$5:$A$16,0)),""))</f>
        <v/>
      </c>
      <c r="D43" s="149" t="n"/>
      <c r="E43" s="150">
        <f>IF($D43="","",IFERROR(INDEX(WBS_CBS!$C$5:$C$16,MATCH($D43,WBS_CBS!$A$5:$A$16,0)),""))</f>
        <v/>
      </c>
      <c r="F43" s="150">
        <f>IF($D43="","",IFERROR(INDEX(WBS_CBS!$J$5:$J$16,MATCH($D43,WBS_CBS!$A$5:$A$16,0)),""))</f>
        <v/>
      </c>
      <c r="G43" s="149" t="n"/>
      <c r="H43" s="151" t="n"/>
      <c r="I43" s="149" t="n"/>
      <c r="J43" s="152" t="n"/>
      <c r="K43" s="149" t="n"/>
      <c r="L43" s="153">
        <f>IF($K43="","",IFERROR(INDEX(FX_Rates!$B$5:$B$14,MATCH($K43,FX_Rates!$A$5:$A$14,0)),""))</f>
        <v/>
      </c>
      <c r="M43" s="153">
        <f>IF(OR($H43="",$J43=""),"",$H43*$J43)</f>
        <v/>
      </c>
      <c r="N43" s="153">
        <f>IF(OR($M43="",$L43=""),"",$M43*$L43)</f>
        <v/>
      </c>
      <c r="O43" s="149" t="n"/>
      <c r="P43" s="154">
        <f>IF($O43="","",IFERROR(INDEX(Basis_of_Estimate!$C$5:$C$9,MATCH($O43,Basis_of_Estimate!$A$5:$A$9,0)),""))</f>
        <v/>
      </c>
      <c r="Q43" s="154">
        <f>IF($O43="","",IFERROR(INDEX(Basis_of_Estimate!$D$5:$D$9,MATCH($O43,Basis_of_Estimate!$A$5:$A$9,0)),""))</f>
        <v/>
      </c>
      <c r="R43" s="153">
        <f>IF($N43="","",$N43*(1+$P43))</f>
        <v/>
      </c>
      <c r="S43" s="153">
        <f>IF($N43="","",$N43)</f>
        <v/>
      </c>
      <c r="T43" s="153">
        <f>IF($N43="","",$N43*(1+$Q43))</f>
        <v/>
      </c>
      <c r="U43" s="150">
        <f>IF($D43="","",IFERROR(INDEX(WBS_CBS!$M$5:$M$16,MATCH($D43,WBS_CBS!$A$5:$A$16,0)),"Yes"))</f>
        <v/>
      </c>
      <c r="V43" s="150">
        <f>IF($D43="","",IFERROR(INDEX(WBS_CBS!$N$5:$N$16,MATCH($D43,WBS_CBS!$A$5:$A$16,0)),"Yes"))</f>
        <v/>
      </c>
      <c r="W43" s="150">
        <f>IF($D43="","",IFERROR(INDEX(WBS_CBS!$K$5:$K$16,MATCH($D43,WBS_CBS!$A$5:$A$16,0)),""))</f>
        <v/>
      </c>
      <c r="X43" s="150">
        <f>IF($D43="","",IFERROR(INDEX(WBS_CBS!$F$5:$F$16,MATCH($D43,WBS_CBS!$A$5:$A$16,0)),""))</f>
        <v/>
      </c>
      <c r="Y43" s="149" t="n"/>
      <c r="Z43" s="149" t="n"/>
      <c r="AA43" s="150">
        <f>IF($D43="","",IFERROR(INDEX(WBS_CBS!$L$5:$L$16,MATCH($D43,WBS_CBS!$A$5:$A$16,0)),""))</f>
        <v/>
      </c>
      <c r="AB43" s="149" t="n"/>
    </row>
    <row r="44">
      <c r="A44" s="149" t="n"/>
      <c r="B44" s="149" t="n"/>
      <c r="C44" s="150">
        <f>IF($D44="","",IFERROR(INDEX(WBS_CBS!$E$5:$E$16,MATCH($D44,WBS_CBS!$A$5:$A$16,0)),""))</f>
        <v/>
      </c>
      <c r="D44" s="149" t="n"/>
      <c r="E44" s="150">
        <f>IF($D44="","",IFERROR(INDEX(WBS_CBS!$C$5:$C$16,MATCH($D44,WBS_CBS!$A$5:$A$16,0)),""))</f>
        <v/>
      </c>
      <c r="F44" s="150">
        <f>IF($D44="","",IFERROR(INDEX(WBS_CBS!$J$5:$J$16,MATCH($D44,WBS_CBS!$A$5:$A$16,0)),""))</f>
        <v/>
      </c>
      <c r="G44" s="149" t="n"/>
      <c r="H44" s="151" t="n"/>
      <c r="I44" s="149" t="n"/>
      <c r="J44" s="152" t="n"/>
      <c r="K44" s="149" t="n"/>
      <c r="L44" s="153">
        <f>IF($K44="","",IFERROR(INDEX(FX_Rates!$B$5:$B$14,MATCH($K44,FX_Rates!$A$5:$A$14,0)),""))</f>
        <v/>
      </c>
      <c r="M44" s="153">
        <f>IF(OR($H44="",$J44=""),"",$H44*$J44)</f>
        <v/>
      </c>
      <c r="N44" s="153">
        <f>IF(OR($M44="",$L44=""),"",$M44*$L44)</f>
        <v/>
      </c>
      <c r="O44" s="149" t="n"/>
      <c r="P44" s="154">
        <f>IF($O44="","",IFERROR(INDEX(Basis_of_Estimate!$C$5:$C$9,MATCH($O44,Basis_of_Estimate!$A$5:$A$9,0)),""))</f>
        <v/>
      </c>
      <c r="Q44" s="154">
        <f>IF($O44="","",IFERROR(INDEX(Basis_of_Estimate!$D$5:$D$9,MATCH($O44,Basis_of_Estimate!$A$5:$A$9,0)),""))</f>
        <v/>
      </c>
      <c r="R44" s="153">
        <f>IF($N44="","",$N44*(1+$P44))</f>
        <v/>
      </c>
      <c r="S44" s="153">
        <f>IF($N44="","",$N44)</f>
        <v/>
      </c>
      <c r="T44" s="153">
        <f>IF($N44="","",$N44*(1+$Q44))</f>
        <v/>
      </c>
      <c r="U44" s="150">
        <f>IF($D44="","",IFERROR(INDEX(WBS_CBS!$M$5:$M$16,MATCH($D44,WBS_CBS!$A$5:$A$16,0)),"Yes"))</f>
        <v/>
      </c>
      <c r="V44" s="150">
        <f>IF($D44="","",IFERROR(INDEX(WBS_CBS!$N$5:$N$16,MATCH($D44,WBS_CBS!$A$5:$A$16,0)),"Yes"))</f>
        <v/>
      </c>
      <c r="W44" s="150">
        <f>IF($D44="","",IFERROR(INDEX(WBS_CBS!$K$5:$K$16,MATCH($D44,WBS_CBS!$A$5:$A$16,0)),""))</f>
        <v/>
      </c>
      <c r="X44" s="150">
        <f>IF($D44="","",IFERROR(INDEX(WBS_CBS!$F$5:$F$16,MATCH($D44,WBS_CBS!$A$5:$A$16,0)),""))</f>
        <v/>
      </c>
      <c r="Y44" s="149" t="n"/>
      <c r="Z44" s="149" t="n"/>
      <c r="AA44" s="150">
        <f>IF($D44="","",IFERROR(INDEX(WBS_CBS!$L$5:$L$16,MATCH($D44,WBS_CBS!$A$5:$A$16,0)),""))</f>
        <v/>
      </c>
      <c r="AB44" s="149" t="n"/>
    </row>
    <row r="45">
      <c r="A45" s="149" t="n"/>
      <c r="B45" s="149" t="n"/>
      <c r="C45" s="150">
        <f>IF($D45="","",IFERROR(INDEX(WBS_CBS!$E$5:$E$16,MATCH($D45,WBS_CBS!$A$5:$A$16,0)),""))</f>
        <v/>
      </c>
      <c r="D45" s="149" t="n"/>
      <c r="E45" s="150">
        <f>IF($D45="","",IFERROR(INDEX(WBS_CBS!$C$5:$C$16,MATCH($D45,WBS_CBS!$A$5:$A$16,0)),""))</f>
        <v/>
      </c>
      <c r="F45" s="150">
        <f>IF($D45="","",IFERROR(INDEX(WBS_CBS!$J$5:$J$16,MATCH($D45,WBS_CBS!$A$5:$A$16,0)),""))</f>
        <v/>
      </c>
      <c r="G45" s="149" t="n"/>
      <c r="H45" s="151" t="n"/>
      <c r="I45" s="149" t="n"/>
      <c r="J45" s="152" t="n"/>
      <c r="K45" s="149" t="n"/>
      <c r="L45" s="153">
        <f>IF($K45="","",IFERROR(INDEX(FX_Rates!$B$5:$B$14,MATCH($K45,FX_Rates!$A$5:$A$14,0)),""))</f>
        <v/>
      </c>
      <c r="M45" s="153">
        <f>IF(OR($H45="",$J45=""),"",$H45*$J45)</f>
        <v/>
      </c>
      <c r="N45" s="153">
        <f>IF(OR($M45="",$L45=""),"",$M45*$L45)</f>
        <v/>
      </c>
      <c r="O45" s="149" t="n"/>
      <c r="P45" s="154">
        <f>IF($O45="","",IFERROR(INDEX(Basis_of_Estimate!$C$5:$C$9,MATCH($O45,Basis_of_Estimate!$A$5:$A$9,0)),""))</f>
        <v/>
      </c>
      <c r="Q45" s="154">
        <f>IF($O45="","",IFERROR(INDEX(Basis_of_Estimate!$D$5:$D$9,MATCH($O45,Basis_of_Estimate!$A$5:$A$9,0)),""))</f>
        <v/>
      </c>
      <c r="R45" s="153">
        <f>IF($N45="","",$N45*(1+$P45))</f>
        <v/>
      </c>
      <c r="S45" s="153">
        <f>IF($N45="","",$N45)</f>
        <v/>
      </c>
      <c r="T45" s="153">
        <f>IF($N45="","",$N45*(1+$Q45))</f>
        <v/>
      </c>
      <c r="U45" s="150">
        <f>IF($D45="","",IFERROR(INDEX(WBS_CBS!$M$5:$M$16,MATCH($D45,WBS_CBS!$A$5:$A$16,0)),"Yes"))</f>
        <v/>
      </c>
      <c r="V45" s="150">
        <f>IF($D45="","",IFERROR(INDEX(WBS_CBS!$N$5:$N$16,MATCH($D45,WBS_CBS!$A$5:$A$16,0)),"Yes"))</f>
        <v/>
      </c>
      <c r="W45" s="150">
        <f>IF($D45="","",IFERROR(INDEX(WBS_CBS!$K$5:$K$16,MATCH($D45,WBS_CBS!$A$5:$A$16,0)),""))</f>
        <v/>
      </c>
      <c r="X45" s="150">
        <f>IF($D45="","",IFERROR(INDEX(WBS_CBS!$F$5:$F$16,MATCH($D45,WBS_CBS!$A$5:$A$16,0)),""))</f>
        <v/>
      </c>
      <c r="Y45" s="149" t="n"/>
      <c r="Z45" s="149" t="n"/>
      <c r="AA45" s="150">
        <f>IF($D45="","",IFERROR(INDEX(WBS_CBS!$L$5:$L$16,MATCH($D45,WBS_CBS!$A$5:$A$16,0)),""))</f>
        <v/>
      </c>
      <c r="AB45" s="149" t="n"/>
    </row>
    <row r="46">
      <c r="A46" s="149" t="n"/>
      <c r="B46" s="149" t="n"/>
      <c r="C46" s="150">
        <f>IF($D46="","",IFERROR(INDEX(WBS_CBS!$E$5:$E$16,MATCH($D46,WBS_CBS!$A$5:$A$16,0)),""))</f>
        <v/>
      </c>
      <c r="D46" s="149" t="n"/>
      <c r="E46" s="150">
        <f>IF($D46="","",IFERROR(INDEX(WBS_CBS!$C$5:$C$16,MATCH($D46,WBS_CBS!$A$5:$A$16,0)),""))</f>
        <v/>
      </c>
      <c r="F46" s="150">
        <f>IF($D46="","",IFERROR(INDEX(WBS_CBS!$J$5:$J$16,MATCH($D46,WBS_CBS!$A$5:$A$16,0)),""))</f>
        <v/>
      </c>
      <c r="G46" s="149" t="n"/>
      <c r="H46" s="151" t="n"/>
      <c r="I46" s="149" t="n"/>
      <c r="J46" s="152" t="n"/>
      <c r="K46" s="149" t="n"/>
      <c r="L46" s="153">
        <f>IF($K46="","",IFERROR(INDEX(FX_Rates!$B$5:$B$14,MATCH($K46,FX_Rates!$A$5:$A$14,0)),""))</f>
        <v/>
      </c>
      <c r="M46" s="153">
        <f>IF(OR($H46="",$J46=""),"",$H46*$J46)</f>
        <v/>
      </c>
      <c r="N46" s="153">
        <f>IF(OR($M46="",$L46=""),"",$M46*$L46)</f>
        <v/>
      </c>
      <c r="O46" s="149" t="n"/>
      <c r="P46" s="154">
        <f>IF($O46="","",IFERROR(INDEX(Basis_of_Estimate!$C$5:$C$9,MATCH($O46,Basis_of_Estimate!$A$5:$A$9,0)),""))</f>
        <v/>
      </c>
      <c r="Q46" s="154">
        <f>IF($O46="","",IFERROR(INDEX(Basis_of_Estimate!$D$5:$D$9,MATCH($O46,Basis_of_Estimate!$A$5:$A$9,0)),""))</f>
        <v/>
      </c>
      <c r="R46" s="153">
        <f>IF($N46="","",$N46*(1+$P46))</f>
        <v/>
      </c>
      <c r="S46" s="153">
        <f>IF($N46="","",$N46)</f>
        <v/>
      </c>
      <c r="T46" s="153">
        <f>IF($N46="","",$N46*(1+$Q46))</f>
        <v/>
      </c>
      <c r="U46" s="150">
        <f>IF($D46="","",IFERROR(INDEX(WBS_CBS!$M$5:$M$16,MATCH($D46,WBS_CBS!$A$5:$A$16,0)),"Yes"))</f>
        <v/>
      </c>
      <c r="V46" s="150">
        <f>IF($D46="","",IFERROR(INDEX(WBS_CBS!$N$5:$N$16,MATCH($D46,WBS_CBS!$A$5:$A$16,0)),"Yes"))</f>
        <v/>
      </c>
      <c r="W46" s="150">
        <f>IF($D46="","",IFERROR(INDEX(WBS_CBS!$K$5:$K$16,MATCH($D46,WBS_CBS!$A$5:$A$16,0)),""))</f>
        <v/>
      </c>
      <c r="X46" s="150">
        <f>IF($D46="","",IFERROR(INDEX(WBS_CBS!$F$5:$F$16,MATCH($D46,WBS_CBS!$A$5:$A$16,0)),""))</f>
        <v/>
      </c>
      <c r="Y46" s="149" t="n"/>
      <c r="Z46" s="149" t="n"/>
      <c r="AA46" s="150">
        <f>IF($D46="","",IFERROR(INDEX(WBS_CBS!$L$5:$L$16,MATCH($D46,WBS_CBS!$A$5:$A$16,0)),""))</f>
        <v/>
      </c>
      <c r="AB46" s="149" t="n"/>
    </row>
    <row r="47">
      <c r="A47" s="149" t="n"/>
      <c r="B47" s="149" t="n"/>
      <c r="C47" s="150">
        <f>IF($D47="","",IFERROR(INDEX(WBS_CBS!$E$5:$E$16,MATCH($D47,WBS_CBS!$A$5:$A$16,0)),""))</f>
        <v/>
      </c>
      <c r="D47" s="149" t="n"/>
      <c r="E47" s="150">
        <f>IF($D47="","",IFERROR(INDEX(WBS_CBS!$C$5:$C$16,MATCH($D47,WBS_CBS!$A$5:$A$16,0)),""))</f>
        <v/>
      </c>
      <c r="F47" s="150">
        <f>IF($D47="","",IFERROR(INDEX(WBS_CBS!$J$5:$J$16,MATCH($D47,WBS_CBS!$A$5:$A$16,0)),""))</f>
        <v/>
      </c>
      <c r="G47" s="149" t="n"/>
      <c r="H47" s="151" t="n"/>
      <c r="I47" s="149" t="n"/>
      <c r="J47" s="152" t="n"/>
      <c r="K47" s="149" t="n"/>
      <c r="L47" s="153">
        <f>IF($K47="","",IFERROR(INDEX(FX_Rates!$B$5:$B$14,MATCH($K47,FX_Rates!$A$5:$A$14,0)),""))</f>
        <v/>
      </c>
      <c r="M47" s="153">
        <f>IF(OR($H47="",$J47=""),"",$H47*$J47)</f>
        <v/>
      </c>
      <c r="N47" s="153">
        <f>IF(OR($M47="",$L47=""),"",$M47*$L47)</f>
        <v/>
      </c>
      <c r="O47" s="149" t="n"/>
      <c r="P47" s="154">
        <f>IF($O47="","",IFERROR(INDEX(Basis_of_Estimate!$C$5:$C$9,MATCH($O47,Basis_of_Estimate!$A$5:$A$9,0)),""))</f>
        <v/>
      </c>
      <c r="Q47" s="154">
        <f>IF($O47="","",IFERROR(INDEX(Basis_of_Estimate!$D$5:$D$9,MATCH($O47,Basis_of_Estimate!$A$5:$A$9,0)),""))</f>
        <v/>
      </c>
      <c r="R47" s="153">
        <f>IF($N47="","",$N47*(1+$P47))</f>
        <v/>
      </c>
      <c r="S47" s="153">
        <f>IF($N47="","",$N47)</f>
        <v/>
      </c>
      <c r="T47" s="153">
        <f>IF($N47="","",$N47*(1+$Q47))</f>
        <v/>
      </c>
      <c r="U47" s="150">
        <f>IF($D47="","",IFERROR(INDEX(WBS_CBS!$M$5:$M$16,MATCH($D47,WBS_CBS!$A$5:$A$16,0)),"Yes"))</f>
        <v/>
      </c>
      <c r="V47" s="150">
        <f>IF($D47="","",IFERROR(INDEX(WBS_CBS!$N$5:$N$16,MATCH($D47,WBS_CBS!$A$5:$A$16,0)),"Yes"))</f>
        <v/>
      </c>
      <c r="W47" s="150">
        <f>IF($D47="","",IFERROR(INDEX(WBS_CBS!$K$5:$K$16,MATCH($D47,WBS_CBS!$A$5:$A$16,0)),""))</f>
        <v/>
      </c>
      <c r="X47" s="150">
        <f>IF($D47="","",IFERROR(INDEX(WBS_CBS!$F$5:$F$16,MATCH($D47,WBS_CBS!$A$5:$A$16,0)),""))</f>
        <v/>
      </c>
      <c r="Y47" s="149" t="n"/>
      <c r="Z47" s="149" t="n"/>
      <c r="AA47" s="150">
        <f>IF($D47="","",IFERROR(INDEX(WBS_CBS!$L$5:$L$16,MATCH($D47,WBS_CBS!$A$5:$A$16,0)),""))</f>
        <v/>
      </c>
      <c r="AB47" s="149" t="n"/>
    </row>
    <row r="48">
      <c r="A48" s="149" t="n"/>
      <c r="B48" s="149" t="n"/>
      <c r="C48" s="150">
        <f>IF($D48="","",IFERROR(INDEX(WBS_CBS!$E$5:$E$16,MATCH($D48,WBS_CBS!$A$5:$A$16,0)),""))</f>
        <v/>
      </c>
      <c r="D48" s="149" t="n"/>
      <c r="E48" s="150">
        <f>IF($D48="","",IFERROR(INDEX(WBS_CBS!$C$5:$C$16,MATCH($D48,WBS_CBS!$A$5:$A$16,0)),""))</f>
        <v/>
      </c>
      <c r="F48" s="150">
        <f>IF($D48="","",IFERROR(INDEX(WBS_CBS!$J$5:$J$16,MATCH($D48,WBS_CBS!$A$5:$A$16,0)),""))</f>
        <v/>
      </c>
      <c r="G48" s="149" t="n"/>
      <c r="H48" s="151" t="n"/>
      <c r="I48" s="149" t="n"/>
      <c r="J48" s="152" t="n"/>
      <c r="K48" s="149" t="n"/>
      <c r="L48" s="153">
        <f>IF($K48="","",IFERROR(INDEX(FX_Rates!$B$5:$B$14,MATCH($K48,FX_Rates!$A$5:$A$14,0)),""))</f>
        <v/>
      </c>
      <c r="M48" s="153">
        <f>IF(OR($H48="",$J48=""),"",$H48*$J48)</f>
        <v/>
      </c>
      <c r="N48" s="153">
        <f>IF(OR($M48="",$L48=""),"",$M48*$L48)</f>
        <v/>
      </c>
      <c r="O48" s="149" t="n"/>
      <c r="P48" s="154">
        <f>IF($O48="","",IFERROR(INDEX(Basis_of_Estimate!$C$5:$C$9,MATCH($O48,Basis_of_Estimate!$A$5:$A$9,0)),""))</f>
        <v/>
      </c>
      <c r="Q48" s="154">
        <f>IF($O48="","",IFERROR(INDEX(Basis_of_Estimate!$D$5:$D$9,MATCH($O48,Basis_of_Estimate!$A$5:$A$9,0)),""))</f>
        <v/>
      </c>
      <c r="R48" s="153">
        <f>IF($N48="","",$N48*(1+$P48))</f>
        <v/>
      </c>
      <c r="S48" s="153">
        <f>IF($N48="","",$N48)</f>
        <v/>
      </c>
      <c r="T48" s="153">
        <f>IF($N48="","",$N48*(1+$Q48))</f>
        <v/>
      </c>
      <c r="U48" s="150">
        <f>IF($D48="","",IFERROR(INDEX(WBS_CBS!$M$5:$M$16,MATCH($D48,WBS_CBS!$A$5:$A$16,0)),"Yes"))</f>
        <v/>
      </c>
      <c r="V48" s="150">
        <f>IF($D48="","",IFERROR(INDEX(WBS_CBS!$N$5:$N$16,MATCH($D48,WBS_CBS!$A$5:$A$16,0)),"Yes"))</f>
        <v/>
      </c>
      <c r="W48" s="150">
        <f>IF($D48="","",IFERROR(INDEX(WBS_CBS!$K$5:$K$16,MATCH($D48,WBS_CBS!$A$5:$A$16,0)),""))</f>
        <v/>
      </c>
      <c r="X48" s="150">
        <f>IF($D48="","",IFERROR(INDEX(WBS_CBS!$F$5:$F$16,MATCH($D48,WBS_CBS!$A$5:$A$16,0)),""))</f>
        <v/>
      </c>
      <c r="Y48" s="149" t="n"/>
      <c r="Z48" s="149" t="n"/>
      <c r="AA48" s="150">
        <f>IF($D48="","",IFERROR(INDEX(WBS_CBS!$L$5:$L$16,MATCH($D48,WBS_CBS!$A$5:$A$16,0)),""))</f>
        <v/>
      </c>
      <c r="AB48" s="149" t="n"/>
    </row>
    <row r="49">
      <c r="A49" s="149" t="n"/>
      <c r="B49" s="149" t="n"/>
      <c r="C49" s="150">
        <f>IF($D49="","",IFERROR(INDEX(WBS_CBS!$E$5:$E$16,MATCH($D49,WBS_CBS!$A$5:$A$16,0)),""))</f>
        <v/>
      </c>
      <c r="D49" s="149" t="n"/>
      <c r="E49" s="150">
        <f>IF($D49="","",IFERROR(INDEX(WBS_CBS!$C$5:$C$16,MATCH($D49,WBS_CBS!$A$5:$A$16,0)),""))</f>
        <v/>
      </c>
      <c r="F49" s="150">
        <f>IF($D49="","",IFERROR(INDEX(WBS_CBS!$J$5:$J$16,MATCH($D49,WBS_CBS!$A$5:$A$16,0)),""))</f>
        <v/>
      </c>
      <c r="G49" s="149" t="n"/>
      <c r="H49" s="151" t="n"/>
      <c r="I49" s="149" t="n"/>
      <c r="J49" s="152" t="n"/>
      <c r="K49" s="149" t="n"/>
      <c r="L49" s="153">
        <f>IF($K49="","",IFERROR(INDEX(FX_Rates!$B$5:$B$14,MATCH($K49,FX_Rates!$A$5:$A$14,0)),""))</f>
        <v/>
      </c>
      <c r="M49" s="153">
        <f>IF(OR($H49="",$J49=""),"",$H49*$J49)</f>
        <v/>
      </c>
      <c r="N49" s="153">
        <f>IF(OR($M49="",$L49=""),"",$M49*$L49)</f>
        <v/>
      </c>
      <c r="O49" s="149" t="n"/>
      <c r="P49" s="154">
        <f>IF($O49="","",IFERROR(INDEX(Basis_of_Estimate!$C$5:$C$9,MATCH($O49,Basis_of_Estimate!$A$5:$A$9,0)),""))</f>
        <v/>
      </c>
      <c r="Q49" s="154">
        <f>IF($O49="","",IFERROR(INDEX(Basis_of_Estimate!$D$5:$D$9,MATCH($O49,Basis_of_Estimate!$A$5:$A$9,0)),""))</f>
        <v/>
      </c>
      <c r="R49" s="153">
        <f>IF($N49="","",$N49*(1+$P49))</f>
        <v/>
      </c>
      <c r="S49" s="153">
        <f>IF($N49="","",$N49)</f>
        <v/>
      </c>
      <c r="T49" s="153">
        <f>IF($N49="","",$N49*(1+$Q49))</f>
        <v/>
      </c>
      <c r="U49" s="150">
        <f>IF($D49="","",IFERROR(INDEX(WBS_CBS!$M$5:$M$16,MATCH($D49,WBS_CBS!$A$5:$A$16,0)),"Yes"))</f>
        <v/>
      </c>
      <c r="V49" s="150">
        <f>IF($D49="","",IFERROR(INDEX(WBS_CBS!$N$5:$N$16,MATCH($D49,WBS_CBS!$A$5:$A$16,0)),"Yes"))</f>
        <v/>
      </c>
      <c r="W49" s="150">
        <f>IF($D49="","",IFERROR(INDEX(WBS_CBS!$K$5:$K$16,MATCH($D49,WBS_CBS!$A$5:$A$16,0)),""))</f>
        <v/>
      </c>
      <c r="X49" s="150">
        <f>IF($D49="","",IFERROR(INDEX(WBS_CBS!$F$5:$F$16,MATCH($D49,WBS_CBS!$A$5:$A$16,0)),""))</f>
        <v/>
      </c>
      <c r="Y49" s="149" t="n"/>
      <c r="Z49" s="149" t="n"/>
      <c r="AA49" s="150">
        <f>IF($D49="","",IFERROR(INDEX(WBS_CBS!$L$5:$L$16,MATCH($D49,WBS_CBS!$A$5:$A$16,0)),""))</f>
        <v/>
      </c>
      <c r="AB49" s="149" t="n"/>
    </row>
    <row r="50">
      <c r="A50" s="149" t="n"/>
      <c r="B50" s="149" t="n"/>
      <c r="C50" s="150">
        <f>IF($D50="","",IFERROR(INDEX(WBS_CBS!$E$5:$E$16,MATCH($D50,WBS_CBS!$A$5:$A$16,0)),""))</f>
        <v/>
      </c>
      <c r="D50" s="149" t="n"/>
      <c r="E50" s="150">
        <f>IF($D50="","",IFERROR(INDEX(WBS_CBS!$C$5:$C$16,MATCH($D50,WBS_CBS!$A$5:$A$16,0)),""))</f>
        <v/>
      </c>
      <c r="F50" s="150">
        <f>IF($D50="","",IFERROR(INDEX(WBS_CBS!$J$5:$J$16,MATCH($D50,WBS_CBS!$A$5:$A$16,0)),""))</f>
        <v/>
      </c>
      <c r="G50" s="149" t="n"/>
      <c r="H50" s="151" t="n"/>
      <c r="I50" s="149" t="n"/>
      <c r="J50" s="152" t="n"/>
      <c r="K50" s="149" t="n"/>
      <c r="L50" s="153">
        <f>IF($K50="","",IFERROR(INDEX(FX_Rates!$B$5:$B$14,MATCH($K50,FX_Rates!$A$5:$A$14,0)),""))</f>
        <v/>
      </c>
      <c r="M50" s="153">
        <f>IF(OR($H50="",$J50=""),"",$H50*$J50)</f>
        <v/>
      </c>
      <c r="N50" s="153">
        <f>IF(OR($M50="",$L50=""),"",$M50*$L50)</f>
        <v/>
      </c>
      <c r="O50" s="149" t="n"/>
      <c r="P50" s="154">
        <f>IF($O50="","",IFERROR(INDEX(Basis_of_Estimate!$C$5:$C$9,MATCH($O50,Basis_of_Estimate!$A$5:$A$9,0)),""))</f>
        <v/>
      </c>
      <c r="Q50" s="154">
        <f>IF($O50="","",IFERROR(INDEX(Basis_of_Estimate!$D$5:$D$9,MATCH($O50,Basis_of_Estimate!$A$5:$A$9,0)),""))</f>
        <v/>
      </c>
      <c r="R50" s="153">
        <f>IF($N50="","",$N50*(1+$P50))</f>
        <v/>
      </c>
      <c r="S50" s="153">
        <f>IF($N50="","",$N50)</f>
        <v/>
      </c>
      <c r="T50" s="153">
        <f>IF($N50="","",$N50*(1+$Q50))</f>
        <v/>
      </c>
      <c r="U50" s="150">
        <f>IF($D50="","",IFERROR(INDEX(WBS_CBS!$M$5:$M$16,MATCH($D50,WBS_CBS!$A$5:$A$16,0)),"Yes"))</f>
        <v/>
      </c>
      <c r="V50" s="150">
        <f>IF($D50="","",IFERROR(INDEX(WBS_CBS!$N$5:$N$16,MATCH($D50,WBS_CBS!$A$5:$A$16,0)),"Yes"))</f>
        <v/>
      </c>
      <c r="W50" s="150">
        <f>IF($D50="","",IFERROR(INDEX(WBS_CBS!$K$5:$K$16,MATCH($D50,WBS_CBS!$A$5:$A$16,0)),""))</f>
        <v/>
      </c>
      <c r="X50" s="150">
        <f>IF($D50="","",IFERROR(INDEX(WBS_CBS!$F$5:$F$16,MATCH($D50,WBS_CBS!$A$5:$A$16,0)),""))</f>
        <v/>
      </c>
      <c r="Y50" s="149" t="n"/>
      <c r="Z50" s="149" t="n"/>
      <c r="AA50" s="150">
        <f>IF($D50="","",IFERROR(INDEX(WBS_CBS!$L$5:$L$16,MATCH($D50,WBS_CBS!$A$5:$A$16,0)),""))</f>
        <v/>
      </c>
      <c r="AB50" s="149" t="n"/>
    </row>
    <row r="51">
      <c r="A51" s="149" t="n"/>
      <c r="B51" s="149" t="n"/>
      <c r="C51" s="150">
        <f>IF($D51="","",IFERROR(INDEX(WBS_CBS!$E$5:$E$16,MATCH($D51,WBS_CBS!$A$5:$A$16,0)),""))</f>
        <v/>
      </c>
      <c r="D51" s="149" t="n"/>
      <c r="E51" s="150">
        <f>IF($D51="","",IFERROR(INDEX(WBS_CBS!$C$5:$C$16,MATCH($D51,WBS_CBS!$A$5:$A$16,0)),""))</f>
        <v/>
      </c>
      <c r="F51" s="150">
        <f>IF($D51="","",IFERROR(INDEX(WBS_CBS!$J$5:$J$16,MATCH($D51,WBS_CBS!$A$5:$A$16,0)),""))</f>
        <v/>
      </c>
      <c r="G51" s="149" t="n"/>
      <c r="H51" s="151" t="n"/>
      <c r="I51" s="149" t="n"/>
      <c r="J51" s="152" t="n"/>
      <c r="K51" s="149" t="n"/>
      <c r="L51" s="153">
        <f>IF($K51="","",IFERROR(INDEX(FX_Rates!$B$5:$B$14,MATCH($K51,FX_Rates!$A$5:$A$14,0)),""))</f>
        <v/>
      </c>
      <c r="M51" s="153">
        <f>IF(OR($H51="",$J51=""),"",$H51*$J51)</f>
        <v/>
      </c>
      <c r="N51" s="153">
        <f>IF(OR($M51="",$L51=""),"",$M51*$L51)</f>
        <v/>
      </c>
      <c r="O51" s="149" t="n"/>
      <c r="P51" s="154">
        <f>IF($O51="","",IFERROR(INDEX(Basis_of_Estimate!$C$5:$C$9,MATCH($O51,Basis_of_Estimate!$A$5:$A$9,0)),""))</f>
        <v/>
      </c>
      <c r="Q51" s="154">
        <f>IF($O51="","",IFERROR(INDEX(Basis_of_Estimate!$D$5:$D$9,MATCH($O51,Basis_of_Estimate!$A$5:$A$9,0)),""))</f>
        <v/>
      </c>
      <c r="R51" s="153">
        <f>IF($N51="","",$N51*(1+$P51))</f>
        <v/>
      </c>
      <c r="S51" s="153">
        <f>IF($N51="","",$N51)</f>
        <v/>
      </c>
      <c r="T51" s="153">
        <f>IF($N51="","",$N51*(1+$Q51))</f>
        <v/>
      </c>
      <c r="U51" s="150">
        <f>IF($D51="","",IFERROR(INDEX(WBS_CBS!$M$5:$M$16,MATCH($D51,WBS_CBS!$A$5:$A$16,0)),"Yes"))</f>
        <v/>
      </c>
      <c r="V51" s="150">
        <f>IF($D51="","",IFERROR(INDEX(WBS_CBS!$N$5:$N$16,MATCH($D51,WBS_CBS!$A$5:$A$16,0)),"Yes"))</f>
        <v/>
      </c>
      <c r="W51" s="150">
        <f>IF($D51="","",IFERROR(INDEX(WBS_CBS!$K$5:$K$16,MATCH($D51,WBS_CBS!$A$5:$A$16,0)),""))</f>
        <v/>
      </c>
      <c r="X51" s="150">
        <f>IF($D51="","",IFERROR(INDEX(WBS_CBS!$F$5:$F$16,MATCH($D51,WBS_CBS!$A$5:$A$16,0)),""))</f>
        <v/>
      </c>
      <c r="Y51" s="149" t="n"/>
      <c r="Z51" s="149" t="n"/>
      <c r="AA51" s="150">
        <f>IF($D51="","",IFERROR(INDEX(WBS_CBS!$L$5:$L$16,MATCH($D51,WBS_CBS!$A$5:$A$16,0)),""))</f>
        <v/>
      </c>
      <c r="AB51" s="149" t="n"/>
    </row>
    <row r="52">
      <c r="A52" s="149" t="n"/>
      <c r="B52" s="149" t="n"/>
      <c r="C52" s="150">
        <f>IF($D52="","",IFERROR(INDEX(WBS_CBS!$E$5:$E$16,MATCH($D52,WBS_CBS!$A$5:$A$16,0)),""))</f>
        <v/>
      </c>
      <c r="D52" s="149" t="n"/>
      <c r="E52" s="150">
        <f>IF($D52="","",IFERROR(INDEX(WBS_CBS!$C$5:$C$16,MATCH($D52,WBS_CBS!$A$5:$A$16,0)),""))</f>
        <v/>
      </c>
      <c r="F52" s="150">
        <f>IF($D52="","",IFERROR(INDEX(WBS_CBS!$J$5:$J$16,MATCH($D52,WBS_CBS!$A$5:$A$16,0)),""))</f>
        <v/>
      </c>
      <c r="G52" s="149" t="n"/>
      <c r="H52" s="151" t="n"/>
      <c r="I52" s="149" t="n"/>
      <c r="J52" s="152" t="n"/>
      <c r="K52" s="149" t="n"/>
      <c r="L52" s="153">
        <f>IF($K52="","",IFERROR(INDEX(FX_Rates!$B$5:$B$14,MATCH($K52,FX_Rates!$A$5:$A$14,0)),""))</f>
        <v/>
      </c>
      <c r="M52" s="153">
        <f>IF(OR($H52="",$J52=""),"",$H52*$J52)</f>
        <v/>
      </c>
      <c r="N52" s="153">
        <f>IF(OR($M52="",$L52=""),"",$M52*$L52)</f>
        <v/>
      </c>
      <c r="O52" s="149" t="n"/>
      <c r="P52" s="154">
        <f>IF($O52="","",IFERROR(INDEX(Basis_of_Estimate!$C$5:$C$9,MATCH($O52,Basis_of_Estimate!$A$5:$A$9,0)),""))</f>
        <v/>
      </c>
      <c r="Q52" s="154">
        <f>IF($O52="","",IFERROR(INDEX(Basis_of_Estimate!$D$5:$D$9,MATCH($O52,Basis_of_Estimate!$A$5:$A$9,0)),""))</f>
        <v/>
      </c>
      <c r="R52" s="153">
        <f>IF($N52="","",$N52*(1+$P52))</f>
        <v/>
      </c>
      <c r="S52" s="153">
        <f>IF($N52="","",$N52)</f>
        <v/>
      </c>
      <c r="T52" s="153">
        <f>IF($N52="","",$N52*(1+$Q52))</f>
        <v/>
      </c>
      <c r="U52" s="150">
        <f>IF($D52="","",IFERROR(INDEX(WBS_CBS!$M$5:$M$16,MATCH($D52,WBS_CBS!$A$5:$A$16,0)),"Yes"))</f>
        <v/>
      </c>
      <c r="V52" s="150">
        <f>IF($D52="","",IFERROR(INDEX(WBS_CBS!$N$5:$N$16,MATCH($D52,WBS_CBS!$A$5:$A$16,0)),"Yes"))</f>
        <v/>
      </c>
      <c r="W52" s="150">
        <f>IF($D52="","",IFERROR(INDEX(WBS_CBS!$K$5:$K$16,MATCH($D52,WBS_CBS!$A$5:$A$16,0)),""))</f>
        <v/>
      </c>
      <c r="X52" s="150">
        <f>IF($D52="","",IFERROR(INDEX(WBS_CBS!$F$5:$F$16,MATCH($D52,WBS_CBS!$A$5:$A$16,0)),""))</f>
        <v/>
      </c>
      <c r="Y52" s="149" t="n"/>
      <c r="Z52" s="149" t="n"/>
      <c r="AA52" s="150">
        <f>IF($D52="","",IFERROR(INDEX(WBS_CBS!$L$5:$L$16,MATCH($D52,WBS_CBS!$A$5:$A$16,0)),""))</f>
        <v/>
      </c>
      <c r="AB52" s="149" t="n"/>
    </row>
    <row r="53">
      <c r="A53" s="149" t="n"/>
      <c r="B53" s="149" t="n"/>
      <c r="C53" s="150">
        <f>IF($D53="","",IFERROR(INDEX(WBS_CBS!$E$5:$E$16,MATCH($D53,WBS_CBS!$A$5:$A$16,0)),""))</f>
        <v/>
      </c>
      <c r="D53" s="149" t="n"/>
      <c r="E53" s="150">
        <f>IF($D53="","",IFERROR(INDEX(WBS_CBS!$C$5:$C$16,MATCH($D53,WBS_CBS!$A$5:$A$16,0)),""))</f>
        <v/>
      </c>
      <c r="F53" s="150">
        <f>IF($D53="","",IFERROR(INDEX(WBS_CBS!$J$5:$J$16,MATCH($D53,WBS_CBS!$A$5:$A$16,0)),""))</f>
        <v/>
      </c>
      <c r="G53" s="149" t="n"/>
      <c r="H53" s="151" t="n"/>
      <c r="I53" s="149" t="n"/>
      <c r="J53" s="152" t="n"/>
      <c r="K53" s="149" t="n"/>
      <c r="L53" s="153">
        <f>IF($K53="","",IFERROR(INDEX(FX_Rates!$B$5:$B$14,MATCH($K53,FX_Rates!$A$5:$A$14,0)),""))</f>
        <v/>
      </c>
      <c r="M53" s="153">
        <f>IF(OR($H53="",$J53=""),"",$H53*$J53)</f>
        <v/>
      </c>
      <c r="N53" s="153">
        <f>IF(OR($M53="",$L53=""),"",$M53*$L53)</f>
        <v/>
      </c>
      <c r="O53" s="149" t="n"/>
      <c r="P53" s="154">
        <f>IF($O53="","",IFERROR(INDEX(Basis_of_Estimate!$C$5:$C$9,MATCH($O53,Basis_of_Estimate!$A$5:$A$9,0)),""))</f>
        <v/>
      </c>
      <c r="Q53" s="154">
        <f>IF($O53="","",IFERROR(INDEX(Basis_of_Estimate!$D$5:$D$9,MATCH($O53,Basis_of_Estimate!$A$5:$A$9,0)),""))</f>
        <v/>
      </c>
      <c r="R53" s="153">
        <f>IF($N53="","",$N53*(1+$P53))</f>
        <v/>
      </c>
      <c r="S53" s="153">
        <f>IF($N53="","",$N53)</f>
        <v/>
      </c>
      <c r="T53" s="153">
        <f>IF($N53="","",$N53*(1+$Q53))</f>
        <v/>
      </c>
      <c r="U53" s="150">
        <f>IF($D53="","",IFERROR(INDEX(WBS_CBS!$M$5:$M$16,MATCH($D53,WBS_CBS!$A$5:$A$16,0)),"Yes"))</f>
        <v/>
      </c>
      <c r="V53" s="150">
        <f>IF($D53="","",IFERROR(INDEX(WBS_CBS!$N$5:$N$16,MATCH($D53,WBS_CBS!$A$5:$A$16,0)),"Yes"))</f>
        <v/>
      </c>
      <c r="W53" s="150">
        <f>IF($D53="","",IFERROR(INDEX(WBS_CBS!$K$5:$K$16,MATCH($D53,WBS_CBS!$A$5:$A$16,0)),""))</f>
        <v/>
      </c>
      <c r="X53" s="150">
        <f>IF($D53="","",IFERROR(INDEX(WBS_CBS!$F$5:$F$16,MATCH($D53,WBS_CBS!$A$5:$A$16,0)),""))</f>
        <v/>
      </c>
      <c r="Y53" s="149" t="n"/>
      <c r="Z53" s="149" t="n"/>
      <c r="AA53" s="150">
        <f>IF($D53="","",IFERROR(INDEX(WBS_CBS!$L$5:$L$16,MATCH($D53,WBS_CBS!$A$5:$A$16,0)),""))</f>
        <v/>
      </c>
      <c r="AB53" s="149" t="n"/>
    </row>
    <row r="54">
      <c r="A54" s="149" t="n"/>
      <c r="B54" s="149" t="n"/>
      <c r="C54" s="150">
        <f>IF($D54="","",IFERROR(INDEX(WBS_CBS!$E$5:$E$16,MATCH($D54,WBS_CBS!$A$5:$A$16,0)),""))</f>
        <v/>
      </c>
      <c r="D54" s="149" t="n"/>
      <c r="E54" s="150">
        <f>IF($D54="","",IFERROR(INDEX(WBS_CBS!$C$5:$C$16,MATCH($D54,WBS_CBS!$A$5:$A$16,0)),""))</f>
        <v/>
      </c>
      <c r="F54" s="150">
        <f>IF($D54="","",IFERROR(INDEX(WBS_CBS!$J$5:$J$16,MATCH($D54,WBS_CBS!$A$5:$A$16,0)),""))</f>
        <v/>
      </c>
      <c r="G54" s="149" t="n"/>
      <c r="H54" s="151" t="n"/>
      <c r="I54" s="149" t="n"/>
      <c r="J54" s="152" t="n"/>
      <c r="K54" s="149" t="n"/>
      <c r="L54" s="153">
        <f>IF($K54="","",IFERROR(INDEX(FX_Rates!$B$5:$B$14,MATCH($K54,FX_Rates!$A$5:$A$14,0)),""))</f>
        <v/>
      </c>
      <c r="M54" s="153">
        <f>IF(OR($H54="",$J54=""),"",$H54*$J54)</f>
        <v/>
      </c>
      <c r="N54" s="153">
        <f>IF(OR($M54="",$L54=""),"",$M54*$L54)</f>
        <v/>
      </c>
      <c r="O54" s="149" t="n"/>
      <c r="P54" s="154">
        <f>IF($O54="","",IFERROR(INDEX(Basis_of_Estimate!$C$5:$C$9,MATCH($O54,Basis_of_Estimate!$A$5:$A$9,0)),""))</f>
        <v/>
      </c>
      <c r="Q54" s="154">
        <f>IF($O54="","",IFERROR(INDEX(Basis_of_Estimate!$D$5:$D$9,MATCH($O54,Basis_of_Estimate!$A$5:$A$9,0)),""))</f>
        <v/>
      </c>
      <c r="R54" s="153">
        <f>IF($N54="","",$N54*(1+$P54))</f>
        <v/>
      </c>
      <c r="S54" s="153">
        <f>IF($N54="","",$N54)</f>
        <v/>
      </c>
      <c r="T54" s="153">
        <f>IF($N54="","",$N54*(1+$Q54))</f>
        <v/>
      </c>
      <c r="U54" s="150">
        <f>IF($D54="","",IFERROR(INDEX(WBS_CBS!$M$5:$M$16,MATCH($D54,WBS_CBS!$A$5:$A$16,0)),"Yes"))</f>
        <v/>
      </c>
      <c r="V54" s="150">
        <f>IF($D54="","",IFERROR(INDEX(WBS_CBS!$N$5:$N$16,MATCH($D54,WBS_CBS!$A$5:$A$16,0)),"Yes"))</f>
        <v/>
      </c>
      <c r="W54" s="150">
        <f>IF($D54="","",IFERROR(INDEX(WBS_CBS!$K$5:$K$16,MATCH($D54,WBS_CBS!$A$5:$A$16,0)),""))</f>
        <v/>
      </c>
      <c r="X54" s="150">
        <f>IF($D54="","",IFERROR(INDEX(WBS_CBS!$F$5:$F$16,MATCH($D54,WBS_CBS!$A$5:$A$16,0)),""))</f>
        <v/>
      </c>
      <c r="Y54" s="149" t="n"/>
      <c r="Z54" s="149" t="n"/>
      <c r="AA54" s="150">
        <f>IF($D54="","",IFERROR(INDEX(WBS_CBS!$L$5:$L$16,MATCH($D54,WBS_CBS!$A$5:$A$16,0)),""))</f>
        <v/>
      </c>
      <c r="AB54" s="149" t="n"/>
    </row>
    <row r="55">
      <c r="A55" s="149" t="n"/>
      <c r="B55" s="149" t="n"/>
      <c r="C55" s="150">
        <f>IF($D55="","",IFERROR(INDEX(WBS_CBS!$E$5:$E$16,MATCH($D55,WBS_CBS!$A$5:$A$16,0)),""))</f>
        <v/>
      </c>
      <c r="D55" s="149" t="n"/>
      <c r="E55" s="150">
        <f>IF($D55="","",IFERROR(INDEX(WBS_CBS!$C$5:$C$16,MATCH($D55,WBS_CBS!$A$5:$A$16,0)),""))</f>
        <v/>
      </c>
      <c r="F55" s="150">
        <f>IF($D55="","",IFERROR(INDEX(WBS_CBS!$J$5:$J$16,MATCH($D55,WBS_CBS!$A$5:$A$16,0)),""))</f>
        <v/>
      </c>
      <c r="G55" s="149" t="n"/>
      <c r="H55" s="151" t="n"/>
      <c r="I55" s="149" t="n"/>
      <c r="J55" s="152" t="n"/>
      <c r="K55" s="149" t="n"/>
      <c r="L55" s="153">
        <f>IF($K55="","",IFERROR(INDEX(FX_Rates!$B$5:$B$14,MATCH($K55,FX_Rates!$A$5:$A$14,0)),""))</f>
        <v/>
      </c>
      <c r="M55" s="153">
        <f>IF(OR($H55="",$J55=""),"",$H55*$J55)</f>
        <v/>
      </c>
      <c r="N55" s="153">
        <f>IF(OR($M55="",$L55=""),"",$M55*$L55)</f>
        <v/>
      </c>
      <c r="O55" s="149" t="n"/>
      <c r="P55" s="154">
        <f>IF($O55="","",IFERROR(INDEX(Basis_of_Estimate!$C$5:$C$9,MATCH($O55,Basis_of_Estimate!$A$5:$A$9,0)),""))</f>
        <v/>
      </c>
      <c r="Q55" s="154">
        <f>IF($O55="","",IFERROR(INDEX(Basis_of_Estimate!$D$5:$D$9,MATCH($O55,Basis_of_Estimate!$A$5:$A$9,0)),""))</f>
        <v/>
      </c>
      <c r="R55" s="153">
        <f>IF($N55="","",$N55*(1+$P55))</f>
        <v/>
      </c>
      <c r="S55" s="153">
        <f>IF($N55="","",$N55)</f>
        <v/>
      </c>
      <c r="T55" s="153">
        <f>IF($N55="","",$N55*(1+$Q55))</f>
        <v/>
      </c>
      <c r="U55" s="150">
        <f>IF($D55="","",IFERROR(INDEX(WBS_CBS!$M$5:$M$16,MATCH($D55,WBS_CBS!$A$5:$A$16,0)),"Yes"))</f>
        <v/>
      </c>
      <c r="V55" s="150">
        <f>IF($D55="","",IFERROR(INDEX(WBS_CBS!$N$5:$N$16,MATCH($D55,WBS_CBS!$A$5:$A$16,0)),"Yes"))</f>
        <v/>
      </c>
      <c r="W55" s="150">
        <f>IF($D55="","",IFERROR(INDEX(WBS_CBS!$K$5:$K$16,MATCH($D55,WBS_CBS!$A$5:$A$16,0)),""))</f>
        <v/>
      </c>
      <c r="X55" s="150">
        <f>IF($D55="","",IFERROR(INDEX(WBS_CBS!$F$5:$F$16,MATCH($D55,WBS_CBS!$A$5:$A$16,0)),""))</f>
        <v/>
      </c>
      <c r="Y55" s="149" t="n"/>
      <c r="Z55" s="149" t="n"/>
      <c r="AA55" s="150">
        <f>IF($D55="","",IFERROR(INDEX(WBS_CBS!$L$5:$L$16,MATCH($D55,WBS_CBS!$A$5:$A$16,0)),""))</f>
        <v/>
      </c>
      <c r="AB55" s="149" t="n"/>
    </row>
    <row r="56">
      <c r="A56" s="149" t="n"/>
      <c r="B56" s="149" t="n"/>
      <c r="C56" s="150">
        <f>IF($D56="","",IFERROR(INDEX(WBS_CBS!$E$5:$E$16,MATCH($D56,WBS_CBS!$A$5:$A$16,0)),""))</f>
        <v/>
      </c>
      <c r="D56" s="149" t="n"/>
      <c r="E56" s="150">
        <f>IF($D56="","",IFERROR(INDEX(WBS_CBS!$C$5:$C$16,MATCH($D56,WBS_CBS!$A$5:$A$16,0)),""))</f>
        <v/>
      </c>
      <c r="F56" s="150">
        <f>IF($D56="","",IFERROR(INDEX(WBS_CBS!$J$5:$J$16,MATCH($D56,WBS_CBS!$A$5:$A$16,0)),""))</f>
        <v/>
      </c>
      <c r="G56" s="149" t="n"/>
      <c r="H56" s="151" t="n"/>
      <c r="I56" s="149" t="n"/>
      <c r="J56" s="152" t="n"/>
      <c r="K56" s="149" t="n"/>
      <c r="L56" s="153">
        <f>IF($K56="","",IFERROR(INDEX(FX_Rates!$B$5:$B$14,MATCH($K56,FX_Rates!$A$5:$A$14,0)),""))</f>
        <v/>
      </c>
      <c r="M56" s="153">
        <f>IF(OR($H56="",$J56=""),"",$H56*$J56)</f>
        <v/>
      </c>
      <c r="N56" s="153">
        <f>IF(OR($M56="",$L56=""),"",$M56*$L56)</f>
        <v/>
      </c>
      <c r="O56" s="149" t="n"/>
      <c r="P56" s="154">
        <f>IF($O56="","",IFERROR(INDEX(Basis_of_Estimate!$C$5:$C$9,MATCH($O56,Basis_of_Estimate!$A$5:$A$9,0)),""))</f>
        <v/>
      </c>
      <c r="Q56" s="154">
        <f>IF($O56="","",IFERROR(INDEX(Basis_of_Estimate!$D$5:$D$9,MATCH($O56,Basis_of_Estimate!$A$5:$A$9,0)),""))</f>
        <v/>
      </c>
      <c r="R56" s="153">
        <f>IF($N56="","",$N56*(1+$P56))</f>
        <v/>
      </c>
      <c r="S56" s="153">
        <f>IF($N56="","",$N56)</f>
        <v/>
      </c>
      <c r="T56" s="153">
        <f>IF($N56="","",$N56*(1+$Q56))</f>
        <v/>
      </c>
      <c r="U56" s="150">
        <f>IF($D56="","",IFERROR(INDEX(WBS_CBS!$M$5:$M$16,MATCH($D56,WBS_CBS!$A$5:$A$16,0)),"Yes"))</f>
        <v/>
      </c>
      <c r="V56" s="150">
        <f>IF($D56="","",IFERROR(INDEX(WBS_CBS!$N$5:$N$16,MATCH($D56,WBS_CBS!$A$5:$A$16,0)),"Yes"))</f>
        <v/>
      </c>
      <c r="W56" s="150">
        <f>IF($D56="","",IFERROR(INDEX(WBS_CBS!$K$5:$K$16,MATCH($D56,WBS_CBS!$A$5:$A$16,0)),""))</f>
        <v/>
      </c>
      <c r="X56" s="150">
        <f>IF($D56="","",IFERROR(INDEX(WBS_CBS!$F$5:$F$16,MATCH($D56,WBS_CBS!$A$5:$A$16,0)),""))</f>
        <v/>
      </c>
      <c r="Y56" s="149" t="n"/>
      <c r="Z56" s="149" t="n"/>
      <c r="AA56" s="150">
        <f>IF($D56="","",IFERROR(INDEX(WBS_CBS!$L$5:$L$16,MATCH($D56,WBS_CBS!$A$5:$A$16,0)),""))</f>
        <v/>
      </c>
      <c r="AB56" s="149" t="n"/>
    </row>
    <row r="57">
      <c r="A57" s="149" t="n"/>
      <c r="B57" s="149" t="n"/>
      <c r="C57" s="150">
        <f>IF($D57="","",IFERROR(INDEX(WBS_CBS!$E$5:$E$16,MATCH($D57,WBS_CBS!$A$5:$A$16,0)),""))</f>
        <v/>
      </c>
      <c r="D57" s="149" t="n"/>
      <c r="E57" s="150">
        <f>IF($D57="","",IFERROR(INDEX(WBS_CBS!$C$5:$C$16,MATCH($D57,WBS_CBS!$A$5:$A$16,0)),""))</f>
        <v/>
      </c>
      <c r="F57" s="150">
        <f>IF($D57="","",IFERROR(INDEX(WBS_CBS!$J$5:$J$16,MATCH($D57,WBS_CBS!$A$5:$A$16,0)),""))</f>
        <v/>
      </c>
      <c r="G57" s="149" t="n"/>
      <c r="H57" s="151" t="n"/>
      <c r="I57" s="149" t="n"/>
      <c r="J57" s="152" t="n"/>
      <c r="K57" s="149" t="n"/>
      <c r="L57" s="153">
        <f>IF($K57="","",IFERROR(INDEX(FX_Rates!$B$5:$B$14,MATCH($K57,FX_Rates!$A$5:$A$14,0)),""))</f>
        <v/>
      </c>
      <c r="M57" s="153">
        <f>IF(OR($H57="",$J57=""),"",$H57*$J57)</f>
        <v/>
      </c>
      <c r="N57" s="153">
        <f>IF(OR($M57="",$L57=""),"",$M57*$L57)</f>
        <v/>
      </c>
      <c r="O57" s="149" t="n"/>
      <c r="P57" s="154">
        <f>IF($O57="","",IFERROR(INDEX(Basis_of_Estimate!$C$5:$C$9,MATCH($O57,Basis_of_Estimate!$A$5:$A$9,0)),""))</f>
        <v/>
      </c>
      <c r="Q57" s="154">
        <f>IF($O57="","",IFERROR(INDEX(Basis_of_Estimate!$D$5:$D$9,MATCH($O57,Basis_of_Estimate!$A$5:$A$9,0)),""))</f>
        <v/>
      </c>
      <c r="R57" s="153">
        <f>IF($N57="","",$N57*(1+$P57))</f>
        <v/>
      </c>
      <c r="S57" s="153">
        <f>IF($N57="","",$N57)</f>
        <v/>
      </c>
      <c r="T57" s="153">
        <f>IF($N57="","",$N57*(1+$Q57))</f>
        <v/>
      </c>
      <c r="U57" s="150">
        <f>IF($D57="","",IFERROR(INDEX(WBS_CBS!$M$5:$M$16,MATCH($D57,WBS_CBS!$A$5:$A$16,0)),"Yes"))</f>
        <v/>
      </c>
      <c r="V57" s="150">
        <f>IF($D57="","",IFERROR(INDEX(WBS_CBS!$N$5:$N$16,MATCH($D57,WBS_CBS!$A$5:$A$16,0)),"Yes"))</f>
        <v/>
      </c>
      <c r="W57" s="150">
        <f>IF($D57="","",IFERROR(INDEX(WBS_CBS!$K$5:$K$16,MATCH($D57,WBS_CBS!$A$5:$A$16,0)),""))</f>
        <v/>
      </c>
      <c r="X57" s="150">
        <f>IF($D57="","",IFERROR(INDEX(WBS_CBS!$F$5:$F$16,MATCH($D57,WBS_CBS!$A$5:$A$16,0)),""))</f>
        <v/>
      </c>
      <c r="Y57" s="149" t="n"/>
      <c r="Z57" s="149" t="n"/>
      <c r="AA57" s="150">
        <f>IF($D57="","",IFERROR(INDEX(WBS_CBS!$L$5:$L$16,MATCH($D57,WBS_CBS!$A$5:$A$16,0)),""))</f>
        <v/>
      </c>
      <c r="AB57" s="149" t="n"/>
    </row>
    <row r="58">
      <c r="A58" s="149" t="n"/>
      <c r="B58" s="149" t="n"/>
      <c r="C58" s="150">
        <f>IF($D58="","",IFERROR(INDEX(WBS_CBS!$E$5:$E$16,MATCH($D58,WBS_CBS!$A$5:$A$16,0)),""))</f>
        <v/>
      </c>
      <c r="D58" s="149" t="n"/>
      <c r="E58" s="150">
        <f>IF($D58="","",IFERROR(INDEX(WBS_CBS!$C$5:$C$16,MATCH($D58,WBS_CBS!$A$5:$A$16,0)),""))</f>
        <v/>
      </c>
      <c r="F58" s="150">
        <f>IF($D58="","",IFERROR(INDEX(WBS_CBS!$J$5:$J$16,MATCH($D58,WBS_CBS!$A$5:$A$16,0)),""))</f>
        <v/>
      </c>
      <c r="G58" s="149" t="n"/>
      <c r="H58" s="151" t="n"/>
      <c r="I58" s="149" t="n"/>
      <c r="J58" s="152" t="n"/>
      <c r="K58" s="149" t="n"/>
      <c r="L58" s="153">
        <f>IF($K58="","",IFERROR(INDEX(FX_Rates!$B$5:$B$14,MATCH($K58,FX_Rates!$A$5:$A$14,0)),""))</f>
        <v/>
      </c>
      <c r="M58" s="153">
        <f>IF(OR($H58="",$J58=""),"",$H58*$J58)</f>
        <v/>
      </c>
      <c r="N58" s="153">
        <f>IF(OR($M58="",$L58=""),"",$M58*$L58)</f>
        <v/>
      </c>
      <c r="O58" s="149" t="n"/>
      <c r="P58" s="154">
        <f>IF($O58="","",IFERROR(INDEX(Basis_of_Estimate!$C$5:$C$9,MATCH($O58,Basis_of_Estimate!$A$5:$A$9,0)),""))</f>
        <v/>
      </c>
      <c r="Q58" s="154">
        <f>IF($O58="","",IFERROR(INDEX(Basis_of_Estimate!$D$5:$D$9,MATCH($O58,Basis_of_Estimate!$A$5:$A$9,0)),""))</f>
        <v/>
      </c>
      <c r="R58" s="153">
        <f>IF($N58="","",$N58*(1+$P58))</f>
        <v/>
      </c>
      <c r="S58" s="153">
        <f>IF($N58="","",$N58)</f>
        <v/>
      </c>
      <c r="T58" s="153">
        <f>IF($N58="","",$N58*(1+$Q58))</f>
        <v/>
      </c>
      <c r="U58" s="150">
        <f>IF($D58="","",IFERROR(INDEX(WBS_CBS!$M$5:$M$16,MATCH($D58,WBS_CBS!$A$5:$A$16,0)),"Yes"))</f>
        <v/>
      </c>
      <c r="V58" s="150">
        <f>IF($D58="","",IFERROR(INDEX(WBS_CBS!$N$5:$N$16,MATCH($D58,WBS_CBS!$A$5:$A$16,0)),"Yes"))</f>
        <v/>
      </c>
      <c r="W58" s="150">
        <f>IF($D58="","",IFERROR(INDEX(WBS_CBS!$K$5:$K$16,MATCH($D58,WBS_CBS!$A$5:$A$16,0)),""))</f>
        <v/>
      </c>
      <c r="X58" s="150">
        <f>IF($D58="","",IFERROR(INDEX(WBS_CBS!$F$5:$F$16,MATCH($D58,WBS_CBS!$A$5:$A$16,0)),""))</f>
        <v/>
      </c>
      <c r="Y58" s="149" t="n"/>
      <c r="Z58" s="149" t="n"/>
      <c r="AA58" s="150">
        <f>IF($D58="","",IFERROR(INDEX(WBS_CBS!$L$5:$L$16,MATCH($D58,WBS_CBS!$A$5:$A$16,0)),""))</f>
        <v/>
      </c>
      <c r="AB58" s="149" t="n"/>
    </row>
    <row r="59">
      <c r="A59" s="149" t="n"/>
      <c r="B59" s="149" t="n"/>
      <c r="C59" s="150">
        <f>IF($D59="","",IFERROR(INDEX(WBS_CBS!$E$5:$E$16,MATCH($D59,WBS_CBS!$A$5:$A$16,0)),""))</f>
        <v/>
      </c>
      <c r="D59" s="149" t="n"/>
      <c r="E59" s="150">
        <f>IF($D59="","",IFERROR(INDEX(WBS_CBS!$C$5:$C$16,MATCH($D59,WBS_CBS!$A$5:$A$16,0)),""))</f>
        <v/>
      </c>
      <c r="F59" s="150">
        <f>IF($D59="","",IFERROR(INDEX(WBS_CBS!$J$5:$J$16,MATCH($D59,WBS_CBS!$A$5:$A$16,0)),""))</f>
        <v/>
      </c>
      <c r="G59" s="149" t="n"/>
      <c r="H59" s="151" t="n"/>
      <c r="I59" s="149" t="n"/>
      <c r="J59" s="152" t="n"/>
      <c r="K59" s="149" t="n"/>
      <c r="L59" s="153">
        <f>IF($K59="","",IFERROR(INDEX(FX_Rates!$B$5:$B$14,MATCH($K59,FX_Rates!$A$5:$A$14,0)),""))</f>
        <v/>
      </c>
      <c r="M59" s="153">
        <f>IF(OR($H59="",$J59=""),"",$H59*$J59)</f>
        <v/>
      </c>
      <c r="N59" s="153">
        <f>IF(OR($M59="",$L59=""),"",$M59*$L59)</f>
        <v/>
      </c>
      <c r="O59" s="149" t="n"/>
      <c r="P59" s="154">
        <f>IF($O59="","",IFERROR(INDEX(Basis_of_Estimate!$C$5:$C$9,MATCH($O59,Basis_of_Estimate!$A$5:$A$9,0)),""))</f>
        <v/>
      </c>
      <c r="Q59" s="154">
        <f>IF($O59="","",IFERROR(INDEX(Basis_of_Estimate!$D$5:$D$9,MATCH($O59,Basis_of_Estimate!$A$5:$A$9,0)),""))</f>
        <v/>
      </c>
      <c r="R59" s="153">
        <f>IF($N59="","",$N59*(1+$P59))</f>
        <v/>
      </c>
      <c r="S59" s="153">
        <f>IF($N59="","",$N59)</f>
        <v/>
      </c>
      <c r="T59" s="153">
        <f>IF($N59="","",$N59*(1+$Q59))</f>
        <v/>
      </c>
      <c r="U59" s="150">
        <f>IF($D59="","",IFERROR(INDEX(WBS_CBS!$M$5:$M$16,MATCH($D59,WBS_CBS!$A$5:$A$16,0)),"Yes"))</f>
        <v/>
      </c>
      <c r="V59" s="150">
        <f>IF($D59="","",IFERROR(INDEX(WBS_CBS!$N$5:$N$16,MATCH($D59,WBS_CBS!$A$5:$A$16,0)),"Yes"))</f>
        <v/>
      </c>
      <c r="W59" s="150">
        <f>IF($D59="","",IFERROR(INDEX(WBS_CBS!$K$5:$K$16,MATCH($D59,WBS_CBS!$A$5:$A$16,0)),""))</f>
        <v/>
      </c>
      <c r="X59" s="150">
        <f>IF($D59="","",IFERROR(INDEX(WBS_CBS!$F$5:$F$16,MATCH($D59,WBS_CBS!$A$5:$A$16,0)),""))</f>
        <v/>
      </c>
      <c r="Y59" s="149" t="n"/>
      <c r="Z59" s="149" t="n"/>
      <c r="AA59" s="150">
        <f>IF($D59="","",IFERROR(INDEX(WBS_CBS!$L$5:$L$16,MATCH($D59,WBS_CBS!$A$5:$A$16,0)),""))</f>
        <v/>
      </c>
      <c r="AB59" s="149" t="n"/>
    </row>
    <row r="60">
      <c r="A60" s="149" t="n"/>
      <c r="B60" s="149" t="n"/>
      <c r="C60" s="150">
        <f>IF($D60="","",IFERROR(INDEX(WBS_CBS!$E$5:$E$16,MATCH($D60,WBS_CBS!$A$5:$A$16,0)),""))</f>
        <v/>
      </c>
      <c r="D60" s="149" t="n"/>
      <c r="E60" s="150">
        <f>IF($D60="","",IFERROR(INDEX(WBS_CBS!$C$5:$C$16,MATCH($D60,WBS_CBS!$A$5:$A$16,0)),""))</f>
        <v/>
      </c>
      <c r="F60" s="150">
        <f>IF($D60="","",IFERROR(INDEX(WBS_CBS!$J$5:$J$16,MATCH($D60,WBS_CBS!$A$5:$A$16,0)),""))</f>
        <v/>
      </c>
      <c r="G60" s="149" t="n"/>
      <c r="H60" s="151" t="n"/>
      <c r="I60" s="149" t="n"/>
      <c r="J60" s="152" t="n"/>
      <c r="K60" s="149" t="n"/>
      <c r="L60" s="153">
        <f>IF($K60="","",IFERROR(INDEX(FX_Rates!$B$5:$B$14,MATCH($K60,FX_Rates!$A$5:$A$14,0)),""))</f>
        <v/>
      </c>
      <c r="M60" s="153">
        <f>IF(OR($H60="",$J60=""),"",$H60*$J60)</f>
        <v/>
      </c>
      <c r="N60" s="153">
        <f>IF(OR($M60="",$L60=""),"",$M60*$L60)</f>
        <v/>
      </c>
      <c r="O60" s="149" t="n"/>
      <c r="P60" s="154">
        <f>IF($O60="","",IFERROR(INDEX(Basis_of_Estimate!$C$5:$C$9,MATCH($O60,Basis_of_Estimate!$A$5:$A$9,0)),""))</f>
        <v/>
      </c>
      <c r="Q60" s="154">
        <f>IF($O60="","",IFERROR(INDEX(Basis_of_Estimate!$D$5:$D$9,MATCH($O60,Basis_of_Estimate!$A$5:$A$9,0)),""))</f>
        <v/>
      </c>
      <c r="R60" s="153">
        <f>IF($N60="","",$N60*(1+$P60))</f>
        <v/>
      </c>
      <c r="S60" s="153">
        <f>IF($N60="","",$N60)</f>
        <v/>
      </c>
      <c r="T60" s="153">
        <f>IF($N60="","",$N60*(1+$Q60))</f>
        <v/>
      </c>
      <c r="U60" s="150">
        <f>IF($D60="","",IFERROR(INDEX(WBS_CBS!$M$5:$M$16,MATCH($D60,WBS_CBS!$A$5:$A$16,0)),"Yes"))</f>
        <v/>
      </c>
      <c r="V60" s="150">
        <f>IF($D60="","",IFERROR(INDEX(WBS_CBS!$N$5:$N$16,MATCH($D60,WBS_CBS!$A$5:$A$16,0)),"Yes"))</f>
        <v/>
      </c>
      <c r="W60" s="150">
        <f>IF($D60="","",IFERROR(INDEX(WBS_CBS!$K$5:$K$16,MATCH($D60,WBS_CBS!$A$5:$A$16,0)),""))</f>
        <v/>
      </c>
      <c r="X60" s="150">
        <f>IF($D60="","",IFERROR(INDEX(WBS_CBS!$F$5:$F$16,MATCH($D60,WBS_CBS!$A$5:$A$16,0)),""))</f>
        <v/>
      </c>
      <c r="Y60" s="149" t="n"/>
      <c r="Z60" s="149" t="n"/>
      <c r="AA60" s="150">
        <f>IF($D60="","",IFERROR(INDEX(WBS_CBS!$L$5:$L$16,MATCH($D60,WBS_CBS!$A$5:$A$16,0)),""))</f>
        <v/>
      </c>
      <c r="AB60" s="149" t="n"/>
    </row>
    <row r="61">
      <c r="A61" s="149" t="n"/>
      <c r="B61" s="149" t="n"/>
      <c r="C61" s="150">
        <f>IF($D61="","",IFERROR(INDEX(WBS_CBS!$E$5:$E$16,MATCH($D61,WBS_CBS!$A$5:$A$16,0)),""))</f>
        <v/>
      </c>
      <c r="D61" s="149" t="n"/>
      <c r="E61" s="150">
        <f>IF($D61="","",IFERROR(INDEX(WBS_CBS!$C$5:$C$16,MATCH($D61,WBS_CBS!$A$5:$A$16,0)),""))</f>
        <v/>
      </c>
      <c r="F61" s="150">
        <f>IF($D61="","",IFERROR(INDEX(WBS_CBS!$J$5:$J$16,MATCH($D61,WBS_CBS!$A$5:$A$16,0)),""))</f>
        <v/>
      </c>
      <c r="G61" s="149" t="n"/>
      <c r="H61" s="151" t="n"/>
      <c r="I61" s="149" t="n"/>
      <c r="J61" s="152" t="n"/>
      <c r="K61" s="149" t="n"/>
      <c r="L61" s="153">
        <f>IF($K61="","",IFERROR(INDEX(FX_Rates!$B$5:$B$14,MATCH($K61,FX_Rates!$A$5:$A$14,0)),""))</f>
        <v/>
      </c>
      <c r="M61" s="153">
        <f>IF(OR($H61="",$J61=""),"",$H61*$J61)</f>
        <v/>
      </c>
      <c r="N61" s="153">
        <f>IF(OR($M61="",$L61=""),"",$M61*$L61)</f>
        <v/>
      </c>
      <c r="O61" s="149" t="n"/>
      <c r="P61" s="154">
        <f>IF($O61="","",IFERROR(INDEX(Basis_of_Estimate!$C$5:$C$9,MATCH($O61,Basis_of_Estimate!$A$5:$A$9,0)),""))</f>
        <v/>
      </c>
      <c r="Q61" s="154">
        <f>IF($O61="","",IFERROR(INDEX(Basis_of_Estimate!$D$5:$D$9,MATCH($O61,Basis_of_Estimate!$A$5:$A$9,0)),""))</f>
        <v/>
      </c>
      <c r="R61" s="153">
        <f>IF($N61="","",$N61*(1+$P61))</f>
        <v/>
      </c>
      <c r="S61" s="153">
        <f>IF($N61="","",$N61)</f>
        <v/>
      </c>
      <c r="T61" s="153">
        <f>IF($N61="","",$N61*(1+$Q61))</f>
        <v/>
      </c>
      <c r="U61" s="150">
        <f>IF($D61="","",IFERROR(INDEX(WBS_CBS!$M$5:$M$16,MATCH($D61,WBS_CBS!$A$5:$A$16,0)),"Yes"))</f>
        <v/>
      </c>
      <c r="V61" s="150">
        <f>IF($D61="","",IFERROR(INDEX(WBS_CBS!$N$5:$N$16,MATCH($D61,WBS_CBS!$A$5:$A$16,0)),"Yes"))</f>
        <v/>
      </c>
      <c r="W61" s="150">
        <f>IF($D61="","",IFERROR(INDEX(WBS_CBS!$K$5:$K$16,MATCH($D61,WBS_CBS!$A$5:$A$16,0)),""))</f>
        <v/>
      </c>
      <c r="X61" s="150">
        <f>IF($D61="","",IFERROR(INDEX(WBS_CBS!$F$5:$F$16,MATCH($D61,WBS_CBS!$A$5:$A$16,0)),""))</f>
        <v/>
      </c>
      <c r="Y61" s="149" t="n"/>
      <c r="Z61" s="149" t="n"/>
      <c r="AA61" s="150">
        <f>IF($D61="","",IFERROR(INDEX(WBS_CBS!$L$5:$L$16,MATCH($D61,WBS_CBS!$A$5:$A$16,0)),""))</f>
        <v/>
      </c>
      <c r="AB61" s="149" t="n"/>
    </row>
    <row r="62">
      <c r="A62" s="149" t="n"/>
      <c r="B62" s="149" t="n"/>
      <c r="C62" s="150">
        <f>IF($D62="","",IFERROR(INDEX(WBS_CBS!$E$5:$E$16,MATCH($D62,WBS_CBS!$A$5:$A$16,0)),""))</f>
        <v/>
      </c>
      <c r="D62" s="149" t="n"/>
      <c r="E62" s="150">
        <f>IF($D62="","",IFERROR(INDEX(WBS_CBS!$C$5:$C$16,MATCH($D62,WBS_CBS!$A$5:$A$16,0)),""))</f>
        <v/>
      </c>
      <c r="F62" s="150">
        <f>IF($D62="","",IFERROR(INDEX(WBS_CBS!$J$5:$J$16,MATCH($D62,WBS_CBS!$A$5:$A$16,0)),""))</f>
        <v/>
      </c>
      <c r="G62" s="149" t="n"/>
      <c r="H62" s="151" t="n"/>
      <c r="I62" s="149" t="n"/>
      <c r="J62" s="152" t="n"/>
      <c r="K62" s="149" t="n"/>
      <c r="L62" s="153">
        <f>IF($K62="","",IFERROR(INDEX(FX_Rates!$B$5:$B$14,MATCH($K62,FX_Rates!$A$5:$A$14,0)),""))</f>
        <v/>
      </c>
      <c r="M62" s="153">
        <f>IF(OR($H62="",$J62=""),"",$H62*$J62)</f>
        <v/>
      </c>
      <c r="N62" s="153">
        <f>IF(OR($M62="",$L62=""),"",$M62*$L62)</f>
        <v/>
      </c>
      <c r="O62" s="149" t="n"/>
      <c r="P62" s="154">
        <f>IF($O62="","",IFERROR(INDEX(Basis_of_Estimate!$C$5:$C$9,MATCH($O62,Basis_of_Estimate!$A$5:$A$9,0)),""))</f>
        <v/>
      </c>
      <c r="Q62" s="154">
        <f>IF($O62="","",IFERROR(INDEX(Basis_of_Estimate!$D$5:$D$9,MATCH($O62,Basis_of_Estimate!$A$5:$A$9,0)),""))</f>
        <v/>
      </c>
      <c r="R62" s="153">
        <f>IF($N62="","",$N62*(1+$P62))</f>
        <v/>
      </c>
      <c r="S62" s="153">
        <f>IF($N62="","",$N62)</f>
        <v/>
      </c>
      <c r="T62" s="153">
        <f>IF($N62="","",$N62*(1+$Q62))</f>
        <v/>
      </c>
      <c r="U62" s="150">
        <f>IF($D62="","",IFERROR(INDEX(WBS_CBS!$M$5:$M$16,MATCH($D62,WBS_CBS!$A$5:$A$16,0)),"Yes"))</f>
        <v/>
      </c>
      <c r="V62" s="150">
        <f>IF($D62="","",IFERROR(INDEX(WBS_CBS!$N$5:$N$16,MATCH($D62,WBS_CBS!$A$5:$A$16,0)),"Yes"))</f>
        <v/>
      </c>
      <c r="W62" s="150">
        <f>IF($D62="","",IFERROR(INDEX(WBS_CBS!$K$5:$K$16,MATCH($D62,WBS_CBS!$A$5:$A$16,0)),""))</f>
        <v/>
      </c>
      <c r="X62" s="150">
        <f>IF($D62="","",IFERROR(INDEX(WBS_CBS!$F$5:$F$16,MATCH($D62,WBS_CBS!$A$5:$A$16,0)),""))</f>
        <v/>
      </c>
      <c r="Y62" s="149" t="n"/>
      <c r="Z62" s="149" t="n"/>
      <c r="AA62" s="150">
        <f>IF($D62="","",IFERROR(INDEX(WBS_CBS!$L$5:$L$16,MATCH($D62,WBS_CBS!$A$5:$A$16,0)),""))</f>
        <v/>
      </c>
      <c r="AB62" s="149" t="n"/>
    </row>
    <row r="63">
      <c r="A63" s="149" t="n"/>
      <c r="B63" s="149" t="n"/>
      <c r="C63" s="150">
        <f>IF($D63="","",IFERROR(INDEX(WBS_CBS!$E$5:$E$16,MATCH($D63,WBS_CBS!$A$5:$A$16,0)),""))</f>
        <v/>
      </c>
      <c r="D63" s="149" t="n"/>
      <c r="E63" s="150">
        <f>IF($D63="","",IFERROR(INDEX(WBS_CBS!$C$5:$C$16,MATCH($D63,WBS_CBS!$A$5:$A$16,0)),""))</f>
        <v/>
      </c>
      <c r="F63" s="150">
        <f>IF($D63="","",IFERROR(INDEX(WBS_CBS!$J$5:$J$16,MATCH($D63,WBS_CBS!$A$5:$A$16,0)),""))</f>
        <v/>
      </c>
      <c r="G63" s="149" t="n"/>
      <c r="H63" s="151" t="n"/>
      <c r="I63" s="149" t="n"/>
      <c r="J63" s="152" t="n"/>
      <c r="K63" s="149" t="n"/>
      <c r="L63" s="153">
        <f>IF($K63="","",IFERROR(INDEX(FX_Rates!$B$5:$B$14,MATCH($K63,FX_Rates!$A$5:$A$14,0)),""))</f>
        <v/>
      </c>
      <c r="M63" s="153">
        <f>IF(OR($H63="",$J63=""),"",$H63*$J63)</f>
        <v/>
      </c>
      <c r="N63" s="153">
        <f>IF(OR($M63="",$L63=""),"",$M63*$L63)</f>
        <v/>
      </c>
      <c r="O63" s="149" t="n"/>
      <c r="P63" s="154">
        <f>IF($O63="","",IFERROR(INDEX(Basis_of_Estimate!$C$5:$C$9,MATCH($O63,Basis_of_Estimate!$A$5:$A$9,0)),""))</f>
        <v/>
      </c>
      <c r="Q63" s="154">
        <f>IF($O63="","",IFERROR(INDEX(Basis_of_Estimate!$D$5:$D$9,MATCH($O63,Basis_of_Estimate!$A$5:$A$9,0)),""))</f>
        <v/>
      </c>
      <c r="R63" s="153">
        <f>IF($N63="","",$N63*(1+$P63))</f>
        <v/>
      </c>
      <c r="S63" s="153">
        <f>IF($N63="","",$N63)</f>
        <v/>
      </c>
      <c r="T63" s="153">
        <f>IF($N63="","",$N63*(1+$Q63))</f>
        <v/>
      </c>
      <c r="U63" s="150">
        <f>IF($D63="","",IFERROR(INDEX(WBS_CBS!$M$5:$M$16,MATCH($D63,WBS_CBS!$A$5:$A$16,0)),"Yes"))</f>
        <v/>
      </c>
      <c r="V63" s="150">
        <f>IF($D63="","",IFERROR(INDEX(WBS_CBS!$N$5:$N$16,MATCH($D63,WBS_CBS!$A$5:$A$16,0)),"Yes"))</f>
        <v/>
      </c>
      <c r="W63" s="150">
        <f>IF($D63="","",IFERROR(INDEX(WBS_CBS!$K$5:$K$16,MATCH($D63,WBS_CBS!$A$5:$A$16,0)),""))</f>
        <v/>
      </c>
      <c r="X63" s="150">
        <f>IF($D63="","",IFERROR(INDEX(WBS_CBS!$F$5:$F$16,MATCH($D63,WBS_CBS!$A$5:$A$16,0)),""))</f>
        <v/>
      </c>
      <c r="Y63" s="149" t="n"/>
      <c r="Z63" s="149" t="n"/>
      <c r="AA63" s="150">
        <f>IF($D63="","",IFERROR(INDEX(WBS_CBS!$L$5:$L$16,MATCH($D63,WBS_CBS!$A$5:$A$16,0)),""))</f>
        <v/>
      </c>
      <c r="AB63" s="149" t="n"/>
    </row>
    <row r="64">
      <c r="A64" s="149" t="n"/>
      <c r="B64" s="149" t="n"/>
      <c r="C64" s="150">
        <f>IF($D64="","",IFERROR(INDEX(WBS_CBS!$E$5:$E$16,MATCH($D64,WBS_CBS!$A$5:$A$16,0)),""))</f>
        <v/>
      </c>
      <c r="D64" s="149" t="n"/>
      <c r="E64" s="150">
        <f>IF($D64="","",IFERROR(INDEX(WBS_CBS!$C$5:$C$16,MATCH($D64,WBS_CBS!$A$5:$A$16,0)),""))</f>
        <v/>
      </c>
      <c r="F64" s="150">
        <f>IF($D64="","",IFERROR(INDEX(WBS_CBS!$J$5:$J$16,MATCH($D64,WBS_CBS!$A$5:$A$16,0)),""))</f>
        <v/>
      </c>
      <c r="G64" s="149" t="n"/>
      <c r="H64" s="151" t="n"/>
      <c r="I64" s="149" t="n"/>
      <c r="J64" s="152" t="n"/>
      <c r="K64" s="149" t="n"/>
      <c r="L64" s="153">
        <f>IF($K64="","",IFERROR(INDEX(FX_Rates!$B$5:$B$14,MATCH($K64,FX_Rates!$A$5:$A$14,0)),""))</f>
        <v/>
      </c>
      <c r="M64" s="153">
        <f>IF(OR($H64="",$J64=""),"",$H64*$J64)</f>
        <v/>
      </c>
      <c r="N64" s="153">
        <f>IF(OR($M64="",$L64=""),"",$M64*$L64)</f>
        <v/>
      </c>
      <c r="O64" s="149" t="n"/>
      <c r="P64" s="154">
        <f>IF($O64="","",IFERROR(INDEX(Basis_of_Estimate!$C$5:$C$9,MATCH($O64,Basis_of_Estimate!$A$5:$A$9,0)),""))</f>
        <v/>
      </c>
      <c r="Q64" s="154">
        <f>IF($O64="","",IFERROR(INDEX(Basis_of_Estimate!$D$5:$D$9,MATCH($O64,Basis_of_Estimate!$A$5:$A$9,0)),""))</f>
        <v/>
      </c>
      <c r="R64" s="153">
        <f>IF($N64="","",$N64*(1+$P64))</f>
        <v/>
      </c>
      <c r="S64" s="153">
        <f>IF($N64="","",$N64)</f>
        <v/>
      </c>
      <c r="T64" s="153">
        <f>IF($N64="","",$N64*(1+$Q64))</f>
        <v/>
      </c>
      <c r="U64" s="150">
        <f>IF($D64="","",IFERROR(INDEX(WBS_CBS!$M$5:$M$16,MATCH($D64,WBS_CBS!$A$5:$A$16,0)),"Yes"))</f>
        <v/>
      </c>
      <c r="V64" s="150">
        <f>IF($D64="","",IFERROR(INDEX(WBS_CBS!$N$5:$N$16,MATCH($D64,WBS_CBS!$A$5:$A$16,0)),"Yes"))</f>
        <v/>
      </c>
      <c r="W64" s="150">
        <f>IF($D64="","",IFERROR(INDEX(WBS_CBS!$K$5:$K$16,MATCH($D64,WBS_CBS!$A$5:$A$16,0)),""))</f>
        <v/>
      </c>
      <c r="X64" s="150">
        <f>IF($D64="","",IFERROR(INDEX(WBS_CBS!$F$5:$F$16,MATCH($D64,WBS_CBS!$A$5:$A$16,0)),""))</f>
        <v/>
      </c>
      <c r="Y64" s="149" t="n"/>
      <c r="Z64" s="149" t="n"/>
      <c r="AA64" s="150">
        <f>IF($D64="","",IFERROR(INDEX(WBS_CBS!$L$5:$L$16,MATCH($D64,WBS_CBS!$A$5:$A$16,0)),""))</f>
        <v/>
      </c>
      <c r="AB64" s="149" t="n"/>
    </row>
    <row r="65">
      <c r="A65" s="149" t="n"/>
      <c r="B65" s="149" t="n"/>
      <c r="C65" s="150">
        <f>IF($D65="","",IFERROR(INDEX(WBS_CBS!$E$5:$E$16,MATCH($D65,WBS_CBS!$A$5:$A$16,0)),""))</f>
        <v/>
      </c>
      <c r="D65" s="149" t="n"/>
      <c r="E65" s="150">
        <f>IF($D65="","",IFERROR(INDEX(WBS_CBS!$C$5:$C$16,MATCH($D65,WBS_CBS!$A$5:$A$16,0)),""))</f>
        <v/>
      </c>
      <c r="F65" s="150">
        <f>IF($D65="","",IFERROR(INDEX(WBS_CBS!$J$5:$J$16,MATCH($D65,WBS_CBS!$A$5:$A$16,0)),""))</f>
        <v/>
      </c>
      <c r="G65" s="149" t="n"/>
      <c r="H65" s="151" t="n"/>
      <c r="I65" s="149" t="n"/>
      <c r="J65" s="152" t="n"/>
      <c r="K65" s="149" t="n"/>
      <c r="L65" s="153">
        <f>IF($K65="","",IFERROR(INDEX(FX_Rates!$B$5:$B$14,MATCH($K65,FX_Rates!$A$5:$A$14,0)),""))</f>
        <v/>
      </c>
      <c r="M65" s="153">
        <f>IF(OR($H65="",$J65=""),"",$H65*$J65)</f>
        <v/>
      </c>
      <c r="N65" s="153">
        <f>IF(OR($M65="",$L65=""),"",$M65*$L65)</f>
        <v/>
      </c>
      <c r="O65" s="149" t="n"/>
      <c r="P65" s="154">
        <f>IF($O65="","",IFERROR(INDEX(Basis_of_Estimate!$C$5:$C$9,MATCH($O65,Basis_of_Estimate!$A$5:$A$9,0)),""))</f>
        <v/>
      </c>
      <c r="Q65" s="154">
        <f>IF($O65="","",IFERROR(INDEX(Basis_of_Estimate!$D$5:$D$9,MATCH($O65,Basis_of_Estimate!$A$5:$A$9,0)),""))</f>
        <v/>
      </c>
      <c r="R65" s="153">
        <f>IF($N65="","",$N65*(1+$P65))</f>
        <v/>
      </c>
      <c r="S65" s="153">
        <f>IF($N65="","",$N65)</f>
        <v/>
      </c>
      <c r="T65" s="153">
        <f>IF($N65="","",$N65*(1+$Q65))</f>
        <v/>
      </c>
      <c r="U65" s="150">
        <f>IF($D65="","",IFERROR(INDEX(WBS_CBS!$M$5:$M$16,MATCH($D65,WBS_CBS!$A$5:$A$16,0)),"Yes"))</f>
        <v/>
      </c>
      <c r="V65" s="150">
        <f>IF($D65="","",IFERROR(INDEX(WBS_CBS!$N$5:$N$16,MATCH($D65,WBS_CBS!$A$5:$A$16,0)),"Yes"))</f>
        <v/>
      </c>
      <c r="W65" s="150">
        <f>IF($D65="","",IFERROR(INDEX(WBS_CBS!$K$5:$K$16,MATCH($D65,WBS_CBS!$A$5:$A$16,0)),""))</f>
        <v/>
      </c>
      <c r="X65" s="150">
        <f>IF($D65="","",IFERROR(INDEX(WBS_CBS!$F$5:$F$16,MATCH($D65,WBS_CBS!$A$5:$A$16,0)),""))</f>
        <v/>
      </c>
      <c r="Y65" s="149" t="n"/>
      <c r="Z65" s="149" t="n"/>
      <c r="AA65" s="150">
        <f>IF($D65="","",IFERROR(INDEX(WBS_CBS!$L$5:$L$16,MATCH($D65,WBS_CBS!$A$5:$A$16,0)),""))</f>
        <v/>
      </c>
      <c r="AB65" s="149" t="n"/>
    </row>
    <row r="66">
      <c r="A66" s="149" t="n"/>
      <c r="B66" s="149" t="n"/>
      <c r="C66" s="150">
        <f>IF($D66="","",IFERROR(INDEX(WBS_CBS!$E$5:$E$16,MATCH($D66,WBS_CBS!$A$5:$A$16,0)),""))</f>
        <v/>
      </c>
      <c r="D66" s="149" t="n"/>
      <c r="E66" s="150">
        <f>IF($D66="","",IFERROR(INDEX(WBS_CBS!$C$5:$C$16,MATCH($D66,WBS_CBS!$A$5:$A$16,0)),""))</f>
        <v/>
      </c>
      <c r="F66" s="150">
        <f>IF($D66="","",IFERROR(INDEX(WBS_CBS!$J$5:$J$16,MATCH($D66,WBS_CBS!$A$5:$A$16,0)),""))</f>
        <v/>
      </c>
      <c r="G66" s="149" t="n"/>
      <c r="H66" s="151" t="n"/>
      <c r="I66" s="149" t="n"/>
      <c r="J66" s="152" t="n"/>
      <c r="K66" s="149" t="n"/>
      <c r="L66" s="153">
        <f>IF($K66="","",IFERROR(INDEX(FX_Rates!$B$5:$B$14,MATCH($K66,FX_Rates!$A$5:$A$14,0)),""))</f>
        <v/>
      </c>
      <c r="M66" s="153">
        <f>IF(OR($H66="",$J66=""),"",$H66*$J66)</f>
        <v/>
      </c>
      <c r="N66" s="153">
        <f>IF(OR($M66="",$L66=""),"",$M66*$L66)</f>
        <v/>
      </c>
      <c r="O66" s="149" t="n"/>
      <c r="P66" s="154">
        <f>IF($O66="","",IFERROR(INDEX(Basis_of_Estimate!$C$5:$C$9,MATCH($O66,Basis_of_Estimate!$A$5:$A$9,0)),""))</f>
        <v/>
      </c>
      <c r="Q66" s="154">
        <f>IF($O66="","",IFERROR(INDEX(Basis_of_Estimate!$D$5:$D$9,MATCH($O66,Basis_of_Estimate!$A$5:$A$9,0)),""))</f>
        <v/>
      </c>
      <c r="R66" s="153">
        <f>IF($N66="","",$N66*(1+$P66))</f>
        <v/>
      </c>
      <c r="S66" s="153">
        <f>IF($N66="","",$N66)</f>
        <v/>
      </c>
      <c r="T66" s="153">
        <f>IF($N66="","",$N66*(1+$Q66))</f>
        <v/>
      </c>
      <c r="U66" s="150">
        <f>IF($D66="","",IFERROR(INDEX(WBS_CBS!$M$5:$M$16,MATCH($D66,WBS_CBS!$A$5:$A$16,0)),"Yes"))</f>
        <v/>
      </c>
      <c r="V66" s="150">
        <f>IF($D66="","",IFERROR(INDEX(WBS_CBS!$N$5:$N$16,MATCH($D66,WBS_CBS!$A$5:$A$16,0)),"Yes"))</f>
        <v/>
      </c>
      <c r="W66" s="150">
        <f>IF($D66="","",IFERROR(INDEX(WBS_CBS!$K$5:$K$16,MATCH($D66,WBS_CBS!$A$5:$A$16,0)),""))</f>
        <v/>
      </c>
      <c r="X66" s="150">
        <f>IF($D66="","",IFERROR(INDEX(WBS_CBS!$F$5:$F$16,MATCH($D66,WBS_CBS!$A$5:$A$16,0)),""))</f>
        <v/>
      </c>
      <c r="Y66" s="149" t="n"/>
      <c r="Z66" s="149" t="n"/>
      <c r="AA66" s="150">
        <f>IF($D66="","",IFERROR(INDEX(WBS_CBS!$L$5:$L$16,MATCH($D66,WBS_CBS!$A$5:$A$16,0)),""))</f>
        <v/>
      </c>
      <c r="AB66" s="149" t="n"/>
    </row>
    <row r="67">
      <c r="A67" s="149" t="n"/>
      <c r="B67" s="149" t="n"/>
      <c r="C67" s="150">
        <f>IF($D67="","",IFERROR(INDEX(WBS_CBS!$E$5:$E$16,MATCH($D67,WBS_CBS!$A$5:$A$16,0)),""))</f>
        <v/>
      </c>
      <c r="D67" s="149" t="n"/>
      <c r="E67" s="150">
        <f>IF($D67="","",IFERROR(INDEX(WBS_CBS!$C$5:$C$16,MATCH($D67,WBS_CBS!$A$5:$A$16,0)),""))</f>
        <v/>
      </c>
      <c r="F67" s="150">
        <f>IF($D67="","",IFERROR(INDEX(WBS_CBS!$J$5:$J$16,MATCH($D67,WBS_CBS!$A$5:$A$16,0)),""))</f>
        <v/>
      </c>
      <c r="G67" s="149" t="n"/>
      <c r="H67" s="151" t="n"/>
      <c r="I67" s="149" t="n"/>
      <c r="J67" s="152" t="n"/>
      <c r="K67" s="149" t="n"/>
      <c r="L67" s="153">
        <f>IF($K67="","",IFERROR(INDEX(FX_Rates!$B$5:$B$14,MATCH($K67,FX_Rates!$A$5:$A$14,0)),""))</f>
        <v/>
      </c>
      <c r="M67" s="153">
        <f>IF(OR($H67="",$J67=""),"",$H67*$J67)</f>
        <v/>
      </c>
      <c r="N67" s="153">
        <f>IF(OR($M67="",$L67=""),"",$M67*$L67)</f>
        <v/>
      </c>
      <c r="O67" s="149" t="n"/>
      <c r="P67" s="154">
        <f>IF($O67="","",IFERROR(INDEX(Basis_of_Estimate!$C$5:$C$9,MATCH($O67,Basis_of_Estimate!$A$5:$A$9,0)),""))</f>
        <v/>
      </c>
      <c r="Q67" s="154">
        <f>IF($O67="","",IFERROR(INDEX(Basis_of_Estimate!$D$5:$D$9,MATCH($O67,Basis_of_Estimate!$A$5:$A$9,0)),""))</f>
        <v/>
      </c>
      <c r="R67" s="153">
        <f>IF($N67="","",$N67*(1+$P67))</f>
        <v/>
      </c>
      <c r="S67" s="153">
        <f>IF($N67="","",$N67)</f>
        <v/>
      </c>
      <c r="T67" s="153">
        <f>IF($N67="","",$N67*(1+$Q67))</f>
        <v/>
      </c>
      <c r="U67" s="150">
        <f>IF($D67="","",IFERROR(INDEX(WBS_CBS!$M$5:$M$16,MATCH($D67,WBS_CBS!$A$5:$A$16,0)),"Yes"))</f>
        <v/>
      </c>
      <c r="V67" s="150">
        <f>IF($D67="","",IFERROR(INDEX(WBS_CBS!$N$5:$N$16,MATCH($D67,WBS_CBS!$A$5:$A$16,0)),"Yes"))</f>
        <v/>
      </c>
      <c r="W67" s="150">
        <f>IF($D67="","",IFERROR(INDEX(WBS_CBS!$K$5:$K$16,MATCH($D67,WBS_CBS!$A$5:$A$16,0)),""))</f>
        <v/>
      </c>
      <c r="X67" s="150">
        <f>IF($D67="","",IFERROR(INDEX(WBS_CBS!$F$5:$F$16,MATCH($D67,WBS_CBS!$A$5:$A$16,0)),""))</f>
        <v/>
      </c>
      <c r="Y67" s="149" t="n"/>
      <c r="Z67" s="149" t="n"/>
      <c r="AA67" s="150">
        <f>IF($D67="","",IFERROR(INDEX(WBS_CBS!$L$5:$L$16,MATCH($D67,WBS_CBS!$A$5:$A$16,0)),""))</f>
        <v/>
      </c>
      <c r="AB67" s="149" t="n"/>
    </row>
    <row r="68">
      <c r="A68" s="149" t="n"/>
      <c r="B68" s="149" t="n"/>
      <c r="C68" s="150">
        <f>IF($D68="","",IFERROR(INDEX(WBS_CBS!$E$5:$E$16,MATCH($D68,WBS_CBS!$A$5:$A$16,0)),""))</f>
        <v/>
      </c>
      <c r="D68" s="149" t="n"/>
      <c r="E68" s="150">
        <f>IF($D68="","",IFERROR(INDEX(WBS_CBS!$C$5:$C$16,MATCH($D68,WBS_CBS!$A$5:$A$16,0)),""))</f>
        <v/>
      </c>
      <c r="F68" s="150">
        <f>IF($D68="","",IFERROR(INDEX(WBS_CBS!$J$5:$J$16,MATCH($D68,WBS_CBS!$A$5:$A$16,0)),""))</f>
        <v/>
      </c>
      <c r="G68" s="149" t="n"/>
      <c r="H68" s="151" t="n"/>
      <c r="I68" s="149" t="n"/>
      <c r="J68" s="152" t="n"/>
      <c r="K68" s="149" t="n"/>
      <c r="L68" s="153">
        <f>IF($K68="","",IFERROR(INDEX(FX_Rates!$B$5:$B$14,MATCH($K68,FX_Rates!$A$5:$A$14,0)),""))</f>
        <v/>
      </c>
      <c r="M68" s="153">
        <f>IF(OR($H68="",$J68=""),"",$H68*$J68)</f>
        <v/>
      </c>
      <c r="N68" s="153">
        <f>IF(OR($M68="",$L68=""),"",$M68*$L68)</f>
        <v/>
      </c>
      <c r="O68" s="149" t="n"/>
      <c r="P68" s="154">
        <f>IF($O68="","",IFERROR(INDEX(Basis_of_Estimate!$C$5:$C$9,MATCH($O68,Basis_of_Estimate!$A$5:$A$9,0)),""))</f>
        <v/>
      </c>
      <c r="Q68" s="154">
        <f>IF($O68="","",IFERROR(INDEX(Basis_of_Estimate!$D$5:$D$9,MATCH($O68,Basis_of_Estimate!$A$5:$A$9,0)),""))</f>
        <v/>
      </c>
      <c r="R68" s="153">
        <f>IF($N68="","",$N68*(1+$P68))</f>
        <v/>
      </c>
      <c r="S68" s="153">
        <f>IF($N68="","",$N68)</f>
        <v/>
      </c>
      <c r="T68" s="153">
        <f>IF($N68="","",$N68*(1+$Q68))</f>
        <v/>
      </c>
      <c r="U68" s="150">
        <f>IF($D68="","",IFERROR(INDEX(WBS_CBS!$M$5:$M$16,MATCH($D68,WBS_CBS!$A$5:$A$16,0)),"Yes"))</f>
        <v/>
      </c>
      <c r="V68" s="150">
        <f>IF($D68="","",IFERROR(INDEX(WBS_CBS!$N$5:$N$16,MATCH($D68,WBS_CBS!$A$5:$A$16,0)),"Yes"))</f>
        <v/>
      </c>
      <c r="W68" s="150">
        <f>IF($D68="","",IFERROR(INDEX(WBS_CBS!$K$5:$K$16,MATCH($D68,WBS_CBS!$A$5:$A$16,0)),""))</f>
        <v/>
      </c>
      <c r="X68" s="150">
        <f>IF($D68="","",IFERROR(INDEX(WBS_CBS!$F$5:$F$16,MATCH($D68,WBS_CBS!$A$5:$A$16,0)),""))</f>
        <v/>
      </c>
      <c r="Y68" s="149" t="n"/>
      <c r="Z68" s="149" t="n"/>
      <c r="AA68" s="150">
        <f>IF($D68="","",IFERROR(INDEX(WBS_CBS!$L$5:$L$16,MATCH($D68,WBS_CBS!$A$5:$A$16,0)),""))</f>
        <v/>
      </c>
      <c r="AB68" s="149" t="n"/>
    </row>
    <row r="69">
      <c r="A69" s="149" t="n"/>
      <c r="B69" s="149" t="n"/>
      <c r="C69" s="150">
        <f>IF($D69="","",IFERROR(INDEX(WBS_CBS!$E$5:$E$16,MATCH($D69,WBS_CBS!$A$5:$A$16,0)),""))</f>
        <v/>
      </c>
      <c r="D69" s="149" t="n"/>
      <c r="E69" s="150">
        <f>IF($D69="","",IFERROR(INDEX(WBS_CBS!$C$5:$C$16,MATCH($D69,WBS_CBS!$A$5:$A$16,0)),""))</f>
        <v/>
      </c>
      <c r="F69" s="150">
        <f>IF($D69="","",IFERROR(INDEX(WBS_CBS!$J$5:$J$16,MATCH($D69,WBS_CBS!$A$5:$A$16,0)),""))</f>
        <v/>
      </c>
      <c r="G69" s="149" t="n"/>
      <c r="H69" s="151" t="n"/>
      <c r="I69" s="149" t="n"/>
      <c r="J69" s="152" t="n"/>
      <c r="K69" s="149" t="n"/>
      <c r="L69" s="153">
        <f>IF($K69="","",IFERROR(INDEX(FX_Rates!$B$5:$B$14,MATCH($K69,FX_Rates!$A$5:$A$14,0)),""))</f>
        <v/>
      </c>
      <c r="M69" s="153">
        <f>IF(OR($H69="",$J69=""),"",$H69*$J69)</f>
        <v/>
      </c>
      <c r="N69" s="153">
        <f>IF(OR($M69="",$L69=""),"",$M69*$L69)</f>
        <v/>
      </c>
      <c r="O69" s="149" t="n"/>
      <c r="P69" s="154">
        <f>IF($O69="","",IFERROR(INDEX(Basis_of_Estimate!$C$5:$C$9,MATCH($O69,Basis_of_Estimate!$A$5:$A$9,0)),""))</f>
        <v/>
      </c>
      <c r="Q69" s="154">
        <f>IF($O69="","",IFERROR(INDEX(Basis_of_Estimate!$D$5:$D$9,MATCH($O69,Basis_of_Estimate!$A$5:$A$9,0)),""))</f>
        <v/>
      </c>
      <c r="R69" s="153">
        <f>IF($N69="","",$N69*(1+$P69))</f>
        <v/>
      </c>
      <c r="S69" s="153">
        <f>IF($N69="","",$N69)</f>
        <v/>
      </c>
      <c r="T69" s="153">
        <f>IF($N69="","",$N69*(1+$Q69))</f>
        <v/>
      </c>
      <c r="U69" s="150">
        <f>IF($D69="","",IFERROR(INDEX(WBS_CBS!$M$5:$M$16,MATCH($D69,WBS_CBS!$A$5:$A$16,0)),"Yes"))</f>
        <v/>
      </c>
      <c r="V69" s="150">
        <f>IF($D69="","",IFERROR(INDEX(WBS_CBS!$N$5:$N$16,MATCH($D69,WBS_CBS!$A$5:$A$16,0)),"Yes"))</f>
        <v/>
      </c>
      <c r="W69" s="150">
        <f>IF($D69="","",IFERROR(INDEX(WBS_CBS!$K$5:$K$16,MATCH($D69,WBS_CBS!$A$5:$A$16,0)),""))</f>
        <v/>
      </c>
      <c r="X69" s="150">
        <f>IF($D69="","",IFERROR(INDEX(WBS_CBS!$F$5:$F$16,MATCH($D69,WBS_CBS!$A$5:$A$16,0)),""))</f>
        <v/>
      </c>
      <c r="Y69" s="149" t="n"/>
      <c r="Z69" s="149" t="n"/>
      <c r="AA69" s="150">
        <f>IF($D69="","",IFERROR(INDEX(WBS_CBS!$L$5:$L$16,MATCH($D69,WBS_CBS!$A$5:$A$16,0)),""))</f>
        <v/>
      </c>
      <c r="AB69" s="149" t="n"/>
    </row>
    <row r="70">
      <c r="A70" s="149" t="n"/>
      <c r="B70" s="149" t="n"/>
      <c r="C70" s="150">
        <f>IF($D70="","",IFERROR(INDEX(WBS_CBS!$E$5:$E$16,MATCH($D70,WBS_CBS!$A$5:$A$16,0)),""))</f>
        <v/>
      </c>
      <c r="D70" s="149" t="n"/>
      <c r="E70" s="150">
        <f>IF($D70="","",IFERROR(INDEX(WBS_CBS!$C$5:$C$16,MATCH($D70,WBS_CBS!$A$5:$A$16,0)),""))</f>
        <v/>
      </c>
      <c r="F70" s="150">
        <f>IF($D70="","",IFERROR(INDEX(WBS_CBS!$J$5:$J$16,MATCH($D70,WBS_CBS!$A$5:$A$16,0)),""))</f>
        <v/>
      </c>
      <c r="G70" s="149" t="n"/>
      <c r="H70" s="151" t="n"/>
      <c r="I70" s="149" t="n"/>
      <c r="J70" s="152" t="n"/>
      <c r="K70" s="149" t="n"/>
      <c r="L70" s="153">
        <f>IF($K70="","",IFERROR(INDEX(FX_Rates!$B$5:$B$14,MATCH($K70,FX_Rates!$A$5:$A$14,0)),""))</f>
        <v/>
      </c>
      <c r="M70" s="153">
        <f>IF(OR($H70="",$J70=""),"",$H70*$J70)</f>
        <v/>
      </c>
      <c r="N70" s="153">
        <f>IF(OR($M70="",$L70=""),"",$M70*$L70)</f>
        <v/>
      </c>
      <c r="O70" s="149" t="n"/>
      <c r="P70" s="154">
        <f>IF($O70="","",IFERROR(INDEX(Basis_of_Estimate!$C$5:$C$9,MATCH($O70,Basis_of_Estimate!$A$5:$A$9,0)),""))</f>
        <v/>
      </c>
      <c r="Q70" s="154">
        <f>IF($O70="","",IFERROR(INDEX(Basis_of_Estimate!$D$5:$D$9,MATCH($O70,Basis_of_Estimate!$A$5:$A$9,0)),""))</f>
        <v/>
      </c>
      <c r="R70" s="153">
        <f>IF($N70="","",$N70*(1+$P70))</f>
        <v/>
      </c>
      <c r="S70" s="153">
        <f>IF($N70="","",$N70)</f>
        <v/>
      </c>
      <c r="T70" s="153">
        <f>IF($N70="","",$N70*(1+$Q70))</f>
        <v/>
      </c>
      <c r="U70" s="150">
        <f>IF($D70="","",IFERROR(INDEX(WBS_CBS!$M$5:$M$16,MATCH($D70,WBS_CBS!$A$5:$A$16,0)),"Yes"))</f>
        <v/>
      </c>
      <c r="V70" s="150">
        <f>IF($D70="","",IFERROR(INDEX(WBS_CBS!$N$5:$N$16,MATCH($D70,WBS_CBS!$A$5:$A$16,0)),"Yes"))</f>
        <v/>
      </c>
      <c r="W70" s="150">
        <f>IF($D70="","",IFERROR(INDEX(WBS_CBS!$K$5:$K$16,MATCH($D70,WBS_CBS!$A$5:$A$16,0)),""))</f>
        <v/>
      </c>
      <c r="X70" s="150">
        <f>IF($D70="","",IFERROR(INDEX(WBS_CBS!$F$5:$F$16,MATCH($D70,WBS_CBS!$A$5:$A$16,0)),""))</f>
        <v/>
      </c>
      <c r="Y70" s="149" t="n"/>
      <c r="Z70" s="149" t="n"/>
      <c r="AA70" s="150">
        <f>IF($D70="","",IFERROR(INDEX(WBS_CBS!$L$5:$L$16,MATCH($D70,WBS_CBS!$A$5:$A$16,0)),""))</f>
        <v/>
      </c>
      <c r="AB70" s="149" t="n"/>
    </row>
    <row r="71">
      <c r="A71" s="149" t="n"/>
      <c r="B71" s="149" t="n"/>
      <c r="C71" s="150">
        <f>IF($D71="","",IFERROR(INDEX(WBS_CBS!$E$5:$E$16,MATCH($D71,WBS_CBS!$A$5:$A$16,0)),""))</f>
        <v/>
      </c>
      <c r="D71" s="149" t="n"/>
      <c r="E71" s="150">
        <f>IF($D71="","",IFERROR(INDEX(WBS_CBS!$C$5:$C$16,MATCH($D71,WBS_CBS!$A$5:$A$16,0)),""))</f>
        <v/>
      </c>
      <c r="F71" s="150">
        <f>IF($D71="","",IFERROR(INDEX(WBS_CBS!$J$5:$J$16,MATCH($D71,WBS_CBS!$A$5:$A$16,0)),""))</f>
        <v/>
      </c>
      <c r="G71" s="149" t="n"/>
      <c r="H71" s="151" t="n"/>
      <c r="I71" s="149" t="n"/>
      <c r="J71" s="152" t="n"/>
      <c r="K71" s="149" t="n"/>
      <c r="L71" s="153">
        <f>IF($K71="","",IFERROR(INDEX(FX_Rates!$B$5:$B$14,MATCH($K71,FX_Rates!$A$5:$A$14,0)),""))</f>
        <v/>
      </c>
      <c r="M71" s="153">
        <f>IF(OR($H71="",$J71=""),"",$H71*$J71)</f>
        <v/>
      </c>
      <c r="N71" s="153">
        <f>IF(OR($M71="",$L71=""),"",$M71*$L71)</f>
        <v/>
      </c>
      <c r="O71" s="149" t="n"/>
      <c r="P71" s="154">
        <f>IF($O71="","",IFERROR(INDEX(Basis_of_Estimate!$C$5:$C$9,MATCH($O71,Basis_of_Estimate!$A$5:$A$9,0)),""))</f>
        <v/>
      </c>
      <c r="Q71" s="154">
        <f>IF($O71="","",IFERROR(INDEX(Basis_of_Estimate!$D$5:$D$9,MATCH($O71,Basis_of_Estimate!$A$5:$A$9,0)),""))</f>
        <v/>
      </c>
      <c r="R71" s="153">
        <f>IF($N71="","",$N71*(1+$P71))</f>
        <v/>
      </c>
      <c r="S71" s="153">
        <f>IF($N71="","",$N71)</f>
        <v/>
      </c>
      <c r="T71" s="153">
        <f>IF($N71="","",$N71*(1+$Q71))</f>
        <v/>
      </c>
      <c r="U71" s="150">
        <f>IF($D71="","",IFERROR(INDEX(WBS_CBS!$M$5:$M$16,MATCH($D71,WBS_CBS!$A$5:$A$16,0)),"Yes"))</f>
        <v/>
      </c>
      <c r="V71" s="150">
        <f>IF($D71="","",IFERROR(INDEX(WBS_CBS!$N$5:$N$16,MATCH($D71,WBS_CBS!$A$5:$A$16,0)),"Yes"))</f>
        <v/>
      </c>
      <c r="W71" s="150">
        <f>IF($D71="","",IFERROR(INDEX(WBS_CBS!$K$5:$K$16,MATCH($D71,WBS_CBS!$A$5:$A$16,0)),""))</f>
        <v/>
      </c>
      <c r="X71" s="150">
        <f>IF($D71="","",IFERROR(INDEX(WBS_CBS!$F$5:$F$16,MATCH($D71,WBS_CBS!$A$5:$A$16,0)),""))</f>
        <v/>
      </c>
      <c r="Y71" s="149" t="n"/>
      <c r="Z71" s="149" t="n"/>
      <c r="AA71" s="150">
        <f>IF($D71="","",IFERROR(INDEX(WBS_CBS!$L$5:$L$16,MATCH($D71,WBS_CBS!$A$5:$A$16,0)),""))</f>
        <v/>
      </c>
      <c r="AB71" s="149" t="n"/>
    </row>
    <row r="72">
      <c r="A72" s="149" t="n"/>
      <c r="B72" s="149" t="n"/>
      <c r="C72" s="150">
        <f>IF($D72="","",IFERROR(INDEX(WBS_CBS!$E$5:$E$16,MATCH($D72,WBS_CBS!$A$5:$A$16,0)),""))</f>
        <v/>
      </c>
      <c r="D72" s="149" t="n"/>
      <c r="E72" s="150">
        <f>IF($D72="","",IFERROR(INDEX(WBS_CBS!$C$5:$C$16,MATCH($D72,WBS_CBS!$A$5:$A$16,0)),""))</f>
        <v/>
      </c>
      <c r="F72" s="150">
        <f>IF($D72="","",IFERROR(INDEX(WBS_CBS!$J$5:$J$16,MATCH($D72,WBS_CBS!$A$5:$A$16,0)),""))</f>
        <v/>
      </c>
      <c r="G72" s="149" t="n"/>
      <c r="H72" s="151" t="n"/>
      <c r="I72" s="149" t="n"/>
      <c r="J72" s="152" t="n"/>
      <c r="K72" s="149" t="n"/>
      <c r="L72" s="153">
        <f>IF($K72="","",IFERROR(INDEX(FX_Rates!$B$5:$B$14,MATCH($K72,FX_Rates!$A$5:$A$14,0)),""))</f>
        <v/>
      </c>
      <c r="M72" s="153">
        <f>IF(OR($H72="",$J72=""),"",$H72*$J72)</f>
        <v/>
      </c>
      <c r="N72" s="153">
        <f>IF(OR($M72="",$L72=""),"",$M72*$L72)</f>
        <v/>
      </c>
      <c r="O72" s="149" t="n"/>
      <c r="P72" s="154">
        <f>IF($O72="","",IFERROR(INDEX(Basis_of_Estimate!$C$5:$C$9,MATCH($O72,Basis_of_Estimate!$A$5:$A$9,0)),""))</f>
        <v/>
      </c>
      <c r="Q72" s="154">
        <f>IF($O72="","",IFERROR(INDEX(Basis_of_Estimate!$D$5:$D$9,MATCH($O72,Basis_of_Estimate!$A$5:$A$9,0)),""))</f>
        <v/>
      </c>
      <c r="R72" s="153">
        <f>IF($N72="","",$N72*(1+$P72))</f>
        <v/>
      </c>
      <c r="S72" s="153">
        <f>IF($N72="","",$N72)</f>
        <v/>
      </c>
      <c r="T72" s="153">
        <f>IF($N72="","",$N72*(1+$Q72))</f>
        <v/>
      </c>
      <c r="U72" s="150">
        <f>IF($D72="","",IFERROR(INDEX(WBS_CBS!$M$5:$M$16,MATCH($D72,WBS_CBS!$A$5:$A$16,0)),"Yes"))</f>
        <v/>
      </c>
      <c r="V72" s="150">
        <f>IF($D72="","",IFERROR(INDEX(WBS_CBS!$N$5:$N$16,MATCH($D72,WBS_CBS!$A$5:$A$16,0)),"Yes"))</f>
        <v/>
      </c>
      <c r="W72" s="150">
        <f>IF($D72="","",IFERROR(INDEX(WBS_CBS!$K$5:$K$16,MATCH($D72,WBS_CBS!$A$5:$A$16,0)),""))</f>
        <v/>
      </c>
      <c r="X72" s="150">
        <f>IF($D72="","",IFERROR(INDEX(WBS_CBS!$F$5:$F$16,MATCH($D72,WBS_CBS!$A$5:$A$16,0)),""))</f>
        <v/>
      </c>
      <c r="Y72" s="149" t="n"/>
      <c r="Z72" s="149" t="n"/>
      <c r="AA72" s="150">
        <f>IF($D72="","",IFERROR(INDEX(WBS_CBS!$L$5:$L$16,MATCH($D72,WBS_CBS!$A$5:$A$16,0)),""))</f>
        <v/>
      </c>
      <c r="AB72" s="149" t="n"/>
    </row>
    <row r="73">
      <c r="A73" s="149" t="n"/>
      <c r="B73" s="149" t="n"/>
      <c r="C73" s="150">
        <f>IF($D73="","",IFERROR(INDEX(WBS_CBS!$E$5:$E$16,MATCH($D73,WBS_CBS!$A$5:$A$16,0)),""))</f>
        <v/>
      </c>
      <c r="D73" s="149" t="n"/>
      <c r="E73" s="150">
        <f>IF($D73="","",IFERROR(INDEX(WBS_CBS!$C$5:$C$16,MATCH($D73,WBS_CBS!$A$5:$A$16,0)),""))</f>
        <v/>
      </c>
      <c r="F73" s="150">
        <f>IF($D73="","",IFERROR(INDEX(WBS_CBS!$J$5:$J$16,MATCH($D73,WBS_CBS!$A$5:$A$16,0)),""))</f>
        <v/>
      </c>
      <c r="G73" s="149" t="n"/>
      <c r="H73" s="151" t="n"/>
      <c r="I73" s="149" t="n"/>
      <c r="J73" s="152" t="n"/>
      <c r="K73" s="149" t="n"/>
      <c r="L73" s="153">
        <f>IF($K73="","",IFERROR(INDEX(FX_Rates!$B$5:$B$14,MATCH($K73,FX_Rates!$A$5:$A$14,0)),""))</f>
        <v/>
      </c>
      <c r="M73" s="153">
        <f>IF(OR($H73="",$J73=""),"",$H73*$J73)</f>
        <v/>
      </c>
      <c r="N73" s="153">
        <f>IF(OR($M73="",$L73=""),"",$M73*$L73)</f>
        <v/>
      </c>
      <c r="O73" s="149" t="n"/>
      <c r="P73" s="154">
        <f>IF($O73="","",IFERROR(INDEX(Basis_of_Estimate!$C$5:$C$9,MATCH($O73,Basis_of_Estimate!$A$5:$A$9,0)),""))</f>
        <v/>
      </c>
      <c r="Q73" s="154">
        <f>IF($O73="","",IFERROR(INDEX(Basis_of_Estimate!$D$5:$D$9,MATCH($O73,Basis_of_Estimate!$A$5:$A$9,0)),""))</f>
        <v/>
      </c>
      <c r="R73" s="153">
        <f>IF($N73="","",$N73*(1+$P73))</f>
        <v/>
      </c>
      <c r="S73" s="153">
        <f>IF($N73="","",$N73)</f>
        <v/>
      </c>
      <c r="T73" s="153">
        <f>IF($N73="","",$N73*(1+$Q73))</f>
        <v/>
      </c>
      <c r="U73" s="150">
        <f>IF($D73="","",IFERROR(INDEX(WBS_CBS!$M$5:$M$16,MATCH($D73,WBS_CBS!$A$5:$A$16,0)),"Yes"))</f>
        <v/>
      </c>
      <c r="V73" s="150">
        <f>IF($D73="","",IFERROR(INDEX(WBS_CBS!$N$5:$N$16,MATCH($D73,WBS_CBS!$A$5:$A$16,0)),"Yes"))</f>
        <v/>
      </c>
      <c r="W73" s="150">
        <f>IF($D73="","",IFERROR(INDEX(WBS_CBS!$K$5:$K$16,MATCH($D73,WBS_CBS!$A$5:$A$16,0)),""))</f>
        <v/>
      </c>
      <c r="X73" s="150">
        <f>IF($D73="","",IFERROR(INDEX(WBS_CBS!$F$5:$F$16,MATCH($D73,WBS_CBS!$A$5:$A$16,0)),""))</f>
        <v/>
      </c>
      <c r="Y73" s="149" t="n"/>
      <c r="Z73" s="149" t="n"/>
      <c r="AA73" s="150">
        <f>IF($D73="","",IFERROR(INDEX(WBS_CBS!$L$5:$L$16,MATCH($D73,WBS_CBS!$A$5:$A$16,0)),""))</f>
        <v/>
      </c>
      <c r="AB73" s="149" t="n"/>
    </row>
    <row r="74">
      <c r="A74" s="149" t="n"/>
      <c r="B74" s="149" t="n"/>
      <c r="C74" s="150">
        <f>IF($D74="","",IFERROR(INDEX(WBS_CBS!$E$5:$E$16,MATCH($D74,WBS_CBS!$A$5:$A$16,0)),""))</f>
        <v/>
      </c>
      <c r="D74" s="149" t="n"/>
      <c r="E74" s="150">
        <f>IF($D74="","",IFERROR(INDEX(WBS_CBS!$C$5:$C$16,MATCH($D74,WBS_CBS!$A$5:$A$16,0)),""))</f>
        <v/>
      </c>
      <c r="F74" s="150">
        <f>IF($D74="","",IFERROR(INDEX(WBS_CBS!$J$5:$J$16,MATCH($D74,WBS_CBS!$A$5:$A$16,0)),""))</f>
        <v/>
      </c>
      <c r="G74" s="149" t="n"/>
      <c r="H74" s="151" t="n"/>
      <c r="I74" s="149" t="n"/>
      <c r="J74" s="152" t="n"/>
      <c r="K74" s="149" t="n"/>
      <c r="L74" s="153">
        <f>IF($K74="","",IFERROR(INDEX(FX_Rates!$B$5:$B$14,MATCH($K74,FX_Rates!$A$5:$A$14,0)),""))</f>
        <v/>
      </c>
      <c r="M74" s="153">
        <f>IF(OR($H74="",$J74=""),"",$H74*$J74)</f>
        <v/>
      </c>
      <c r="N74" s="153">
        <f>IF(OR($M74="",$L74=""),"",$M74*$L74)</f>
        <v/>
      </c>
      <c r="O74" s="149" t="n"/>
      <c r="P74" s="154">
        <f>IF($O74="","",IFERROR(INDEX(Basis_of_Estimate!$C$5:$C$9,MATCH($O74,Basis_of_Estimate!$A$5:$A$9,0)),""))</f>
        <v/>
      </c>
      <c r="Q74" s="154">
        <f>IF($O74="","",IFERROR(INDEX(Basis_of_Estimate!$D$5:$D$9,MATCH($O74,Basis_of_Estimate!$A$5:$A$9,0)),""))</f>
        <v/>
      </c>
      <c r="R74" s="153">
        <f>IF($N74="","",$N74*(1+$P74))</f>
        <v/>
      </c>
      <c r="S74" s="153">
        <f>IF($N74="","",$N74)</f>
        <v/>
      </c>
      <c r="T74" s="153">
        <f>IF($N74="","",$N74*(1+$Q74))</f>
        <v/>
      </c>
      <c r="U74" s="150">
        <f>IF($D74="","",IFERROR(INDEX(WBS_CBS!$M$5:$M$16,MATCH($D74,WBS_CBS!$A$5:$A$16,0)),"Yes"))</f>
        <v/>
      </c>
      <c r="V74" s="150">
        <f>IF($D74="","",IFERROR(INDEX(WBS_CBS!$N$5:$N$16,MATCH($D74,WBS_CBS!$A$5:$A$16,0)),"Yes"))</f>
        <v/>
      </c>
      <c r="W74" s="150">
        <f>IF($D74="","",IFERROR(INDEX(WBS_CBS!$K$5:$K$16,MATCH($D74,WBS_CBS!$A$5:$A$16,0)),""))</f>
        <v/>
      </c>
      <c r="X74" s="150">
        <f>IF($D74="","",IFERROR(INDEX(WBS_CBS!$F$5:$F$16,MATCH($D74,WBS_CBS!$A$5:$A$16,0)),""))</f>
        <v/>
      </c>
      <c r="Y74" s="149" t="n"/>
      <c r="Z74" s="149" t="n"/>
      <c r="AA74" s="150">
        <f>IF($D74="","",IFERROR(INDEX(WBS_CBS!$L$5:$L$16,MATCH($D74,WBS_CBS!$A$5:$A$16,0)),""))</f>
        <v/>
      </c>
      <c r="AB74" s="149" t="n"/>
    </row>
    <row r="75">
      <c r="A75" s="149" t="n"/>
      <c r="B75" s="149" t="n"/>
      <c r="C75" s="150">
        <f>IF($D75="","",IFERROR(INDEX(WBS_CBS!$E$5:$E$16,MATCH($D75,WBS_CBS!$A$5:$A$16,0)),""))</f>
        <v/>
      </c>
      <c r="D75" s="149" t="n"/>
      <c r="E75" s="150">
        <f>IF($D75="","",IFERROR(INDEX(WBS_CBS!$C$5:$C$16,MATCH($D75,WBS_CBS!$A$5:$A$16,0)),""))</f>
        <v/>
      </c>
      <c r="F75" s="150">
        <f>IF($D75="","",IFERROR(INDEX(WBS_CBS!$J$5:$J$16,MATCH($D75,WBS_CBS!$A$5:$A$16,0)),""))</f>
        <v/>
      </c>
      <c r="G75" s="149" t="n"/>
      <c r="H75" s="151" t="n"/>
      <c r="I75" s="149" t="n"/>
      <c r="J75" s="152" t="n"/>
      <c r="K75" s="149" t="n"/>
      <c r="L75" s="153">
        <f>IF($K75="","",IFERROR(INDEX(FX_Rates!$B$5:$B$14,MATCH($K75,FX_Rates!$A$5:$A$14,0)),""))</f>
        <v/>
      </c>
      <c r="M75" s="153">
        <f>IF(OR($H75="",$J75=""),"",$H75*$J75)</f>
        <v/>
      </c>
      <c r="N75" s="153">
        <f>IF(OR($M75="",$L75=""),"",$M75*$L75)</f>
        <v/>
      </c>
      <c r="O75" s="149" t="n"/>
      <c r="P75" s="154">
        <f>IF($O75="","",IFERROR(INDEX(Basis_of_Estimate!$C$5:$C$9,MATCH($O75,Basis_of_Estimate!$A$5:$A$9,0)),""))</f>
        <v/>
      </c>
      <c r="Q75" s="154">
        <f>IF($O75="","",IFERROR(INDEX(Basis_of_Estimate!$D$5:$D$9,MATCH($O75,Basis_of_Estimate!$A$5:$A$9,0)),""))</f>
        <v/>
      </c>
      <c r="R75" s="153">
        <f>IF($N75="","",$N75*(1+$P75))</f>
        <v/>
      </c>
      <c r="S75" s="153">
        <f>IF($N75="","",$N75)</f>
        <v/>
      </c>
      <c r="T75" s="153">
        <f>IF($N75="","",$N75*(1+$Q75))</f>
        <v/>
      </c>
      <c r="U75" s="150">
        <f>IF($D75="","",IFERROR(INDEX(WBS_CBS!$M$5:$M$16,MATCH($D75,WBS_CBS!$A$5:$A$16,0)),"Yes"))</f>
        <v/>
      </c>
      <c r="V75" s="150">
        <f>IF($D75="","",IFERROR(INDEX(WBS_CBS!$N$5:$N$16,MATCH($D75,WBS_CBS!$A$5:$A$16,0)),"Yes"))</f>
        <v/>
      </c>
      <c r="W75" s="150">
        <f>IF($D75="","",IFERROR(INDEX(WBS_CBS!$K$5:$K$16,MATCH($D75,WBS_CBS!$A$5:$A$16,0)),""))</f>
        <v/>
      </c>
      <c r="X75" s="150">
        <f>IF($D75="","",IFERROR(INDEX(WBS_CBS!$F$5:$F$16,MATCH($D75,WBS_CBS!$A$5:$A$16,0)),""))</f>
        <v/>
      </c>
      <c r="Y75" s="149" t="n"/>
      <c r="Z75" s="149" t="n"/>
      <c r="AA75" s="150">
        <f>IF($D75="","",IFERROR(INDEX(WBS_CBS!$L$5:$L$16,MATCH($D75,WBS_CBS!$A$5:$A$16,0)),""))</f>
        <v/>
      </c>
      <c r="AB75" s="149" t="n"/>
    </row>
    <row r="76">
      <c r="A76" s="149" t="n"/>
      <c r="B76" s="149" t="n"/>
      <c r="C76" s="150">
        <f>IF($D76="","",IFERROR(INDEX(WBS_CBS!$E$5:$E$16,MATCH($D76,WBS_CBS!$A$5:$A$16,0)),""))</f>
        <v/>
      </c>
      <c r="D76" s="149" t="n"/>
      <c r="E76" s="150">
        <f>IF($D76="","",IFERROR(INDEX(WBS_CBS!$C$5:$C$16,MATCH($D76,WBS_CBS!$A$5:$A$16,0)),""))</f>
        <v/>
      </c>
      <c r="F76" s="150">
        <f>IF($D76="","",IFERROR(INDEX(WBS_CBS!$J$5:$J$16,MATCH($D76,WBS_CBS!$A$5:$A$16,0)),""))</f>
        <v/>
      </c>
      <c r="G76" s="149" t="n"/>
      <c r="H76" s="151" t="n"/>
      <c r="I76" s="149" t="n"/>
      <c r="J76" s="152" t="n"/>
      <c r="K76" s="149" t="n"/>
      <c r="L76" s="153">
        <f>IF($K76="","",IFERROR(INDEX(FX_Rates!$B$5:$B$14,MATCH($K76,FX_Rates!$A$5:$A$14,0)),""))</f>
        <v/>
      </c>
      <c r="M76" s="153">
        <f>IF(OR($H76="",$J76=""),"",$H76*$J76)</f>
        <v/>
      </c>
      <c r="N76" s="153">
        <f>IF(OR($M76="",$L76=""),"",$M76*$L76)</f>
        <v/>
      </c>
      <c r="O76" s="149" t="n"/>
      <c r="P76" s="154">
        <f>IF($O76="","",IFERROR(INDEX(Basis_of_Estimate!$C$5:$C$9,MATCH($O76,Basis_of_Estimate!$A$5:$A$9,0)),""))</f>
        <v/>
      </c>
      <c r="Q76" s="154">
        <f>IF($O76="","",IFERROR(INDEX(Basis_of_Estimate!$D$5:$D$9,MATCH($O76,Basis_of_Estimate!$A$5:$A$9,0)),""))</f>
        <v/>
      </c>
      <c r="R76" s="153">
        <f>IF($N76="","",$N76*(1+$P76))</f>
        <v/>
      </c>
      <c r="S76" s="153">
        <f>IF($N76="","",$N76)</f>
        <v/>
      </c>
      <c r="T76" s="153">
        <f>IF($N76="","",$N76*(1+$Q76))</f>
        <v/>
      </c>
      <c r="U76" s="150">
        <f>IF($D76="","",IFERROR(INDEX(WBS_CBS!$M$5:$M$16,MATCH($D76,WBS_CBS!$A$5:$A$16,0)),"Yes"))</f>
        <v/>
      </c>
      <c r="V76" s="150">
        <f>IF($D76="","",IFERROR(INDEX(WBS_CBS!$N$5:$N$16,MATCH($D76,WBS_CBS!$A$5:$A$16,0)),"Yes"))</f>
        <v/>
      </c>
      <c r="W76" s="150">
        <f>IF($D76="","",IFERROR(INDEX(WBS_CBS!$K$5:$K$16,MATCH($D76,WBS_CBS!$A$5:$A$16,0)),""))</f>
        <v/>
      </c>
      <c r="X76" s="150">
        <f>IF($D76="","",IFERROR(INDEX(WBS_CBS!$F$5:$F$16,MATCH($D76,WBS_CBS!$A$5:$A$16,0)),""))</f>
        <v/>
      </c>
      <c r="Y76" s="149" t="n"/>
      <c r="Z76" s="149" t="n"/>
      <c r="AA76" s="150">
        <f>IF($D76="","",IFERROR(INDEX(WBS_CBS!$L$5:$L$16,MATCH($D76,WBS_CBS!$A$5:$A$16,0)),""))</f>
        <v/>
      </c>
      <c r="AB76" s="149" t="n"/>
    </row>
    <row r="77">
      <c r="A77" s="149" t="n"/>
      <c r="B77" s="149" t="n"/>
      <c r="C77" s="150">
        <f>IF($D77="","",IFERROR(INDEX(WBS_CBS!$E$5:$E$16,MATCH($D77,WBS_CBS!$A$5:$A$16,0)),""))</f>
        <v/>
      </c>
      <c r="D77" s="149" t="n"/>
      <c r="E77" s="150">
        <f>IF($D77="","",IFERROR(INDEX(WBS_CBS!$C$5:$C$16,MATCH($D77,WBS_CBS!$A$5:$A$16,0)),""))</f>
        <v/>
      </c>
      <c r="F77" s="150">
        <f>IF($D77="","",IFERROR(INDEX(WBS_CBS!$J$5:$J$16,MATCH($D77,WBS_CBS!$A$5:$A$16,0)),""))</f>
        <v/>
      </c>
      <c r="G77" s="149" t="n"/>
      <c r="H77" s="151" t="n"/>
      <c r="I77" s="149" t="n"/>
      <c r="J77" s="152" t="n"/>
      <c r="K77" s="149" t="n"/>
      <c r="L77" s="153">
        <f>IF($K77="","",IFERROR(INDEX(FX_Rates!$B$5:$B$14,MATCH($K77,FX_Rates!$A$5:$A$14,0)),""))</f>
        <v/>
      </c>
      <c r="M77" s="153">
        <f>IF(OR($H77="",$J77=""),"",$H77*$J77)</f>
        <v/>
      </c>
      <c r="N77" s="153">
        <f>IF(OR($M77="",$L77=""),"",$M77*$L77)</f>
        <v/>
      </c>
      <c r="O77" s="149" t="n"/>
      <c r="P77" s="154">
        <f>IF($O77="","",IFERROR(INDEX(Basis_of_Estimate!$C$5:$C$9,MATCH($O77,Basis_of_Estimate!$A$5:$A$9,0)),""))</f>
        <v/>
      </c>
      <c r="Q77" s="154">
        <f>IF($O77="","",IFERROR(INDEX(Basis_of_Estimate!$D$5:$D$9,MATCH($O77,Basis_of_Estimate!$A$5:$A$9,0)),""))</f>
        <v/>
      </c>
      <c r="R77" s="153">
        <f>IF($N77="","",$N77*(1+$P77))</f>
        <v/>
      </c>
      <c r="S77" s="153">
        <f>IF($N77="","",$N77)</f>
        <v/>
      </c>
      <c r="T77" s="153">
        <f>IF($N77="","",$N77*(1+$Q77))</f>
        <v/>
      </c>
      <c r="U77" s="150">
        <f>IF($D77="","",IFERROR(INDEX(WBS_CBS!$M$5:$M$16,MATCH($D77,WBS_CBS!$A$5:$A$16,0)),"Yes"))</f>
        <v/>
      </c>
      <c r="V77" s="150">
        <f>IF($D77="","",IFERROR(INDEX(WBS_CBS!$N$5:$N$16,MATCH($D77,WBS_CBS!$A$5:$A$16,0)),"Yes"))</f>
        <v/>
      </c>
      <c r="W77" s="150">
        <f>IF($D77="","",IFERROR(INDEX(WBS_CBS!$K$5:$K$16,MATCH($D77,WBS_CBS!$A$5:$A$16,0)),""))</f>
        <v/>
      </c>
      <c r="X77" s="150">
        <f>IF($D77="","",IFERROR(INDEX(WBS_CBS!$F$5:$F$16,MATCH($D77,WBS_CBS!$A$5:$A$16,0)),""))</f>
        <v/>
      </c>
      <c r="Y77" s="149" t="n"/>
      <c r="Z77" s="149" t="n"/>
      <c r="AA77" s="150">
        <f>IF($D77="","",IFERROR(INDEX(WBS_CBS!$L$5:$L$16,MATCH($D77,WBS_CBS!$A$5:$A$16,0)),""))</f>
        <v/>
      </c>
      <c r="AB77" s="149" t="n"/>
    </row>
    <row r="78">
      <c r="A78" s="149" t="n"/>
      <c r="B78" s="149" t="n"/>
      <c r="C78" s="150">
        <f>IF($D78="","",IFERROR(INDEX(WBS_CBS!$E$5:$E$16,MATCH($D78,WBS_CBS!$A$5:$A$16,0)),""))</f>
        <v/>
      </c>
      <c r="D78" s="149" t="n"/>
      <c r="E78" s="150">
        <f>IF($D78="","",IFERROR(INDEX(WBS_CBS!$C$5:$C$16,MATCH($D78,WBS_CBS!$A$5:$A$16,0)),""))</f>
        <v/>
      </c>
      <c r="F78" s="150">
        <f>IF($D78="","",IFERROR(INDEX(WBS_CBS!$J$5:$J$16,MATCH($D78,WBS_CBS!$A$5:$A$16,0)),""))</f>
        <v/>
      </c>
      <c r="G78" s="149" t="n"/>
      <c r="H78" s="151" t="n"/>
      <c r="I78" s="149" t="n"/>
      <c r="J78" s="152" t="n"/>
      <c r="K78" s="149" t="n"/>
      <c r="L78" s="153">
        <f>IF($K78="","",IFERROR(INDEX(FX_Rates!$B$5:$B$14,MATCH($K78,FX_Rates!$A$5:$A$14,0)),""))</f>
        <v/>
      </c>
      <c r="M78" s="153">
        <f>IF(OR($H78="",$J78=""),"",$H78*$J78)</f>
        <v/>
      </c>
      <c r="N78" s="153">
        <f>IF(OR($M78="",$L78=""),"",$M78*$L78)</f>
        <v/>
      </c>
      <c r="O78" s="149" t="n"/>
      <c r="P78" s="154">
        <f>IF($O78="","",IFERROR(INDEX(Basis_of_Estimate!$C$5:$C$9,MATCH($O78,Basis_of_Estimate!$A$5:$A$9,0)),""))</f>
        <v/>
      </c>
      <c r="Q78" s="154">
        <f>IF($O78="","",IFERROR(INDEX(Basis_of_Estimate!$D$5:$D$9,MATCH($O78,Basis_of_Estimate!$A$5:$A$9,0)),""))</f>
        <v/>
      </c>
      <c r="R78" s="153">
        <f>IF($N78="","",$N78*(1+$P78))</f>
        <v/>
      </c>
      <c r="S78" s="153">
        <f>IF($N78="","",$N78)</f>
        <v/>
      </c>
      <c r="T78" s="153">
        <f>IF($N78="","",$N78*(1+$Q78))</f>
        <v/>
      </c>
      <c r="U78" s="150">
        <f>IF($D78="","",IFERROR(INDEX(WBS_CBS!$M$5:$M$16,MATCH($D78,WBS_CBS!$A$5:$A$16,0)),"Yes"))</f>
        <v/>
      </c>
      <c r="V78" s="150">
        <f>IF($D78="","",IFERROR(INDEX(WBS_CBS!$N$5:$N$16,MATCH($D78,WBS_CBS!$A$5:$A$16,0)),"Yes"))</f>
        <v/>
      </c>
      <c r="W78" s="150">
        <f>IF($D78="","",IFERROR(INDEX(WBS_CBS!$K$5:$K$16,MATCH($D78,WBS_CBS!$A$5:$A$16,0)),""))</f>
        <v/>
      </c>
      <c r="X78" s="150">
        <f>IF($D78="","",IFERROR(INDEX(WBS_CBS!$F$5:$F$16,MATCH($D78,WBS_CBS!$A$5:$A$16,0)),""))</f>
        <v/>
      </c>
      <c r="Y78" s="149" t="n"/>
      <c r="Z78" s="149" t="n"/>
      <c r="AA78" s="150">
        <f>IF($D78="","",IFERROR(INDEX(WBS_CBS!$L$5:$L$16,MATCH($D78,WBS_CBS!$A$5:$A$16,0)),""))</f>
        <v/>
      </c>
      <c r="AB78" s="149" t="n"/>
    </row>
    <row r="79">
      <c r="A79" s="149" t="n"/>
      <c r="B79" s="149" t="n"/>
      <c r="C79" s="150">
        <f>IF($D79="","",IFERROR(INDEX(WBS_CBS!$E$5:$E$16,MATCH($D79,WBS_CBS!$A$5:$A$16,0)),""))</f>
        <v/>
      </c>
      <c r="D79" s="149" t="n"/>
      <c r="E79" s="150">
        <f>IF($D79="","",IFERROR(INDEX(WBS_CBS!$C$5:$C$16,MATCH($D79,WBS_CBS!$A$5:$A$16,0)),""))</f>
        <v/>
      </c>
      <c r="F79" s="150">
        <f>IF($D79="","",IFERROR(INDEX(WBS_CBS!$J$5:$J$16,MATCH($D79,WBS_CBS!$A$5:$A$16,0)),""))</f>
        <v/>
      </c>
      <c r="G79" s="149" t="n"/>
      <c r="H79" s="151" t="n"/>
      <c r="I79" s="149" t="n"/>
      <c r="J79" s="152" t="n"/>
      <c r="K79" s="149" t="n"/>
      <c r="L79" s="153">
        <f>IF($K79="","",IFERROR(INDEX(FX_Rates!$B$5:$B$14,MATCH($K79,FX_Rates!$A$5:$A$14,0)),""))</f>
        <v/>
      </c>
      <c r="M79" s="153">
        <f>IF(OR($H79="",$J79=""),"",$H79*$J79)</f>
        <v/>
      </c>
      <c r="N79" s="153">
        <f>IF(OR($M79="",$L79=""),"",$M79*$L79)</f>
        <v/>
      </c>
      <c r="O79" s="149" t="n"/>
      <c r="P79" s="154">
        <f>IF($O79="","",IFERROR(INDEX(Basis_of_Estimate!$C$5:$C$9,MATCH($O79,Basis_of_Estimate!$A$5:$A$9,0)),""))</f>
        <v/>
      </c>
      <c r="Q79" s="154">
        <f>IF($O79="","",IFERROR(INDEX(Basis_of_Estimate!$D$5:$D$9,MATCH($O79,Basis_of_Estimate!$A$5:$A$9,0)),""))</f>
        <v/>
      </c>
      <c r="R79" s="153">
        <f>IF($N79="","",$N79*(1+$P79))</f>
        <v/>
      </c>
      <c r="S79" s="153">
        <f>IF($N79="","",$N79)</f>
        <v/>
      </c>
      <c r="T79" s="153">
        <f>IF($N79="","",$N79*(1+$Q79))</f>
        <v/>
      </c>
      <c r="U79" s="150">
        <f>IF($D79="","",IFERROR(INDEX(WBS_CBS!$M$5:$M$16,MATCH($D79,WBS_CBS!$A$5:$A$16,0)),"Yes"))</f>
        <v/>
      </c>
      <c r="V79" s="150">
        <f>IF($D79="","",IFERROR(INDEX(WBS_CBS!$N$5:$N$16,MATCH($D79,WBS_CBS!$A$5:$A$16,0)),"Yes"))</f>
        <v/>
      </c>
      <c r="W79" s="150">
        <f>IF($D79="","",IFERROR(INDEX(WBS_CBS!$K$5:$K$16,MATCH($D79,WBS_CBS!$A$5:$A$16,0)),""))</f>
        <v/>
      </c>
      <c r="X79" s="150">
        <f>IF($D79="","",IFERROR(INDEX(WBS_CBS!$F$5:$F$16,MATCH($D79,WBS_CBS!$A$5:$A$16,0)),""))</f>
        <v/>
      </c>
      <c r="Y79" s="149" t="n"/>
      <c r="Z79" s="149" t="n"/>
      <c r="AA79" s="150">
        <f>IF($D79="","",IFERROR(INDEX(WBS_CBS!$L$5:$L$16,MATCH($D79,WBS_CBS!$A$5:$A$16,0)),""))</f>
        <v/>
      </c>
      <c r="AB79" s="149" t="n"/>
    </row>
    <row r="80">
      <c r="A80" s="149" t="n"/>
      <c r="B80" s="149" t="n"/>
      <c r="C80" s="150">
        <f>IF($D80="","",IFERROR(INDEX(WBS_CBS!$E$5:$E$16,MATCH($D80,WBS_CBS!$A$5:$A$16,0)),""))</f>
        <v/>
      </c>
      <c r="D80" s="149" t="n"/>
      <c r="E80" s="150">
        <f>IF($D80="","",IFERROR(INDEX(WBS_CBS!$C$5:$C$16,MATCH($D80,WBS_CBS!$A$5:$A$16,0)),""))</f>
        <v/>
      </c>
      <c r="F80" s="150">
        <f>IF($D80="","",IFERROR(INDEX(WBS_CBS!$J$5:$J$16,MATCH($D80,WBS_CBS!$A$5:$A$16,0)),""))</f>
        <v/>
      </c>
      <c r="G80" s="149" t="n"/>
      <c r="H80" s="151" t="n"/>
      <c r="I80" s="149" t="n"/>
      <c r="J80" s="152" t="n"/>
      <c r="K80" s="149" t="n"/>
      <c r="L80" s="153">
        <f>IF($K80="","",IFERROR(INDEX(FX_Rates!$B$5:$B$14,MATCH($K80,FX_Rates!$A$5:$A$14,0)),""))</f>
        <v/>
      </c>
      <c r="M80" s="153">
        <f>IF(OR($H80="",$J80=""),"",$H80*$J80)</f>
        <v/>
      </c>
      <c r="N80" s="153">
        <f>IF(OR($M80="",$L80=""),"",$M80*$L80)</f>
        <v/>
      </c>
      <c r="O80" s="149" t="n"/>
      <c r="P80" s="154">
        <f>IF($O80="","",IFERROR(INDEX(Basis_of_Estimate!$C$5:$C$9,MATCH($O80,Basis_of_Estimate!$A$5:$A$9,0)),""))</f>
        <v/>
      </c>
      <c r="Q80" s="154">
        <f>IF($O80="","",IFERROR(INDEX(Basis_of_Estimate!$D$5:$D$9,MATCH($O80,Basis_of_Estimate!$A$5:$A$9,0)),""))</f>
        <v/>
      </c>
      <c r="R80" s="153">
        <f>IF($N80="","",$N80*(1+$P80))</f>
        <v/>
      </c>
      <c r="S80" s="153">
        <f>IF($N80="","",$N80)</f>
        <v/>
      </c>
      <c r="T80" s="153">
        <f>IF($N80="","",$N80*(1+$Q80))</f>
        <v/>
      </c>
      <c r="U80" s="150">
        <f>IF($D80="","",IFERROR(INDEX(WBS_CBS!$M$5:$M$16,MATCH($D80,WBS_CBS!$A$5:$A$16,0)),"Yes"))</f>
        <v/>
      </c>
      <c r="V80" s="150">
        <f>IF($D80="","",IFERROR(INDEX(WBS_CBS!$N$5:$N$16,MATCH($D80,WBS_CBS!$A$5:$A$16,0)),"Yes"))</f>
        <v/>
      </c>
      <c r="W80" s="150">
        <f>IF($D80="","",IFERROR(INDEX(WBS_CBS!$K$5:$K$16,MATCH($D80,WBS_CBS!$A$5:$A$16,0)),""))</f>
        <v/>
      </c>
      <c r="X80" s="150">
        <f>IF($D80="","",IFERROR(INDEX(WBS_CBS!$F$5:$F$16,MATCH($D80,WBS_CBS!$A$5:$A$16,0)),""))</f>
        <v/>
      </c>
      <c r="Y80" s="149" t="n"/>
      <c r="Z80" s="149" t="n"/>
      <c r="AA80" s="150">
        <f>IF($D80="","",IFERROR(INDEX(WBS_CBS!$L$5:$L$16,MATCH($D80,WBS_CBS!$A$5:$A$16,0)),""))</f>
        <v/>
      </c>
      <c r="AB80" s="149" t="n"/>
    </row>
    <row r="81">
      <c r="A81" s="149" t="n"/>
      <c r="B81" s="149" t="n"/>
      <c r="C81" s="150">
        <f>IF($D81="","",IFERROR(INDEX(WBS_CBS!$E$5:$E$16,MATCH($D81,WBS_CBS!$A$5:$A$16,0)),""))</f>
        <v/>
      </c>
      <c r="D81" s="149" t="n"/>
      <c r="E81" s="150">
        <f>IF($D81="","",IFERROR(INDEX(WBS_CBS!$C$5:$C$16,MATCH($D81,WBS_CBS!$A$5:$A$16,0)),""))</f>
        <v/>
      </c>
      <c r="F81" s="150">
        <f>IF($D81="","",IFERROR(INDEX(WBS_CBS!$J$5:$J$16,MATCH($D81,WBS_CBS!$A$5:$A$16,0)),""))</f>
        <v/>
      </c>
      <c r="G81" s="149" t="n"/>
      <c r="H81" s="151" t="n"/>
      <c r="I81" s="149" t="n"/>
      <c r="J81" s="152" t="n"/>
      <c r="K81" s="149" t="n"/>
      <c r="L81" s="153">
        <f>IF($K81="","",IFERROR(INDEX(FX_Rates!$B$5:$B$14,MATCH($K81,FX_Rates!$A$5:$A$14,0)),""))</f>
        <v/>
      </c>
      <c r="M81" s="153">
        <f>IF(OR($H81="",$J81=""),"",$H81*$J81)</f>
        <v/>
      </c>
      <c r="N81" s="153">
        <f>IF(OR($M81="",$L81=""),"",$M81*$L81)</f>
        <v/>
      </c>
      <c r="O81" s="149" t="n"/>
      <c r="P81" s="154">
        <f>IF($O81="","",IFERROR(INDEX(Basis_of_Estimate!$C$5:$C$9,MATCH($O81,Basis_of_Estimate!$A$5:$A$9,0)),""))</f>
        <v/>
      </c>
      <c r="Q81" s="154">
        <f>IF($O81="","",IFERROR(INDEX(Basis_of_Estimate!$D$5:$D$9,MATCH($O81,Basis_of_Estimate!$A$5:$A$9,0)),""))</f>
        <v/>
      </c>
      <c r="R81" s="153">
        <f>IF($N81="","",$N81*(1+$P81))</f>
        <v/>
      </c>
      <c r="S81" s="153">
        <f>IF($N81="","",$N81)</f>
        <v/>
      </c>
      <c r="T81" s="153">
        <f>IF($N81="","",$N81*(1+$Q81))</f>
        <v/>
      </c>
      <c r="U81" s="150">
        <f>IF($D81="","",IFERROR(INDEX(WBS_CBS!$M$5:$M$16,MATCH($D81,WBS_CBS!$A$5:$A$16,0)),"Yes"))</f>
        <v/>
      </c>
      <c r="V81" s="150">
        <f>IF($D81="","",IFERROR(INDEX(WBS_CBS!$N$5:$N$16,MATCH($D81,WBS_CBS!$A$5:$A$16,0)),"Yes"))</f>
        <v/>
      </c>
      <c r="W81" s="150">
        <f>IF($D81="","",IFERROR(INDEX(WBS_CBS!$K$5:$K$16,MATCH($D81,WBS_CBS!$A$5:$A$16,0)),""))</f>
        <v/>
      </c>
      <c r="X81" s="150">
        <f>IF($D81="","",IFERROR(INDEX(WBS_CBS!$F$5:$F$16,MATCH($D81,WBS_CBS!$A$5:$A$16,0)),""))</f>
        <v/>
      </c>
      <c r="Y81" s="149" t="n"/>
      <c r="Z81" s="149" t="n"/>
      <c r="AA81" s="150">
        <f>IF($D81="","",IFERROR(INDEX(WBS_CBS!$L$5:$L$16,MATCH($D81,WBS_CBS!$A$5:$A$16,0)),""))</f>
        <v/>
      </c>
      <c r="AB81" s="149" t="n"/>
    </row>
    <row r="82">
      <c r="A82" s="149" t="n"/>
      <c r="B82" s="149" t="n"/>
      <c r="C82" s="150">
        <f>IF($D82="","",IFERROR(INDEX(WBS_CBS!$E$5:$E$16,MATCH($D82,WBS_CBS!$A$5:$A$16,0)),""))</f>
        <v/>
      </c>
      <c r="D82" s="149" t="n"/>
      <c r="E82" s="150">
        <f>IF($D82="","",IFERROR(INDEX(WBS_CBS!$C$5:$C$16,MATCH($D82,WBS_CBS!$A$5:$A$16,0)),""))</f>
        <v/>
      </c>
      <c r="F82" s="150">
        <f>IF($D82="","",IFERROR(INDEX(WBS_CBS!$J$5:$J$16,MATCH($D82,WBS_CBS!$A$5:$A$16,0)),""))</f>
        <v/>
      </c>
      <c r="G82" s="149" t="n"/>
      <c r="H82" s="151" t="n"/>
      <c r="I82" s="149" t="n"/>
      <c r="J82" s="152" t="n"/>
      <c r="K82" s="149" t="n"/>
      <c r="L82" s="153">
        <f>IF($K82="","",IFERROR(INDEX(FX_Rates!$B$5:$B$14,MATCH($K82,FX_Rates!$A$5:$A$14,0)),""))</f>
        <v/>
      </c>
      <c r="M82" s="153">
        <f>IF(OR($H82="",$J82=""),"",$H82*$J82)</f>
        <v/>
      </c>
      <c r="N82" s="153">
        <f>IF(OR($M82="",$L82=""),"",$M82*$L82)</f>
        <v/>
      </c>
      <c r="O82" s="149" t="n"/>
      <c r="P82" s="154">
        <f>IF($O82="","",IFERROR(INDEX(Basis_of_Estimate!$C$5:$C$9,MATCH($O82,Basis_of_Estimate!$A$5:$A$9,0)),""))</f>
        <v/>
      </c>
      <c r="Q82" s="154">
        <f>IF($O82="","",IFERROR(INDEX(Basis_of_Estimate!$D$5:$D$9,MATCH($O82,Basis_of_Estimate!$A$5:$A$9,0)),""))</f>
        <v/>
      </c>
      <c r="R82" s="153">
        <f>IF($N82="","",$N82*(1+$P82))</f>
        <v/>
      </c>
      <c r="S82" s="153">
        <f>IF($N82="","",$N82)</f>
        <v/>
      </c>
      <c r="T82" s="153">
        <f>IF($N82="","",$N82*(1+$Q82))</f>
        <v/>
      </c>
      <c r="U82" s="150">
        <f>IF($D82="","",IFERROR(INDEX(WBS_CBS!$M$5:$M$16,MATCH($D82,WBS_CBS!$A$5:$A$16,0)),"Yes"))</f>
        <v/>
      </c>
      <c r="V82" s="150">
        <f>IF($D82="","",IFERROR(INDEX(WBS_CBS!$N$5:$N$16,MATCH($D82,WBS_CBS!$A$5:$A$16,0)),"Yes"))</f>
        <v/>
      </c>
      <c r="W82" s="150">
        <f>IF($D82="","",IFERROR(INDEX(WBS_CBS!$K$5:$K$16,MATCH($D82,WBS_CBS!$A$5:$A$16,0)),""))</f>
        <v/>
      </c>
      <c r="X82" s="150">
        <f>IF($D82="","",IFERROR(INDEX(WBS_CBS!$F$5:$F$16,MATCH($D82,WBS_CBS!$A$5:$A$16,0)),""))</f>
        <v/>
      </c>
      <c r="Y82" s="149" t="n"/>
      <c r="Z82" s="149" t="n"/>
      <c r="AA82" s="150">
        <f>IF($D82="","",IFERROR(INDEX(WBS_CBS!$L$5:$L$16,MATCH($D82,WBS_CBS!$A$5:$A$16,0)),""))</f>
        <v/>
      </c>
      <c r="AB82" s="149" t="n"/>
    </row>
    <row r="83">
      <c r="A83" s="149" t="n"/>
      <c r="B83" s="149" t="n"/>
      <c r="C83" s="150">
        <f>IF($D83="","",IFERROR(INDEX(WBS_CBS!$E$5:$E$16,MATCH($D83,WBS_CBS!$A$5:$A$16,0)),""))</f>
        <v/>
      </c>
      <c r="D83" s="149" t="n"/>
      <c r="E83" s="150">
        <f>IF($D83="","",IFERROR(INDEX(WBS_CBS!$C$5:$C$16,MATCH($D83,WBS_CBS!$A$5:$A$16,0)),""))</f>
        <v/>
      </c>
      <c r="F83" s="150">
        <f>IF($D83="","",IFERROR(INDEX(WBS_CBS!$J$5:$J$16,MATCH($D83,WBS_CBS!$A$5:$A$16,0)),""))</f>
        <v/>
      </c>
      <c r="G83" s="149" t="n"/>
      <c r="H83" s="151" t="n"/>
      <c r="I83" s="149" t="n"/>
      <c r="J83" s="152" t="n"/>
      <c r="K83" s="149" t="n"/>
      <c r="L83" s="153">
        <f>IF($K83="","",IFERROR(INDEX(FX_Rates!$B$5:$B$14,MATCH($K83,FX_Rates!$A$5:$A$14,0)),""))</f>
        <v/>
      </c>
      <c r="M83" s="153">
        <f>IF(OR($H83="",$J83=""),"",$H83*$J83)</f>
        <v/>
      </c>
      <c r="N83" s="153">
        <f>IF(OR($M83="",$L83=""),"",$M83*$L83)</f>
        <v/>
      </c>
      <c r="O83" s="149" t="n"/>
      <c r="P83" s="154">
        <f>IF($O83="","",IFERROR(INDEX(Basis_of_Estimate!$C$5:$C$9,MATCH($O83,Basis_of_Estimate!$A$5:$A$9,0)),""))</f>
        <v/>
      </c>
      <c r="Q83" s="154">
        <f>IF($O83="","",IFERROR(INDEX(Basis_of_Estimate!$D$5:$D$9,MATCH($O83,Basis_of_Estimate!$A$5:$A$9,0)),""))</f>
        <v/>
      </c>
      <c r="R83" s="153">
        <f>IF($N83="","",$N83*(1+$P83))</f>
        <v/>
      </c>
      <c r="S83" s="153">
        <f>IF($N83="","",$N83)</f>
        <v/>
      </c>
      <c r="T83" s="153">
        <f>IF($N83="","",$N83*(1+$Q83))</f>
        <v/>
      </c>
      <c r="U83" s="150">
        <f>IF($D83="","",IFERROR(INDEX(WBS_CBS!$M$5:$M$16,MATCH($D83,WBS_CBS!$A$5:$A$16,0)),"Yes"))</f>
        <v/>
      </c>
      <c r="V83" s="150">
        <f>IF($D83="","",IFERROR(INDEX(WBS_CBS!$N$5:$N$16,MATCH($D83,WBS_CBS!$A$5:$A$16,0)),"Yes"))</f>
        <v/>
      </c>
      <c r="W83" s="150">
        <f>IF($D83="","",IFERROR(INDEX(WBS_CBS!$K$5:$K$16,MATCH($D83,WBS_CBS!$A$5:$A$16,0)),""))</f>
        <v/>
      </c>
      <c r="X83" s="150">
        <f>IF($D83="","",IFERROR(INDEX(WBS_CBS!$F$5:$F$16,MATCH($D83,WBS_CBS!$A$5:$A$16,0)),""))</f>
        <v/>
      </c>
      <c r="Y83" s="149" t="n"/>
      <c r="Z83" s="149" t="n"/>
      <c r="AA83" s="150">
        <f>IF($D83="","",IFERROR(INDEX(WBS_CBS!$L$5:$L$16,MATCH($D83,WBS_CBS!$A$5:$A$16,0)),""))</f>
        <v/>
      </c>
      <c r="AB83" s="149" t="n"/>
    </row>
    <row r="84">
      <c r="A84" s="149" t="n"/>
      <c r="B84" s="149" t="n"/>
      <c r="C84" s="150">
        <f>IF($D84="","",IFERROR(INDEX(WBS_CBS!$E$5:$E$16,MATCH($D84,WBS_CBS!$A$5:$A$16,0)),""))</f>
        <v/>
      </c>
      <c r="D84" s="149" t="n"/>
      <c r="E84" s="150">
        <f>IF($D84="","",IFERROR(INDEX(WBS_CBS!$C$5:$C$16,MATCH($D84,WBS_CBS!$A$5:$A$16,0)),""))</f>
        <v/>
      </c>
      <c r="F84" s="150">
        <f>IF($D84="","",IFERROR(INDEX(WBS_CBS!$J$5:$J$16,MATCH($D84,WBS_CBS!$A$5:$A$16,0)),""))</f>
        <v/>
      </c>
      <c r="G84" s="149" t="n"/>
      <c r="H84" s="151" t="n"/>
      <c r="I84" s="149" t="n"/>
      <c r="J84" s="152" t="n"/>
      <c r="K84" s="149" t="n"/>
      <c r="L84" s="153">
        <f>IF($K84="","",IFERROR(INDEX(FX_Rates!$B$5:$B$14,MATCH($K84,FX_Rates!$A$5:$A$14,0)),""))</f>
        <v/>
      </c>
      <c r="M84" s="153">
        <f>IF(OR($H84="",$J84=""),"",$H84*$J84)</f>
        <v/>
      </c>
      <c r="N84" s="153">
        <f>IF(OR($M84="",$L84=""),"",$M84*$L84)</f>
        <v/>
      </c>
      <c r="O84" s="149" t="n"/>
      <c r="P84" s="154">
        <f>IF($O84="","",IFERROR(INDEX(Basis_of_Estimate!$C$5:$C$9,MATCH($O84,Basis_of_Estimate!$A$5:$A$9,0)),""))</f>
        <v/>
      </c>
      <c r="Q84" s="154">
        <f>IF($O84="","",IFERROR(INDEX(Basis_of_Estimate!$D$5:$D$9,MATCH($O84,Basis_of_Estimate!$A$5:$A$9,0)),""))</f>
        <v/>
      </c>
      <c r="R84" s="153">
        <f>IF($N84="","",$N84*(1+$P84))</f>
        <v/>
      </c>
      <c r="S84" s="153">
        <f>IF($N84="","",$N84)</f>
        <v/>
      </c>
      <c r="T84" s="153">
        <f>IF($N84="","",$N84*(1+$Q84))</f>
        <v/>
      </c>
      <c r="U84" s="150">
        <f>IF($D84="","",IFERROR(INDEX(WBS_CBS!$M$5:$M$16,MATCH($D84,WBS_CBS!$A$5:$A$16,0)),"Yes"))</f>
        <v/>
      </c>
      <c r="V84" s="150">
        <f>IF($D84="","",IFERROR(INDEX(WBS_CBS!$N$5:$N$16,MATCH($D84,WBS_CBS!$A$5:$A$16,0)),"Yes"))</f>
        <v/>
      </c>
      <c r="W84" s="150">
        <f>IF($D84="","",IFERROR(INDEX(WBS_CBS!$K$5:$K$16,MATCH($D84,WBS_CBS!$A$5:$A$16,0)),""))</f>
        <v/>
      </c>
      <c r="X84" s="150">
        <f>IF($D84="","",IFERROR(INDEX(WBS_CBS!$F$5:$F$16,MATCH($D84,WBS_CBS!$A$5:$A$16,0)),""))</f>
        <v/>
      </c>
      <c r="Y84" s="149" t="n"/>
      <c r="Z84" s="149" t="n"/>
      <c r="AA84" s="150">
        <f>IF($D84="","",IFERROR(INDEX(WBS_CBS!$L$5:$L$16,MATCH($D84,WBS_CBS!$A$5:$A$16,0)),""))</f>
        <v/>
      </c>
      <c r="AB84" s="149" t="n"/>
    </row>
    <row r="85">
      <c r="A85" s="149" t="n"/>
      <c r="B85" s="149" t="n"/>
      <c r="C85" s="150">
        <f>IF($D85="","",IFERROR(INDEX(WBS_CBS!$E$5:$E$16,MATCH($D85,WBS_CBS!$A$5:$A$16,0)),""))</f>
        <v/>
      </c>
      <c r="D85" s="149" t="n"/>
      <c r="E85" s="150">
        <f>IF($D85="","",IFERROR(INDEX(WBS_CBS!$C$5:$C$16,MATCH($D85,WBS_CBS!$A$5:$A$16,0)),""))</f>
        <v/>
      </c>
      <c r="F85" s="150">
        <f>IF($D85="","",IFERROR(INDEX(WBS_CBS!$J$5:$J$16,MATCH($D85,WBS_CBS!$A$5:$A$16,0)),""))</f>
        <v/>
      </c>
      <c r="G85" s="149" t="n"/>
      <c r="H85" s="151" t="n"/>
      <c r="I85" s="149" t="n"/>
      <c r="J85" s="152" t="n"/>
      <c r="K85" s="149" t="n"/>
      <c r="L85" s="153">
        <f>IF($K85="","",IFERROR(INDEX(FX_Rates!$B$5:$B$14,MATCH($K85,FX_Rates!$A$5:$A$14,0)),""))</f>
        <v/>
      </c>
      <c r="M85" s="153">
        <f>IF(OR($H85="",$J85=""),"",$H85*$J85)</f>
        <v/>
      </c>
      <c r="N85" s="153">
        <f>IF(OR($M85="",$L85=""),"",$M85*$L85)</f>
        <v/>
      </c>
      <c r="O85" s="149" t="n"/>
      <c r="P85" s="154">
        <f>IF($O85="","",IFERROR(INDEX(Basis_of_Estimate!$C$5:$C$9,MATCH($O85,Basis_of_Estimate!$A$5:$A$9,0)),""))</f>
        <v/>
      </c>
      <c r="Q85" s="154">
        <f>IF($O85="","",IFERROR(INDEX(Basis_of_Estimate!$D$5:$D$9,MATCH($O85,Basis_of_Estimate!$A$5:$A$9,0)),""))</f>
        <v/>
      </c>
      <c r="R85" s="153">
        <f>IF($N85="","",$N85*(1+$P85))</f>
        <v/>
      </c>
      <c r="S85" s="153">
        <f>IF($N85="","",$N85)</f>
        <v/>
      </c>
      <c r="T85" s="153">
        <f>IF($N85="","",$N85*(1+$Q85))</f>
        <v/>
      </c>
      <c r="U85" s="150">
        <f>IF($D85="","",IFERROR(INDEX(WBS_CBS!$M$5:$M$16,MATCH($D85,WBS_CBS!$A$5:$A$16,0)),"Yes"))</f>
        <v/>
      </c>
      <c r="V85" s="150">
        <f>IF($D85="","",IFERROR(INDEX(WBS_CBS!$N$5:$N$16,MATCH($D85,WBS_CBS!$A$5:$A$16,0)),"Yes"))</f>
        <v/>
      </c>
      <c r="W85" s="150">
        <f>IF($D85="","",IFERROR(INDEX(WBS_CBS!$K$5:$K$16,MATCH($D85,WBS_CBS!$A$5:$A$16,0)),""))</f>
        <v/>
      </c>
      <c r="X85" s="150">
        <f>IF($D85="","",IFERROR(INDEX(WBS_CBS!$F$5:$F$16,MATCH($D85,WBS_CBS!$A$5:$A$16,0)),""))</f>
        <v/>
      </c>
      <c r="Y85" s="149" t="n"/>
      <c r="Z85" s="149" t="n"/>
      <c r="AA85" s="150">
        <f>IF($D85="","",IFERROR(INDEX(WBS_CBS!$L$5:$L$16,MATCH($D85,WBS_CBS!$A$5:$A$16,0)),""))</f>
        <v/>
      </c>
      <c r="AB85" s="149" t="n"/>
    </row>
    <row r="86">
      <c r="A86" s="149" t="n"/>
      <c r="B86" s="149" t="n"/>
      <c r="C86" s="150">
        <f>IF($D86="","",IFERROR(INDEX(WBS_CBS!$E$5:$E$16,MATCH($D86,WBS_CBS!$A$5:$A$16,0)),""))</f>
        <v/>
      </c>
      <c r="D86" s="149" t="n"/>
      <c r="E86" s="150">
        <f>IF($D86="","",IFERROR(INDEX(WBS_CBS!$C$5:$C$16,MATCH($D86,WBS_CBS!$A$5:$A$16,0)),""))</f>
        <v/>
      </c>
      <c r="F86" s="150">
        <f>IF($D86="","",IFERROR(INDEX(WBS_CBS!$J$5:$J$16,MATCH($D86,WBS_CBS!$A$5:$A$16,0)),""))</f>
        <v/>
      </c>
      <c r="G86" s="149" t="n"/>
      <c r="H86" s="151" t="n"/>
      <c r="I86" s="149" t="n"/>
      <c r="J86" s="152" t="n"/>
      <c r="K86" s="149" t="n"/>
      <c r="L86" s="153">
        <f>IF($K86="","",IFERROR(INDEX(FX_Rates!$B$5:$B$14,MATCH($K86,FX_Rates!$A$5:$A$14,0)),""))</f>
        <v/>
      </c>
      <c r="M86" s="153">
        <f>IF(OR($H86="",$J86=""),"",$H86*$J86)</f>
        <v/>
      </c>
      <c r="N86" s="153">
        <f>IF(OR($M86="",$L86=""),"",$M86*$L86)</f>
        <v/>
      </c>
      <c r="O86" s="149" t="n"/>
      <c r="P86" s="154">
        <f>IF($O86="","",IFERROR(INDEX(Basis_of_Estimate!$C$5:$C$9,MATCH($O86,Basis_of_Estimate!$A$5:$A$9,0)),""))</f>
        <v/>
      </c>
      <c r="Q86" s="154">
        <f>IF($O86="","",IFERROR(INDEX(Basis_of_Estimate!$D$5:$D$9,MATCH($O86,Basis_of_Estimate!$A$5:$A$9,0)),""))</f>
        <v/>
      </c>
      <c r="R86" s="153">
        <f>IF($N86="","",$N86*(1+$P86))</f>
        <v/>
      </c>
      <c r="S86" s="153">
        <f>IF($N86="","",$N86)</f>
        <v/>
      </c>
      <c r="T86" s="153">
        <f>IF($N86="","",$N86*(1+$Q86))</f>
        <v/>
      </c>
      <c r="U86" s="150">
        <f>IF($D86="","",IFERROR(INDEX(WBS_CBS!$M$5:$M$16,MATCH($D86,WBS_CBS!$A$5:$A$16,0)),"Yes"))</f>
        <v/>
      </c>
      <c r="V86" s="150">
        <f>IF($D86="","",IFERROR(INDEX(WBS_CBS!$N$5:$N$16,MATCH($D86,WBS_CBS!$A$5:$A$16,0)),"Yes"))</f>
        <v/>
      </c>
      <c r="W86" s="150">
        <f>IF($D86="","",IFERROR(INDEX(WBS_CBS!$K$5:$K$16,MATCH($D86,WBS_CBS!$A$5:$A$16,0)),""))</f>
        <v/>
      </c>
      <c r="X86" s="150">
        <f>IF($D86="","",IFERROR(INDEX(WBS_CBS!$F$5:$F$16,MATCH($D86,WBS_CBS!$A$5:$A$16,0)),""))</f>
        <v/>
      </c>
      <c r="Y86" s="149" t="n"/>
      <c r="Z86" s="149" t="n"/>
      <c r="AA86" s="150">
        <f>IF($D86="","",IFERROR(INDEX(WBS_CBS!$L$5:$L$16,MATCH($D86,WBS_CBS!$A$5:$A$16,0)),""))</f>
        <v/>
      </c>
      <c r="AB86" s="149" t="n"/>
    </row>
    <row r="87">
      <c r="A87" s="149" t="n"/>
      <c r="B87" s="149" t="n"/>
      <c r="C87" s="150">
        <f>IF($D87="","",IFERROR(INDEX(WBS_CBS!$E$5:$E$16,MATCH($D87,WBS_CBS!$A$5:$A$16,0)),""))</f>
        <v/>
      </c>
      <c r="D87" s="149" t="n"/>
      <c r="E87" s="150">
        <f>IF($D87="","",IFERROR(INDEX(WBS_CBS!$C$5:$C$16,MATCH($D87,WBS_CBS!$A$5:$A$16,0)),""))</f>
        <v/>
      </c>
      <c r="F87" s="150">
        <f>IF($D87="","",IFERROR(INDEX(WBS_CBS!$J$5:$J$16,MATCH($D87,WBS_CBS!$A$5:$A$16,0)),""))</f>
        <v/>
      </c>
      <c r="G87" s="149" t="n"/>
      <c r="H87" s="151" t="n"/>
      <c r="I87" s="149" t="n"/>
      <c r="J87" s="152" t="n"/>
      <c r="K87" s="149" t="n"/>
      <c r="L87" s="153">
        <f>IF($K87="","",IFERROR(INDEX(FX_Rates!$B$5:$B$14,MATCH($K87,FX_Rates!$A$5:$A$14,0)),""))</f>
        <v/>
      </c>
      <c r="M87" s="153">
        <f>IF(OR($H87="",$J87=""),"",$H87*$J87)</f>
        <v/>
      </c>
      <c r="N87" s="153">
        <f>IF(OR($M87="",$L87=""),"",$M87*$L87)</f>
        <v/>
      </c>
      <c r="O87" s="149" t="n"/>
      <c r="P87" s="154">
        <f>IF($O87="","",IFERROR(INDEX(Basis_of_Estimate!$C$5:$C$9,MATCH($O87,Basis_of_Estimate!$A$5:$A$9,0)),""))</f>
        <v/>
      </c>
      <c r="Q87" s="154">
        <f>IF($O87="","",IFERROR(INDEX(Basis_of_Estimate!$D$5:$D$9,MATCH($O87,Basis_of_Estimate!$A$5:$A$9,0)),""))</f>
        <v/>
      </c>
      <c r="R87" s="153">
        <f>IF($N87="","",$N87*(1+$P87))</f>
        <v/>
      </c>
      <c r="S87" s="153">
        <f>IF($N87="","",$N87)</f>
        <v/>
      </c>
      <c r="T87" s="153">
        <f>IF($N87="","",$N87*(1+$Q87))</f>
        <v/>
      </c>
      <c r="U87" s="150">
        <f>IF($D87="","",IFERROR(INDEX(WBS_CBS!$M$5:$M$16,MATCH($D87,WBS_CBS!$A$5:$A$16,0)),"Yes"))</f>
        <v/>
      </c>
      <c r="V87" s="150">
        <f>IF($D87="","",IFERROR(INDEX(WBS_CBS!$N$5:$N$16,MATCH($D87,WBS_CBS!$A$5:$A$16,0)),"Yes"))</f>
        <v/>
      </c>
      <c r="W87" s="150">
        <f>IF($D87="","",IFERROR(INDEX(WBS_CBS!$K$5:$K$16,MATCH($D87,WBS_CBS!$A$5:$A$16,0)),""))</f>
        <v/>
      </c>
      <c r="X87" s="150">
        <f>IF($D87="","",IFERROR(INDEX(WBS_CBS!$F$5:$F$16,MATCH($D87,WBS_CBS!$A$5:$A$16,0)),""))</f>
        <v/>
      </c>
      <c r="Y87" s="149" t="n"/>
      <c r="Z87" s="149" t="n"/>
      <c r="AA87" s="150">
        <f>IF($D87="","",IFERROR(INDEX(WBS_CBS!$L$5:$L$16,MATCH($D87,WBS_CBS!$A$5:$A$16,0)),""))</f>
        <v/>
      </c>
      <c r="AB87" s="149" t="n"/>
    </row>
    <row r="88">
      <c r="A88" s="149" t="n"/>
      <c r="B88" s="149" t="n"/>
      <c r="C88" s="150">
        <f>IF($D88="","",IFERROR(INDEX(WBS_CBS!$E$5:$E$16,MATCH($D88,WBS_CBS!$A$5:$A$16,0)),""))</f>
        <v/>
      </c>
      <c r="D88" s="149" t="n"/>
      <c r="E88" s="150">
        <f>IF($D88="","",IFERROR(INDEX(WBS_CBS!$C$5:$C$16,MATCH($D88,WBS_CBS!$A$5:$A$16,0)),""))</f>
        <v/>
      </c>
      <c r="F88" s="150">
        <f>IF($D88="","",IFERROR(INDEX(WBS_CBS!$J$5:$J$16,MATCH($D88,WBS_CBS!$A$5:$A$16,0)),""))</f>
        <v/>
      </c>
      <c r="G88" s="149" t="n"/>
      <c r="H88" s="151" t="n"/>
      <c r="I88" s="149" t="n"/>
      <c r="J88" s="152" t="n"/>
      <c r="K88" s="149" t="n"/>
      <c r="L88" s="153">
        <f>IF($K88="","",IFERROR(INDEX(FX_Rates!$B$5:$B$14,MATCH($K88,FX_Rates!$A$5:$A$14,0)),""))</f>
        <v/>
      </c>
      <c r="M88" s="153">
        <f>IF(OR($H88="",$J88=""),"",$H88*$J88)</f>
        <v/>
      </c>
      <c r="N88" s="153">
        <f>IF(OR($M88="",$L88=""),"",$M88*$L88)</f>
        <v/>
      </c>
      <c r="O88" s="149" t="n"/>
      <c r="P88" s="154">
        <f>IF($O88="","",IFERROR(INDEX(Basis_of_Estimate!$C$5:$C$9,MATCH($O88,Basis_of_Estimate!$A$5:$A$9,0)),""))</f>
        <v/>
      </c>
      <c r="Q88" s="154">
        <f>IF($O88="","",IFERROR(INDEX(Basis_of_Estimate!$D$5:$D$9,MATCH($O88,Basis_of_Estimate!$A$5:$A$9,0)),""))</f>
        <v/>
      </c>
      <c r="R88" s="153">
        <f>IF($N88="","",$N88*(1+$P88))</f>
        <v/>
      </c>
      <c r="S88" s="153">
        <f>IF($N88="","",$N88)</f>
        <v/>
      </c>
      <c r="T88" s="153">
        <f>IF($N88="","",$N88*(1+$Q88))</f>
        <v/>
      </c>
      <c r="U88" s="150">
        <f>IF($D88="","",IFERROR(INDEX(WBS_CBS!$M$5:$M$16,MATCH($D88,WBS_CBS!$A$5:$A$16,0)),"Yes"))</f>
        <v/>
      </c>
      <c r="V88" s="150">
        <f>IF($D88="","",IFERROR(INDEX(WBS_CBS!$N$5:$N$16,MATCH($D88,WBS_CBS!$A$5:$A$16,0)),"Yes"))</f>
        <v/>
      </c>
      <c r="W88" s="150">
        <f>IF($D88="","",IFERROR(INDEX(WBS_CBS!$K$5:$K$16,MATCH($D88,WBS_CBS!$A$5:$A$16,0)),""))</f>
        <v/>
      </c>
      <c r="X88" s="150">
        <f>IF($D88="","",IFERROR(INDEX(WBS_CBS!$F$5:$F$16,MATCH($D88,WBS_CBS!$A$5:$A$16,0)),""))</f>
        <v/>
      </c>
      <c r="Y88" s="149" t="n"/>
      <c r="Z88" s="149" t="n"/>
      <c r="AA88" s="150">
        <f>IF($D88="","",IFERROR(INDEX(WBS_CBS!$L$5:$L$16,MATCH($D88,WBS_CBS!$A$5:$A$16,0)),""))</f>
        <v/>
      </c>
      <c r="AB88" s="149" t="n"/>
    </row>
    <row r="89">
      <c r="A89" s="149" t="n"/>
      <c r="B89" s="149" t="n"/>
      <c r="C89" s="150">
        <f>IF($D89="","",IFERROR(INDEX(WBS_CBS!$E$5:$E$16,MATCH($D89,WBS_CBS!$A$5:$A$16,0)),""))</f>
        <v/>
      </c>
      <c r="D89" s="149" t="n"/>
      <c r="E89" s="150">
        <f>IF($D89="","",IFERROR(INDEX(WBS_CBS!$C$5:$C$16,MATCH($D89,WBS_CBS!$A$5:$A$16,0)),""))</f>
        <v/>
      </c>
      <c r="F89" s="150">
        <f>IF($D89="","",IFERROR(INDEX(WBS_CBS!$J$5:$J$16,MATCH($D89,WBS_CBS!$A$5:$A$16,0)),""))</f>
        <v/>
      </c>
      <c r="G89" s="149" t="n"/>
      <c r="H89" s="151" t="n"/>
      <c r="I89" s="149" t="n"/>
      <c r="J89" s="152" t="n"/>
      <c r="K89" s="149" t="n"/>
      <c r="L89" s="153">
        <f>IF($K89="","",IFERROR(INDEX(FX_Rates!$B$5:$B$14,MATCH($K89,FX_Rates!$A$5:$A$14,0)),""))</f>
        <v/>
      </c>
      <c r="M89" s="153">
        <f>IF(OR($H89="",$J89=""),"",$H89*$J89)</f>
        <v/>
      </c>
      <c r="N89" s="153">
        <f>IF(OR($M89="",$L89=""),"",$M89*$L89)</f>
        <v/>
      </c>
      <c r="O89" s="149" t="n"/>
      <c r="P89" s="154">
        <f>IF($O89="","",IFERROR(INDEX(Basis_of_Estimate!$C$5:$C$9,MATCH($O89,Basis_of_Estimate!$A$5:$A$9,0)),""))</f>
        <v/>
      </c>
      <c r="Q89" s="154">
        <f>IF($O89="","",IFERROR(INDEX(Basis_of_Estimate!$D$5:$D$9,MATCH($O89,Basis_of_Estimate!$A$5:$A$9,0)),""))</f>
        <v/>
      </c>
      <c r="R89" s="153">
        <f>IF($N89="","",$N89*(1+$P89))</f>
        <v/>
      </c>
      <c r="S89" s="153">
        <f>IF($N89="","",$N89)</f>
        <v/>
      </c>
      <c r="T89" s="153">
        <f>IF($N89="","",$N89*(1+$Q89))</f>
        <v/>
      </c>
      <c r="U89" s="150">
        <f>IF($D89="","",IFERROR(INDEX(WBS_CBS!$M$5:$M$16,MATCH($D89,WBS_CBS!$A$5:$A$16,0)),"Yes"))</f>
        <v/>
      </c>
      <c r="V89" s="150">
        <f>IF($D89="","",IFERROR(INDEX(WBS_CBS!$N$5:$N$16,MATCH($D89,WBS_CBS!$A$5:$A$16,0)),"Yes"))</f>
        <v/>
      </c>
      <c r="W89" s="150">
        <f>IF($D89="","",IFERROR(INDEX(WBS_CBS!$K$5:$K$16,MATCH($D89,WBS_CBS!$A$5:$A$16,0)),""))</f>
        <v/>
      </c>
      <c r="X89" s="150">
        <f>IF($D89="","",IFERROR(INDEX(WBS_CBS!$F$5:$F$16,MATCH($D89,WBS_CBS!$A$5:$A$16,0)),""))</f>
        <v/>
      </c>
      <c r="Y89" s="149" t="n"/>
      <c r="Z89" s="149" t="n"/>
      <c r="AA89" s="150">
        <f>IF($D89="","",IFERROR(INDEX(WBS_CBS!$L$5:$L$16,MATCH($D89,WBS_CBS!$A$5:$A$16,0)),""))</f>
        <v/>
      </c>
      <c r="AB89" s="149" t="n"/>
    </row>
    <row r="90">
      <c r="A90" s="149" t="n"/>
      <c r="B90" s="149" t="n"/>
      <c r="C90" s="150">
        <f>IF($D90="","",IFERROR(INDEX(WBS_CBS!$E$5:$E$16,MATCH($D90,WBS_CBS!$A$5:$A$16,0)),""))</f>
        <v/>
      </c>
      <c r="D90" s="149" t="n"/>
      <c r="E90" s="150">
        <f>IF($D90="","",IFERROR(INDEX(WBS_CBS!$C$5:$C$16,MATCH($D90,WBS_CBS!$A$5:$A$16,0)),""))</f>
        <v/>
      </c>
      <c r="F90" s="150">
        <f>IF($D90="","",IFERROR(INDEX(WBS_CBS!$J$5:$J$16,MATCH($D90,WBS_CBS!$A$5:$A$16,0)),""))</f>
        <v/>
      </c>
      <c r="G90" s="149" t="n"/>
      <c r="H90" s="151" t="n"/>
      <c r="I90" s="149" t="n"/>
      <c r="J90" s="152" t="n"/>
      <c r="K90" s="149" t="n"/>
      <c r="L90" s="153">
        <f>IF($K90="","",IFERROR(INDEX(FX_Rates!$B$5:$B$14,MATCH($K90,FX_Rates!$A$5:$A$14,0)),""))</f>
        <v/>
      </c>
      <c r="M90" s="153">
        <f>IF(OR($H90="",$J90=""),"",$H90*$J90)</f>
        <v/>
      </c>
      <c r="N90" s="153">
        <f>IF(OR($M90="",$L90=""),"",$M90*$L90)</f>
        <v/>
      </c>
      <c r="O90" s="149" t="n"/>
      <c r="P90" s="154">
        <f>IF($O90="","",IFERROR(INDEX(Basis_of_Estimate!$C$5:$C$9,MATCH($O90,Basis_of_Estimate!$A$5:$A$9,0)),""))</f>
        <v/>
      </c>
      <c r="Q90" s="154">
        <f>IF($O90="","",IFERROR(INDEX(Basis_of_Estimate!$D$5:$D$9,MATCH($O90,Basis_of_Estimate!$A$5:$A$9,0)),""))</f>
        <v/>
      </c>
      <c r="R90" s="153">
        <f>IF($N90="","",$N90*(1+$P90))</f>
        <v/>
      </c>
      <c r="S90" s="153">
        <f>IF($N90="","",$N90)</f>
        <v/>
      </c>
      <c r="T90" s="153">
        <f>IF($N90="","",$N90*(1+$Q90))</f>
        <v/>
      </c>
      <c r="U90" s="150">
        <f>IF($D90="","",IFERROR(INDEX(WBS_CBS!$M$5:$M$16,MATCH($D90,WBS_CBS!$A$5:$A$16,0)),"Yes"))</f>
        <v/>
      </c>
      <c r="V90" s="150">
        <f>IF($D90="","",IFERROR(INDEX(WBS_CBS!$N$5:$N$16,MATCH($D90,WBS_CBS!$A$5:$A$16,0)),"Yes"))</f>
        <v/>
      </c>
      <c r="W90" s="150">
        <f>IF($D90="","",IFERROR(INDEX(WBS_CBS!$K$5:$K$16,MATCH($D90,WBS_CBS!$A$5:$A$16,0)),""))</f>
        <v/>
      </c>
      <c r="X90" s="150">
        <f>IF($D90="","",IFERROR(INDEX(WBS_CBS!$F$5:$F$16,MATCH($D90,WBS_CBS!$A$5:$A$16,0)),""))</f>
        <v/>
      </c>
      <c r="Y90" s="149" t="n"/>
      <c r="Z90" s="149" t="n"/>
      <c r="AA90" s="150">
        <f>IF($D90="","",IFERROR(INDEX(WBS_CBS!$L$5:$L$16,MATCH($D90,WBS_CBS!$A$5:$A$16,0)),""))</f>
        <v/>
      </c>
      <c r="AB90" s="149" t="n"/>
    </row>
    <row r="91">
      <c r="A91" s="149" t="n"/>
      <c r="B91" s="149" t="n"/>
      <c r="C91" s="150">
        <f>IF($D91="","",IFERROR(INDEX(WBS_CBS!$E$5:$E$16,MATCH($D91,WBS_CBS!$A$5:$A$16,0)),""))</f>
        <v/>
      </c>
      <c r="D91" s="149" t="n"/>
      <c r="E91" s="150">
        <f>IF($D91="","",IFERROR(INDEX(WBS_CBS!$C$5:$C$16,MATCH($D91,WBS_CBS!$A$5:$A$16,0)),""))</f>
        <v/>
      </c>
      <c r="F91" s="150">
        <f>IF($D91="","",IFERROR(INDEX(WBS_CBS!$J$5:$J$16,MATCH($D91,WBS_CBS!$A$5:$A$16,0)),""))</f>
        <v/>
      </c>
      <c r="G91" s="149" t="n"/>
      <c r="H91" s="151" t="n"/>
      <c r="I91" s="149" t="n"/>
      <c r="J91" s="152" t="n"/>
      <c r="K91" s="149" t="n"/>
      <c r="L91" s="153">
        <f>IF($K91="","",IFERROR(INDEX(FX_Rates!$B$5:$B$14,MATCH($K91,FX_Rates!$A$5:$A$14,0)),""))</f>
        <v/>
      </c>
      <c r="M91" s="153">
        <f>IF(OR($H91="",$J91=""),"",$H91*$J91)</f>
        <v/>
      </c>
      <c r="N91" s="153">
        <f>IF(OR($M91="",$L91=""),"",$M91*$L91)</f>
        <v/>
      </c>
      <c r="O91" s="149" t="n"/>
      <c r="P91" s="154">
        <f>IF($O91="","",IFERROR(INDEX(Basis_of_Estimate!$C$5:$C$9,MATCH($O91,Basis_of_Estimate!$A$5:$A$9,0)),""))</f>
        <v/>
      </c>
      <c r="Q91" s="154">
        <f>IF($O91="","",IFERROR(INDEX(Basis_of_Estimate!$D$5:$D$9,MATCH($O91,Basis_of_Estimate!$A$5:$A$9,0)),""))</f>
        <v/>
      </c>
      <c r="R91" s="153">
        <f>IF($N91="","",$N91*(1+$P91))</f>
        <v/>
      </c>
      <c r="S91" s="153">
        <f>IF($N91="","",$N91)</f>
        <v/>
      </c>
      <c r="T91" s="153">
        <f>IF($N91="","",$N91*(1+$Q91))</f>
        <v/>
      </c>
      <c r="U91" s="150">
        <f>IF($D91="","",IFERROR(INDEX(WBS_CBS!$M$5:$M$16,MATCH($D91,WBS_CBS!$A$5:$A$16,0)),"Yes"))</f>
        <v/>
      </c>
      <c r="V91" s="150">
        <f>IF($D91="","",IFERROR(INDEX(WBS_CBS!$N$5:$N$16,MATCH($D91,WBS_CBS!$A$5:$A$16,0)),"Yes"))</f>
        <v/>
      </c>
      <c r="W91" s="150">
        <f>IF($D91="","",IFERROR(INDEX(WBS_CBS!$K$5:$K$16,MATCH($D91,WBS_CBS!$A$5:$A$16,0)),""))</f>
        <v/>
      </c>
      <c r="X91" s="150">
        <f>IF($D91="","",IFERROR(INDEX(WBS_CBS!$F$5:$F$16,MATCH($D91,WBS_CBS!$A$5:$A$16,0)),""))</f>
        <v/>
      </c>
      <c r="Y91" s="149" t="n"/>
      <c r="Z91" s="149" t="n"/>
      <c r="AA91" s="150">
        <f>IF($D91="","",IFERROR(INDEX(WBS_CBS!$L$5:$L$16,MATCH($D91,WBS_CBS!$A$5:$A$16,0)),""))</f>
        <v/>
      </c>
      <c r="AB91" s="149" t="n"/>
    </row>
    <row r="92">
      <c r="A92" s="149" t="n"/>
      <c r="B92" s="149" t="n"/>
      <c r="C92" s="150">
        <f>IF($D92="","",IFERROR(INDEX(WBS_CBS!$E$5:$E$16,MATCH($D92,WBS_CBS!$A$5:$A$16,0)),""))</f>
        <v/>
      </c>
      <c r="D92" s="149" t="n"/>
      <c r="E92" s="150">
        <f>IF($D92="","",IFERROR(INDEX(WBS_CBS!$C$5:$C$16,MATCH($D92,WBS_CBS!$A$5:$A$16,0)),""))</f>
        <v/>
      </c>
      <c r="F92" s="150">
        <f>IF($D92="","",IFERROR(INDEX(WBS_CBS!$J$5:$J$16,MATCH($D92,WBS_CBS!$A$5:$A$16,0)),""))</f>
        <v/>
      </c>
      <c r="G92" s="149" t="n"/>
      <c r="H92" s="151" t="n"/>
      <c r="I92" s="149" t="n"/>
      <c r="J92" s="152" t="n"/>
      <c r="K92" s="149" t="n"/>
      <c r="L92" s="153">
        <f>IF($K92="","",IFERROR(INDEX(FX_Rates!$B$5:$B$14,MATCH($K92,FX_Rates!$A$5:$A$14,0)),""))</f>
        <v/>
      </c>
      <c r="M92" s="153">
        <f>IF(OR($H92="",$J92=""),"",$H92*$J92)</f>
        <v/>
      </c>
      <c r="N92" s="153">
        <f>IF(OR($M92="",$L92=""),"",$M92*$L92)</f>
        <v/>
      </c>
      <c r="O92" s="149" t="n"/>
      <c r="P92" s="154">
        <f>IF($O92="","",IFERROR(INDEX(Basis_of_Estimate!$C$5:$C$9,MATCH($O92,Basis_of_Estimate!$A$5:$A$9,0)),""))</f>
        <v/>
      </c>
      <c r="Q92" s="154">
        <f>IF($O92="","",IFERROR(INDEX(Basis_of_Estimate!$D$5:$D$9,MATCH($O92,Basis_of_Estimate!$A$5:$A$9,0)),""))</f>
        <v/>
      </c>
      <c r="R92" s="153">
        <f>IF($N92="","",$N92*(1+$P92))</f>
        <v/>
      </c>
      <c r="S92" s="153">
        <f>IF($N92="","",$N92)</f>
        <v/>
      </c>
      <c r="T92" s="153">
        <f>IF($N92="","",$N92*(1+$Q92))</f>
        <v/>
      </c>
      <c r="U92" s="150">
        <f>IF($D92="","",IFERROR(INDEX(WBS_CBS!$M$5:$M$16,MATCH($D92,WBS_CBS!$A$5:$A$16,0)),"Yes"))</f>
        <v/>
      </c>
      <c r="V92" s="150">
        <f>IF($D92="","",IFERROR(INDEX(WBS_CBS!$N$5:$N$16,MATCH($D92,WBS_CBS!$A$5:$A$16,0)),"Yes"))</f>
        <v/>
      </c>
      <c r="W92" s="150">
        <f>IF($D92="","",IFERROR(INDEX(WBS_CBS!$K$5:$K$16,MATCH($D92,WBS_CBS!$A$5:$A$16,0)),""))</f>
        <v/>
      </c>
      <c r="X92" s="150">
        <f>IF($D92="","",IFERROR(INDEX(WBS_CBS!$F$5:$F$16,MATCH($D92,WBS_CBS!$A$5:$A$16,0)),""))</f>
        <v/>
      </c>
      <c r="Y92" s="149" t="n"/>
      <c r="Z92" s="149" t="n"/>
      <c r="AA92" s="150">
        <f>IF($D92="","",IFERROR(INDEX(WBS_CBS!$L$5:$L$16,MATCH($D92,WBS_CBS!$A$5:$A$16,0)),""))</f>
        <v/>
      </c>
      <c r="AB92" s="149" t="n"/>
    </row>
    <row r="93">
      <c r="A93" s="149" t="n"/>
      <c r="B93" s="149" t="n"/>
      <c r="C93" s="150">
        <f>IF($D93="","",IFERROR(INDEX(WBS_CBS!$E$5:$E$16,MATCH($D93,WBS_CBS!$A$5:$A$16,0)),""))</f>
        <v/>
      </c>
      <c r="D93" s="149" t="n"/>
      <c r="E93" s="150">
        <f>IF($D93="","",IFERROR(INDEX(WBS_CBS!$C$5:$C$16,MATCH($D93,WBS_CBS!$A$5:$A$16,0)),""))</f>
        <v/>
      </c>
      <c r="F93" s="150">
        <f>IF($D93="","",IFERROR(INDEX(WBS_CBS!$J$5:$J$16,MATCH($D93,WBS_CBS!$A$5:$A$16,0)),""))</f>
        <v/>
      </c>
      <c r="G93" s="149" t="n"/>
      <c r="H93" s="151" t="n"/>
      <c r="I93" s="149" t="n"/>
      <c r="J93" s="152" t="n"/>
      <c r="K93" s="149" t="n"/>
      <c r="L93" s="153">
        <f>IF($K93="","",IFERROR(INDEX(FX_Rates!$B$5:$B$14,MATCH($K93,FX_Rates!$A$5:$A$14,0)),""))</f>
        <v/>
      </c>
      <c r="M93" s="153">
        <f>IF(OR($H93="",$J93=""),"",$H93*$J93)</f>
        <v/>
      </c>
      <c r="N93" s="153">
        <f>IF(OR($M93="",$L93=""),"",$M93*$L93)</f>
        <v/>
      </c>
      <c r="O93" s="149" t="n"/>
      <c r="P93" s="154">
        <f>IF($O93="","",IFERROR(INDEX(Basis_of_Estimate!$C$5:$C$9,MATCH($O93,Basis_of_Estimate!$A$5:$A$9,0)),""))</f>
        <v/>
      </c>
      <c r="Q93" s="154">
        <f>IF($O93="","",IFERROR(INDEX(Basis_of_Estimate!$D$5:$D$9,MATCH($O93,Basis_of_Estimate!$A$5:$A$9,0)),""))</f>
        <v/>
      </c>
      <c r="R93" s="153">
        <f>IF($N93="","",$N93*(1+$P93))</f>
        <v/>
      </c>
      <c r="S93" s="153">
        <f>IF($N93="","",$N93)</f>
        <v/>
      </c>
      <c r="T93" s="153">
        <f>IF($N93="","",$N93*(1+$Q93))</f>
        <v/>
      </c>
      <c r="U93" s="150">
        <f>IF($D93="","",IFERROR(INDEX(WBS_CBS!$M$5:$M$16,MATCH($D93,WBS_CBS!$A$5:$A$16,0)),"Yes"))</f>
        <v/>
      </c>
      <c r="V93" s="150">
        <f>IF($D93="","",IFERROR(INDEX(WBS_CBS!$N$5:$N$16,MATCH($D93,WBS_CBS!$A$5:$A$16,0)),"Yes"))</f>
        <v/>
      </c>
      <c r="W93" s="150">
        <f>IF($D93="","",IFERROR(INDEX(WBS_CBS!$K$5:$K$16,MATCH($D93,WBS_CBS!$A$5:$A$16,0)),""))</f>
        <v/>
      </c>
      <c r="X93" s="150">
        <f>IF($D93="","",IFERROR(INDEX(WBS_CBS!$F$5:$F$16,MATCH($D93,WBS_CBS!$A$5:$A$16,0)),""))</f>
        <v/>
      </c>
      <c r="Y93" s="149" t="n"/>
      <c r="Z93" s="149" t="n"/>
      <c r="AA93" s="150">
        <f>IF($D93="","",IFERROR(INDEX(WBS_CBS!$L$5:$L$16,MATCH($D93,WBS_CBS!$A$5:$A$16,0)),""))</f>
        <v/>
      </c>
      <c r="AB93" s="149" t="n"/>
    </row>
    <row r="94">
      <c r="A94" s="149" t="n"/>
      <c r="B94" s="149" t="n"/>
      <c r="C94" s="150">
        <f>IF($D94="","",IFERROR(INDEX(WBS_CBS!$E$5:$E$16,MATCH($D94,WBS_CBS!$A$5:$A$16,0)),""))</f>
        <v/>
      </c>
      <c r="D94" s="149" t="n"/>
      <c r="E94" s="150">
        <f>IF($D94="","",IFERROR(INDEX(WBS_CBS!$C$5:$C$16,MATCH($D94,WBS_CBS!$A$5:$A$16,0)),""))</f>
        <v/>
      </c>
      <c r="F94" s="150">
        <f>IF($D94="","",IFERROR(INDEX(WBS_CBS!$J$5:$J$16,MATCH($D94,WBS_CBS!$A$5:$A$16,0)),""))</f>
        <v/>
      </c>
      <c r="G94" s="149" t="n"/>
      <c r="H94" s="151" t="n"/>
      <c r="I94" s="149" t="n"/>
      <c r="J94" s="152" t="n"/>
      <c r="K94" s="149" t="n"/>
      <c r="L94" s="153">
        <f>IF($K94="","",IFERROR(INDEX(FX_Rates!$B$5:$B$14,MATCH($K94,FX_Rates!$A$5:$A$14,0)),""))</f>
        <v/>
      </c>
      <c r="M94" s="153">
        <f>IF(OR($H94="",$J94=""),"",$H94*$J94)</f>
        <v/>
      </c>
      <c r="N94" s="153">
        <f>IF(OR($M94="",$L94=""),"",$M94*$L94)</f>
        <v/>
      </c>
      <c r="O94" s="149" t="n"/>
      <c r="P94" s="154">
        <f>IF($O94="","",IFERROR(INDEX(Basis_of_Estimate!$C$5:$C$9,MATCH($O94,Basis_of_Estimate!$A$5:$A$9,0)),""))</f>
        <v/>
      </c>
      <c r="Q94" s="154">
        <f>IF($O94="","",IFERROR(INDEX(Basis_of_Estimate!$D$5:$D$9,MATCH($O94,Basis_of_Estimate!$A$5:$A$9,0)),""))</f>
        <v/>
      </c>
      <c r="R94" s="153">
        <f>IF($N94="","",$N94*(1+$P94))</f>
        <v/>
      </c>
      <c r="S94" s="153">
        <f>IF($N94="","",$N94)</f>
        <v/>
      </c>
      <c r="T94" s="153">
        <f>IF($N94="","",$N94*(1+$Q94))</f>
        <v/>
      </c>
      <c r="U94" s="150">
        <f>IF($D94="","",IFERROR(INDEX(WBS_CBS!$M$5:$M$16,MATCH($D94,WBS_CBS!$A$5:$A$16,0)),"Yes"))</f>
        <v/>
      </c>
      <c r="V94" s="150">
        <f>IF($D94="","",IFERROR(INDEX(WBS_CBS!$N$5:$N$16,MATCH($D94,WBS_CBS!$A$5:$A$16,0)),"Yes"))</f>
        <v/>
      </c>
      <c r="W94" s="150">
        <f>IF($D94="","",IFERROR(INDEX(WBS_CBS!$K$5:$K$16,MATCH($D94,WBS_CBS!$A$5:$A$16,0)),""))</f>
        <v/>
      </c>
      <c r="X94" s="150">
        <f>IF($D94="","",IFERROR(INDEX(WBS_CBS!$F$5:$F$16,MATCH($D94,WBS_CBS!$A$5:$A$16,0)),""))</f>
        <v/>
      </c>
      <c r="Y94" s="149" t="n"/>
      <c r="Z94" s="149" t="n"/>
      <c r="AA94" s="150">
        <f>IF($D94="","",IFERROR(INDEX(WBS_CBS!$L$5:$L$16,MATCH($D94,WBS_CBS!$A$5:$A$16,0)),""))</f>
        <v/>
      </c>
      <c r="AB94" s="149" t="n"/>
    </row>
    <row r="95">
      <c r="A95" s="149" t="n"/>
      <c r="B95" s="149" t="n"/>
      <c r="C95" s="150">
        <f>IF($D95="","",IFERROR(INDEX(WBS_CBS!$E$5:$E$16,MATCH($D95,WBS_CBS!$A$5:$A$16,0)),""))</f>
        <v/>
      </c>
      <c r="D95" s="149" t="n"/>
      <c r="E95" s="150">
        <f>IF($D95="","",IFERROR(INDEX(WBS_CBS!$C$5:$C$16,MATCH($D95,WBS_CBS!$A$5:$A$16,0)),""))</f>
        <v/>
      </c>
      <c r="F95" s="150">
        <f>IF($D95="","",IFERROR(INDEX(WBS_CBS!$J$5:$J$16,MATCH($D95,WBS_CBS!$A$5:$A$16,0)),""))</f>
        <v/>
      </c>
      <c r="G95" s="149" t="n"/>
      <c r="H95" s="151" t="n"/>
      <c r="I95" s="149" t="n"/>
      <c r="J95" s="152" t="n"/>
      <c r="K95" s="149" t="n"/>
      <c r="L95" s="153">
        <f>IF($K95="","",IFERROR(INDEX(FX_Rates!$B$5:$B$14,MATCH($K95,FX_Rates!$A$5:$A$14,0)),""))</f>
        <v/>
      </c>
      <c r="M95" s="153">
        <f>IF(OR($H95="",$J95=""),"",$H95*$J95)</f>
        <v/>
      </c>
      <c r="N95" s="153">
        <f>IF(OR($M95="",$L95=""),"",$M95*$L95)</f>
        <v/>
      </c>
      <c r="O95" s="149" t="n"/>
      <c r="P95" s="154">
        <f>IF($O95="","",IFERROR(INDEX(Basis_of_Estimate!$C$5:$C$9,MATCH($O95,Basis_of_Estimate!$A$5:$A$9,0)),""))</f>
        <v/>
      </c>
      <c r="Q95" s="154">
        <f>IF($O95="","",IFERROR(INDEX(Basis_of_Estimate!$D$5:$D$9,MATCH($O95,Basis_of_Estimate!$A$5:$A$9,0)),""))</f>
        <v/>
      </c>
      <c r="R95" s="153">
        <f>IF($N95="","",$N95*(1+$P95))</f>
        <v/>
      </c>
      <c r="S95" s="153">
        <f>IF($N95="","",$N95)</f>
        <v/>
      </c>
      <c r="T95" s="153">
        <f>IF($N95="","",$N95*(1+$Q95))</f>
        <v/>
      </c>
      <c r="U95" s="150">
        <f>IF($D95="","",IFERROR(INDEX(WBS_CBS!$M$5:$M$16,MATCH($D95,WBS_CBS!$A$5:$A$16,0)),"Yes"))</f>
        <v/>
      </c>
      <c r="V95" s="150">
        <f>IF($D95="","",IFERROR(INDEX(WBS_CBS!$N$5:$N$16,MATCH($D95,WBS_CBS!$A$5:$A$16,0)),"Yes"))</f>
        <v/>
      </c>
      <c r="W95" s="150">
        <f>IF($D95="","",IFERROR(INDEX(WBS_CBS!$K$5:$K$16,MATCH($D95,WBS_CBS!$A$5:$A$16,0)),""))</f>
        <v/>
      </c>
      <c r="X95" s="150">
        <f>IF($D95="","",IFERROR(INDEX(WBS_CBS!$F$5:$F$16,MATCH($D95,WBS_CBS!$A$5:$A$16,0)),""))</f>
        <v/>
      </c>
      <c r="Y95" s="149" t="n"/>
      <c r="Z95" s="149" t="n"/>
      <c r="AA95" s="150">
        <f>IF($D95="","",IFERROR(INDEX(WBS_CBS!$L$5:$L$16,MATCH($D95,WBS_CBS!$A$5:$A$16,0)),""))</f>
        <v/>
      </c>
      <c r="AB95" s="149" t="n"/>
    </row>
    <row r="96">
      <c r="A96" s="149" t="n"/>
      <c r="B96" s="149" t="n"/>
      <c r="C96" s="150">
        <f>IF($D96="","",IFERROR(INDEX(WBS_CBS!$E$5:$E$16,MATCH($D96,WBS_CBS!$A$5:$A$16,0)),""))</f>
        <v/>
      </c>
      <c r="D96" s="149" t="n"/>
      <c r="E96" s="150">
        <f>IF($D96="","",IFERROR(INDEX(WBS_CBS!$C$5:$C$16,MATCH($D96,WBS_CBS!$A$5:$A$16,0)),""))</f>
        <v/>
      </c>
      <c r="F96" s="150">
        <f>IF($D96="","",IFERROR(INDEX(WBS_CBS!$J$5:$J$16,MATCH($D96,WBS_CBS!$A$5:$A$16,0)),""))</f>
        <v/>
      </c>
      <c r="G96" s="149" t="n"/>
      <c r="H96" s="151" t="n"/>
      <c r="I96" s="149" t="n"/>
      <c r="J96" s="152" t="n"/>
      <c r="K96" s="149" t="n"/>
      <c r="L96" s="153">
        <f>IF($K96="","",IFERROR(INDEX(FX_Rates!$B$5:$B$14,MATCH($K96,FX_Rates!$A$5:$A$14,0)),""))</f>
        <v/>
      </c>
      <c r="M96" s="153">
        <f>IF(OR($H96="",$J96=""),"",$H96*$J96)</f>
        <v/>
      </c>
      <c r="N96" s="153">
        <f>IF(OR($M96="",$L96=""),"",$M96*$L96)</f>
        <v/>
      </c>
      <c r="O96" s="149" t="n"/>
      <c r="P96" s="154">
        <f>IF($O96="","",IFERROR(INDEX(Basis_of_Estimate!$C$5:$C$9,MATCH($O96,Basis_of_Estimate!$A$5:$A$9,0)),""))</f>
        <v/>
      </c>
      <c r="Q96" s="154">
        <f>IF($O96="","",IFERROR(INDEX(Basis_of_Estimate!$D$5:$D$9,MATCH($O96,Basis_of_Estimate!$A$5:$A$9,0)),""))</f>
        <v/>
      </c>
      <c r="R96" s="153">
        <f>IF($N96="","",$N96*(1+$P96))</f>
        <v/>
      </c>
      <c r="S96" s="153">
        <f>IF($N96="","",$N96)</f>
        <v/>
      </c>
      <c r="T96" s="153">
        <f>IF($N96="","",$N96*(1+$Q96))</f>
        <v/>
      </c>
      <c r="U96" s="150">
        <f>IF($D96="","",IFERROR(INDEX(WBS_CBS!$M$5:$M$16,MATCH($D96,WBS_CBS!$A$5:$A$16,0)),"Yes"))</f>
        <v/>
      </c>
      <c r="V96" s="150">
        <f>IF($D96="","",IFERROR(INDEX(WBS_CBS!$N$5:$N$16,MATCH($D96,WBS_CBS!$A$5:$A$16,0)),"Yes"))</f>
        <v/>
      </c>
      <c r="W96" s="150">
        <f>IF($D96="","",IFERROR(INDEX(WBS_CBS!$K$5:$K$16,MATCH($D96,WBS_CBS!$A$5:$A$16,0)),""))</f>
        <v/>
      </c>
      <c r="X96" s="150">
        <f>IF($D96="","",IFERROR(INDEX(WBS_CBS!$F$5:$F$16,MATCH($D96,WBS_CBS!$A$5:$A$16,0)),""))</f>
        <v/>
      </c>
      <c r="Y96" s="149" t="n"/>
      <c r="Z96" s="149" t="n"/>
      <c r="AA96" s="150">
        <f>IF($D96="","",IFERROR(INDEX(WBS_CBS!$L$5:$L$16,MATCH($D96,WBS_CBS!$A$5:$A$16,0)),""))</f>
        <v/>
      </c>
      <c r="AB96" s="149" t="n"/>
    </row>
    <row r="97">
      <c r="A97" s="149" t="n"/>
      <c r="B97" s="149" t="n"/>
      <c r="C97" s="150">
        <f>IF($D97="","",IFERROR(INDEX(WBS_CBS!$E$5:$E$16,MATCH($D97,WBS_CBS!$A$5:$A$16,0)),""))</f>
        <v/>
      </c>
      <c r="D97" s="149" t="n"/>
      <c r="E97" s="150">
        <f>IF($D97="","",IFERROR(INDEX(WBS_CBS!$C$5:$C$16,MATCH($D97,WBS_CBS!$A$5:$A$16,0)),""))</f>
        <v/>
      </c>
      <c r="F97" s="150">
        <f>IF($D97="","",IFERROR(INDEX(WBS_CBS!$J$5:$J$16,MATCH($D97,WBS_CBS!$A$5:$A$16,0)),""))</f>
        <v/>
      </c>
      <c r="G97" s="149" t="n"/>
      <c r="H97" s="151" t="n"/>
      <c r="I97" s="149" t="n"/>
      <c r="J97" s="152" t="n"/>
      <c r="K97" s="149" t="n"/>
      <c r="L97" s="153">
        <f>IF($K97="","",IFERROR(INDEX(FX_Rates!$B$5:$B$14,MATCH($K97,FX_Rates!$A$5:$A$14,0)),""))</f>
        <v/>
      </c>
      <c r="M97" s="153">
        <f>IF(OR($H97="",$J97=""),"",$H97*$J97)</f>
        <v/>
      </c>
      <c r="N97" s="153">
        <f>IF(OR($M97="",$L97=""),"",$M97*$L97)</f>
        <v/>
      </c>
      <c r="O97" s="149" t="n"/>
      <c r="P97" s="154">
        <f>IF($O97="","",IFERROR(INDEX(Basis_of_Estimate!$C$5:$C$9,MATCH($O97,Basis_of_Estimate!$A$5:$A$9,0)),""))</f>
        <v/>
      </c>
      <c r="Q97" s="154">
        <f>IF($O97="","",IFERROR(INDEX(Basis_of_Estimate!$D$5:$D$9,MATCH($O97,Basis_of_Estimate!$A$5:$A$9,0)),""))</f>
        <v/>
      </c>
      <c r="R97" s="153">
        <f>IF($N97="","",$N97*(1+$P97))</f>
        <v/>
      </c>
      <c r="S97" s="153">
        <f>IF($N97="","",$N97)</f>
        <v/>
      </c>
      <c r="T97" s="153">
        <f>IF($N97="","",$N97*(1+$Q97))</f>
        <v/>
      </c>
      <c r="U97" s="150">
        <f>IF($D97="","",IFERROR(INDEX(WBS_CBS!$M$5:$M$16,MATCH($D97,WBS_CBS!$A$5:$A$16,0)),"Yes"))</f>
        <v/>
      </c>
      <c r="V97" s="150">
        <f>IF($D97="","",IFERROR(INDEX(WBS_CBS!$N$5:$N$16,MATCH($D97,WBS_CBS!$A$5:$A$16,0)),"Yes"))</f>
        <v/>
      </c>
      <c r="W97" s="150">
        <f>IF($D97="","",IFERROR(INDEX(WBS_CBS!$K$5:$K$16,MATCH($D97,WBS_CBS!$A$5:$A$16,0)),""))</f>
        <v/>
      </c>
      <c r="X97" s="150">
        <f>IF($D97="","",IFERROR(INDEX(WBS_CBS!$F$5:$F$16,MATCH($D97,WBS_CBS!$A$5:$A$16,0)),""))</f>
        <v/>
      </c>
      <c r="Y97" s="149" t="n"/>
      <c r="Z97" s="149" t="n"/>
      <c r="AA97" s="150">
        <f>IF($D97="","",IFERROR(INDEX(WBS_CBS!$L$5:$L$16,MATCH($D97,WBS_CBS!$A$5:$A$16,0)),""))</f>
        <v/>
      </c>
      <c r="AB97" s="149" t="n"/>
    </row>
    <row r="98">
      <c r="A98" s="149" t="n"/>
      <c r="B98" s="149" t="n"/>
      <c r="C98" s="150">
        <f>IF($D98="","",IFERROR(INDEX(WBS_CBS!$E$5:$E$16,MATCH($D98,WBS_CBS!$A$5:$A$16,0)),""))</f>
        <v/>
      </c>
      <c r="D98" s="149" t="n"/>
      <c r="E98" s="150">
        <f>IF($D98="","",IFERROR(INDEX(WBS_CBS!$C$5:$C$16,MATCH($D98,WBS_CBS!$A$5:$A$16,0)),""))</f>
        <v/>
      </c>
      <c r="F98" s="150">
        <f>IF($D98="","",IFERROR(INDEX(WBS_CBS!$J$5:$J$16,MATCH($D98,WBS_CBS!$A$5:$A$16,0)),""))</f>
        <v/>
      </c>
      <c r="G98" s="149" t="n"/>
      <c r="H98" s="151" t="n"/>
      <c r="I98" s="149" t="n"/>
      <c r="J98" s="152" t="n"/>
      <c r="K98" s="149" t="n"/>
      <c r="L98" s="153">
        <f>IF($K98="","",IFERROR(INDEX(FX_Rates!$B$5:$B$14,MATCH($K98,FX_Rates!$A$5:$A$14,0)),""))</f>
        <v/>
      </c>
      <c r="M98" s="153">
        <f>IF(OR($H98="",$J98=""),"",$H98*$J98)</f>
        <v/>
      </c>
      <c r="N98" s="153">
        <f>IF(OR($M98="",$L98=""),"",$M98*$L98)</f>
        <v/>
      </c>
      <c r="O98" s="149" t="n"/>
      <c r="P98" s="154">
        <f>IF($O98="","",IFERROR(INDEX(Basis_of_Estimate!$C$5:$C$9,MATCH($O98,Basis_of_Estimate!$A$5:$A$9,0)),""))</f>
        <v/>
      </c>
      <c r="Q98" s="154">
        <f>IF($O98="","",IFERROR(INDEX(Basis_of_Estimate!$D$5:$D$9,MATCH($O98,Basis_of_Estimate!$A$5:$A$9,0)),""))</f>
        <v/>
      </c>
      <c r="R98" s="153">
        <f>IF($N98="","",$N98*(1+$P98))</f>
        <v/>
      </c>
      <c r="S98" s="153">
        <f>IF($N98="","",$N98)</f>
        <v/>
      </c>
      <c r="T98" s="153">
        <f>IF($N98="","",$N98*(1+$Q98))</f>
        <v/>
      </c>
      <c r="U98" s="150">
        <f>IF($D98="","",IFERROR(INDEX(WBS_CBS!$M$5:$M$16,MATCH($D98,WBS_CBS!$A$5:$A$16,0)),"Yes"))</f>
        <v/>
      </c>
      <c r="V98" s="150">
        <f>IF($D98="","",IFERROR(INDEX(WBS_CBS!$N$5:$N$16,MATCH($D98,WBS_CBS!$A$5:$A$16,0)),"Yes"))</f>
        <v/>
      </c>
      <c r="W98" s="150">
        <f>IF($D98="","",IFERROR(INDEX(WBS_CBS!$K$5:$K$16,MATCH($D98,WBS_CBS!$A$5:$A$16,0)),""))</f>
        <v/>
      </c>
      <c r="X98" s="150">
        <f>IF($D98="","",IFERROR(INDEX(WBS_CBS!$F$5:$F$16,MATCH($D98,WBS_CBS!$A$5:$A$16,0)),""))</f>
        <v/>
      </c>
      <c r="Y98" s="149" t="n"/>
      <c r="Z98" s="149" t="n"/>
      <c r="AA98" s="150">
        <f>IF($D98="","",IFERROR(INDEX(WBS_CBS!$L$5:$L$16,MATCH($D98,WBS_CBS!$A$5:$A$16,0)),""))</f>
        <v/>
      </c>
      <c r="AB98" s="149" t="n"/>
    </row>
    <row r="99">
      <c r="A99" s="149" t="n"/>
      <c r="B99" s="149" t="n"/>
      <c r="C99" s="150">
        <f>IF($D99="","",IFERROR(INDEX(WBS_CBS!$E$5:$E$16,MATCH($D99,WBS_CBS!$A$5:$A$16,0)),""))</f>
        <v/>
      </c>
      <c r="D99" s="149" t="n"/>
      <c r="E99" s="150">
        <f>IF($D99="","",IFERROR(INDEX(WBS_CBS!$C$5:$C$16,MATCH($D99,WBS_CBS!$A$5:$A$16,0)),""))</f>
        <v/>
      </c>
      <c r="F99" s="150">
        <f>IF($D99="","",IFERROR(INDEX(WBS_CBS!$J$5:$J$16,MATCH($D99,WBS_CBS!$A$5:$A$16,0)),""))</f>
        <v/>
      </c>
      <c r="G99" s="149" t="n"/>
      <c r="H99" s="151" t="n"/>
      <c r="I99" s="149" t="n"/>
      <c r="J99" s="152" t="n"/>
      <c r="K99" s="149" t="n"/>
      <c r="L99" s="153">
        <f>IF($K99="","",IFERROR(INDEX(FX_Rates!$B$5:$B$14,MATCH($K99,FX_Rates!$A$5:$A$14,0)),""))</f>
        <v/>
      </c>
      <c r="M99" s="153">
        <f>IF(OR($H99="",$J99=""),"",$H99*$J99)</f>
        <v/>
      </c>
      <c r="N99" s="153">
        <f>IF(OR($M99="",$L99=""),"",$M99*$L99)</f>
        <v/>
      </c>
      <c r="O99" s="149" t="n"/>
      <c r="P99" s="154">
        <f>IF($O99="","",IFERROR(INDEX(Basis_of_Estimate!$C$5:$C$9,MATCH($O99,Basis_of_Estimate!$A$5:$A$9,0)),""))</f>
        <v/>
      </c>
      <c r="Q99" s="154">
        <f>IF($O99="","",IFERROR(INDEX(Basis_of_Estimate!$D$5:$D$9,MATCH($O99,Basis_of_Estimate!$A$5:$A$9,0)),""))</f>
        <v/>
      </c>
      <c r="R99" s="153">
        <f>IF($N99="","",$N99*(1+$P99))</f>
        <v/>
      </c>
      <c r="S99" s="153">
        <f>IF($N99="","",$N99)</f>
        <v/>
      </c>
      <c r="T99" s="153">
        <f>IF($N99="","",$N99*(1+$Q99))</f>
        <v/>
      </c>
      <c r="U99" s="150">
        <f>IF($D99="","",IFERROR(INDEX(WBS_CBS!$M$5:$M$16,MATCH($D99,WBS_CBS!$A$5:$A$16,0)),"Yes"))</f>
        <v/>
      </c>
      <c r="V99" s="150">
        <f>IF($D99="","",IFERROR(INDEX(WBS_CBS!$N$5:$N$16,MATCH($D99,WBS_CBS!$A$5:$A$16,0)),"Yes"))</f>
        <v/>
      </c>
      <c r="W99" s="150">
        <f>IF($D99="","",IFERROR(INDEX(WBS_CBS!$K$5:$K$16,MATCH($D99,WBS_CBS!$A$5:$A$16,0)),""))</f>
        <v/>
      </c>
      <c r="X99" s="150">
        <f>IF($D99="","",IFERROR(INDEX(WBS_CBS!$F$5:$F$16,MATCH($D99,WBS_CBS!$A$5:$A$16,0)),""))</f>
        <v/>
      </c>
      <c r="Y99" s="149" t="n"/>
      <c r="Z99" s="149" t="n"/>
      <c r="AA99" s="150">
        <f>IF($D99="","",IFERROR(INDEX(WBS_CBS!$L$5:$L$16,MATCH($D99,WBS_CBS!$A$5:$A$16,0)),""))</f>
        <v/>
      </c>
      <c r="AB99" s="149" t="n"/>
    </row>
    <row r="100">
      <c r="A100" s="149" t="n"/>
      <c r="B100" s="149" t="n"/>
      <c r="C100" s="150">
        <f>IF($D100="","",IFERROR(INDEX(WBS_CBS!$E$5:$E$16,MATCH($D100,WBS_CBS!$A$5:$A$16,0)),""))</f>
        <v/>
      </c>
      <c r="D100" s="149" t="n"/>
      <c r="E100" s="150">
        <f>IF($D100="","",IFERROR(INDEX(WBS_CBS!$C$5:$C$16,MATCH($D100,WBS_CBS!$A$5:$A$16,0)),""))</f>
        <v/>
      </c>
      <c r="F100" s="150">
        <f>IF($D100="","",IFERROR(INDEX(WBS_CBS!$J$5:$J$16,MATCH($D100,WBS_CBS!$A$5:$A$16,0)),""))</f>
        <v/>
      </c>
      <c r="G100" s="149" t="n"/>
      <c r="H100" s="151" t="n"/>
      <c r="I100" s="149" t="n"/>
      <c r="J100" s="152" t="n"/>
      <c r="K100" s="149" t="n"/>
      <c r="L100" s="153">
        <f>IF($K100="","",IFERROR(INDEX(FX_Rates!$B$5:$B$14,MATCH($K100,FX_Rates!$A$5:$A$14,0)),""))</f>
        <v/>
      </c>
      <c r="M100" s="153">
        <f>IF(OR($H100="",$J100=""),"",$H100*$J100)</f>
        <v/>
      </c>
      <c r="N100" s="153">
        <f>IF(OR($M100="",$L100=""),"",$M100*$L100)</f>
        <v/>
      </c>
      <c r="O100" s="149" t="n"/>
      <c r="P100" s="154">
        <f>IF($O100="","",IFERROR(INDEX(Basis_of_Estimate!$C$5:$C$9,MATCH($O100,Basis_of_Estimate!$A$5:$A$9,0)),""))</f>
        <v/>
      </c>
      <c r="Q100" s="154">
        <f>IF($O100="","",IFERROR(INDEX(Basis_of_Estimate!$D$5:$D$9,MATCH($O100,Basis_of_Estimate!$A$5:$A$9,0)),""))</f>
        <v/>
      </c>
      <c r="R100" s="153">
        <f>IF($N100="","",$N100*(1+$P100))</f>
        <v/>
      </c>
      <c r="S100" s="153">
        <f>IF($N100="","",$N100)</f>
        <v/>
      </c>
      <c r="T100" s="153">
        <f>IF($N100="","",$N100*(1+$Q100))</f>
        <v/>
      </c>
      <c r="U100" s="150">
        <f>IF($D100="","",IFERROR(INDEX(WBS_CBS!$M$5:$M$16,MATCH($D100,WBS_CBS!$A$5:$A$16,0)),"Yes"))</f>
        <v/>
      </c>
      <c r="V100" s="150">
        <f>IF($D100="","",IFERROR(INDEX(WBS_CBS!$N$5:$N$16,MATCH($D100,WBS_CBS!$A$5:$A$16,0)),"Yes"))</f>
        <v/>
      </c>
      <c r="W100" s="150">
        <f>IF($D100="","",IFERROR(INDEX(WBS_CBS!$K$5:$K$16,MATCH($D100,WBS_CBS!$A$5:$A$16,0)),""))</f>
        <v/>
      </c>
      <c r="X100" s="150">
        <f>IF($D100="","",IFERROR(INDEX(WBS_CBS!$F$5:$F$16,MATCH($D100,WBS_CBS!$A$5:$A$16,0)),""))</f>
        <v/>
      </c>
      <c r="Y100" s="149" t="n"/>
      <c r="Z100" s="149" t="n"/>
      <c r="AA100" s="150">
        <f>IF($D100="","",IFERROR(INDEX(WBS_CBS!$L$5:$L$16,MATCH($D100,WBS_CBS!$A$5:$A$16,0)),""))</f>
        <v/>
      </c>
      <c r="AB100" s="149" t="n"/>
    </row>
    <row r="101">
      <c r="A101" s="149" t="n"/>
      <c r="B101" s="149" t="n"/>
      <c r="C101" s="150">
        <f>IF($D101="","",IFERROR(INDEX(WBS_CBS!$E$5:$E$16,MATCH($D101,WBS_CBS!$A$5:$A$16,0)),""))</f>
        <v/>
      </c>
      <c r="D101" s="149" t="n"/>
      <c r="E101" s="150">
        <f>IF($D101="","",IFERROR(INDEX(WBS_CBS!$C$5:$C$16,MATCH($D101,WBS_CBS!$A$5:$A$16,0)),""))</f>
        <v/>
      </c>
      <c r="F101" s="150">
        <f>IF($D101="","",IFERROR(INDEX(WBS_CBS!$J$5:$J$16,MATCH($D101,WBS_CBS!$A$5:$A$16,0)),""))</f>
        <v/>
      </c>
      <c r="G101" s="149" t="n"/>
      <c r="H101" s="151" t="n"/>
      <c r="I101" s="149" t="n"/>
      <c r="J101" s="152" t="n"/>
      <c r="K101" s="149" t="n"/>
      <c r="L101" s="153">
        <f>IF($K101="","",IFERROR(INDEX(FX_Rates!$B$5:$B$14,MATCH($K101,FX_Rates!$A$5:$A$14,0)),""))</f>
        <v/>
      </c>
      <c r="M101" s="153">
        <f>IF(OR($H101="",$J101=""),"",$H101*$J101)</f>
        <v/>
      </c>
      <c r="N101" s="153">
        <f>IF(OR($M101="",$L101=""),"",$M101*$L101)</f>
        <v/>
      </c>
      <c r="O101" s="149" t="n"/>
      <c r="P101" s="154">
        <f>IF($O101="","",IFERROR(INDEX(Basis_of_Estimate!$C$5:$C$9,MATCH($O101,Basis_of_Estimate!$A$5:$A$9,0)),""))</f>
        <v/>
      </c>
      <c r="Q101" s="154">
        <f>IF($O101="","",IFERROR(INDEX(Basis_of_Estimate!$D$5:$D$9,MATCH($O101,Basis_of_Estimate!$A$5:$A$9,0)),""))</f>
        <v/>
      </c>
      <c r="R101" s="153">
        <f>IF($N101="","",$N101*(1+$P101))</f>
        <v/>
      </c>
      <c r="S101" s="153">
        <f>IF($N101="","",$N101)</f>
        <v/>
      </c>
      <c r="T101" s="153">
        <f>IF($N101="","",$N101*(1+$Q101))</f>
        <v/>
      </c>
      <c r="U101" s="150">
        <f>IF($D101="","",IFERROR(INDEX(WBS_CBS!$M$5:$M$16,MATCH($D101,WBS_CBS!$A$5:$A$16,0)),"Yes"))</f>
        <v/>
      </c>
      <c r="V101" s="150">
        <f>IF($D101="","",IFERROR(INDEX(WBS_CBS!$N$5:$N$16,MATCH($D101,WBS_CBS!$A$5:$A$16,0)),"Yes"))</f>
        <v/>
      </c>
      <c r="W101" s="150">
        <f>IF($D101="","",IFERROR(INDEX(WBS_CBS!$K$5:$K$16,MATCH($D101,WBS_CBS!$A$5:$A$16,0)),""))</f>
        <v/>
      </c>
      <c r="X101" s="150">
        <f>IF($D101="","",IFERROR(INDEX(WBS_CBS!$F$5:$F$16,MATCH($D101,WBS_CBS!$A$5:$A$16,0)),""))</f>
        <v/>
      </c>
      <c r="Y101" s="149" t="n"/>
      <c r="Z101" s="149" t="n"/>
      <c r="AA101" s="150">
        <f>IF($D101="","",IFERROR(INDEX(WBS_CBS!$L$5:$L$16,MATCH($D101,WBS_CBS!$A$5:$A$16,0)),""))</f>
        <v/>
      </c>
      <c r="AB101" s="149" t="n"/>
    </row>
    <row r="102">
      <c r="A102" s="149" t="n"/>
      <c r="B102" s="149" t="n"/>
      <c r="C102" s="150">
        <f>IF($D102="","",IFERROR(INDEX(WBS_CBS!$E$5:$E$16,MATCH($D102,WBS_CBS!$A$5:$A$16,0)),""))</f>
        <v/>
      </c>
      <c r="D102" s="149" t="n"/>
      <c r="E102" s="150">
        <f>IF($D102="","",IFERROR(INDEX(WBS_CBS!$C$5:$C$16,MATCH($D102,WBS_CBS!$A$5:$A$16,0)),""))</f>
        <v/>
      </c>
      <c r="F102" s="150">
        <f>IF($D102="","",IFERROR(INDEX(WBS_CBS!$J$5:$J$16,MATCH($D102,WBS_CBS!$A$5:$A$16,0)),""))</f>
        <v/>
      </c>
      <c r="G102" s="149" t="n"/>
      <c r="H102" s="151" t="n"/>
      <c r="I102" s="149" t="n"/>
      <c r="J102" s="152" t="n"/>
      <c r="K102" s="149" t="n"/>
      <c r="L102" s="153">
        <f>IF($K102="","",IFERROR(INDEX(FX_Rates!$B$5:$B$14,MATCH($K102,FX_Rates!$A$5:$A$14,0)),""))</f>
        <v/>
      </c>
      <c r="M102" s="153">
        <f>IF(OR($H102="",$J102=""),"",$H102*$J102)</f>
        <v/>
      </c>
      <c r="N102" s="153">
        <f>IF(OR($M102="",$L102=""),"",$M102*$L102)</f>
        <v/>
      </c>
      <c r="O102" s="149" t="n"/>
      <c r="P102" s="154">
        <f>IF($O102="","",IFERROR(INDEX(Basis_of_Estimate!$C$5:$C$9,MATCH($O102,Basis_of_Estimate!$A$5:$A$9,0)),""))</f>
        <v/>
      </c>
      <c r="Q102" s="154">
        <f>IF($O102="","",IFERROR(INDEX(Basis_of_Estimate!$D$5:$D$9,MATCH($O102,Basis_of_Estimate!$A$5:$A$9,0)),""))</f>
        <v/>
      </c>
      <c r="R102" s="153">
        <f>IF($N102="","",$N102*(1+$P102))</f>
        <v/>
      </c>
      <c r="S102" s="153">
        <f>IF($N102="","",$N102)</f>
        <v/>
      </c>
      <c r="T102" s="153">
        <f>IF($N102="","",$N102*(1+$Q102))</f>
        <v/>
      </c>
      <c r="U102" s="150">
        <f>IF($D102="","",IFERROR(INDEX(WBS_CBS!$M$5:$M$16,MATCH($D102,WBS_CBS!$A$5:$A$16,0)),"Yes"))</f>
        <v/>
      </c>
      <c r="V102" s="150">
        <f>IF($D102="","",IFERROR(INDEX(WBS_CBS!$N$5:$N$16,MATCH($D102,WBS_CBS!$A$5:$A$16,0)),"Yes"))</f>
        <v/>
      </c>
      <c r="W102" s="150">
        <f>IF($D102="","",IFERROR(INDEX(WBS_CBS!$K$5:$K$16,MATCH($D102,WBS_CBS!$A$5:$A$16,0)),""))</f>
        <v/>
      </c>
      <c r="X102" s="150">
        <f>IF($D102="","",IFERROR(INDEX(WBS_CBS!$F$5:$F$16,MATCH($D102,WBS_CBS!$A$5:$A$16,0)),""))</f>
        <v/>
      </c>
      <c r="Y102" s="149" t="n"/>
      <c r="Z102" s="149" t="n"/>
      <c r="AA102" s="150">
        <f>IF($D102="","",IFERROR(INDEX(WBS_CBS!$L$5:$L$16,MATCH($D102,WBS_CBS!$A$5:$A$16,0)),""))</f>
        <v/>
      </c>
      <c r="AB102" s="149" t="n"/>
    </row>
    <row r="103">
      <c r="A103" s="149" t="n"/>
      <c r="B103" s="149" t="n"/>
      <c r="C103" s="150">
        <f>IF($D103="","",IFERROR(INDEX(WBS_CBS!$E$5:$E$16,MATCH($D103,WBS_CBS!$A$5:$A$16,0)),""))</f>
        <v/>
      </c>
      <c r="D103" s="149" t="n"/>
      <c r="E103" s="150">
        <f>IF($D103="","",IFERROR(INDEX(WBS_CBS!$C$5:$C$16,MATCH($D103,WBS_CBS!$A$5:$A$16,0)),""))</f>
        <v/>
      </c>
      <c r="F103" s="150">
        <f>IF($D103="","",IFERROR(INDEX(WBS_CBS!$J$5:$J$16,MATCH($D103,WBS_CBS!$A$5:$A$16,0)),""))</f>
        <v/>
      </c>
      <c r="G103" s="149" t="n"/>
      <c r="H103" s="151" t="n"/>
      <c r="I103" s="149" t="n"/>
      <c r="J103" s="152" t="n"/>
      <c r="K103" s="149" t="n"/>
      <c r="L103" s="153">
        <f>IF($K103="","",IFERROR(INDEX(FX_Rates!$B$5:$B$14,MATCH($K103,FX_Rates!$A$5:$A$14,0)),""))</f>
        <v/>
      </c>
      <c r="M103" s="153">
        <f>IF(OR($H103="",$J103=""),"",$H103*$J103)</f>
        <v/>
      </c>
      <c r="N103" s="153">
        <f>IF(OR($M103="",$L103=""),"",$M103*$L103)</f>
        <v/>
      </c>
      <c r="O103" s="149" t="n"/>
      <c r="P103" s="154">
        <f>IF($O103="","",IFERROR(INDEX(Basis_of_Estimate!$C$5:$C$9,MATCH($O103,Basis_of_Estimate!$A$5:$A$9,0)),""))</f>
        <v/>
      </c>
      <c r="Q103" s="154">
        <f>IF($O103="","",IFERROR(INDEX(Basis_of_Estimate!$D$5:$D$9,MATCH($O103,Basis_of_Estimate!$A$5:$A$9,0)),""))</f>
        <v/>
      </c>
      <c r="R103" s="153">
        <f>IF($N103="","",$N103*(1+$P103))</f>
        <v/>
      </c>
      <c r="S103" s="153">
        <f>IF($N103="","",$N103)</f>
        <v/>
      </c>
      <c r="T103" s="153">
        <f>IF($N103="","",$N103*(1+$Q103))</f>
        <v/>
      </c>
      <c r="U103" s="150">
        <f>IF($D103="","",IFERROR(INDEX(WBS_CBS!$M$5:$M$16,MATCH($D103,WBS_CBS!$A$5:$A$16,0)),"Yes"))</f>
        <v/>
      </c>
      <c r="V103" s="150">
        <f>IF($D103="","",IFERROR(INDEX(WBS_CBS!$N$5:$N$16,MATCH($D103,WBS_CBS!$A$5:$A$16,0)),"Yes"))</f>
        <v/>
      </c>
      <c r="W103" s="150">
        <f>IF($D103="","",IFERROR(INDEX(WBS_CBS!$K$5:$K$16,MATCH($D103,WBS_CBS!$A$5:$A$16,0)),""))</f>
        <v/>
      </c>
      <c r="X103" s="150">
        <f>IF($D103="","",IFERROR(INDEX(WBS_CBS!$F$5:$F$16,MATCH($D103,WBS_CBS!$A$5:$A$16,0)),""))</f>
        <v/>
      </c>
      <c r="Y103" s="149" t="n"/>
      <c r="Z103" s="149" t="n"/>
      <c r="AA103" s="150">
        <f>IF($D103="","",IFERROR(INDEX(WBS_CBS!$L$5:$L$16,MATCH($D103,WBS_CBS!$A$5:$A$16,0)),""))</f>
        <v/>
      </c>
      <c r="AB103" s="149" t="n"/>
    </row>
    <row r="104">
      <c r="A104" s="149" t="n"/>
      <c r="B104" s="149" t="n"/>
      <c r="C104" s="150">
        <f>IF($D104="","",IFERROR(INDEX(WBS_CBS!$E$5:$E$16,MATCH($D104,WBS_CBS!$A$5:$A$16,0)),""))</f>
        <v/>
      </c>
      <c r="D104" s="149" t="n"/>
      <c r="E104" s="150">
        <f>IF($D104="","",IFERROR(INDEX(WBS_CBS!$C$5:$C$16,MATCH($D104,WBS_CBS!$A$5:$A$16,0)),""))</f>
        <v/>
      </c>
      <c r="F104" s="150">
        <f>IF($D104="","",IFERROR(INDEX(WBS_CBS!$J$5:$J$16,MATCH($D104,WBS_CBS!$A$5:$A$16,0)),""))</f>
        <v/>
      </c>
      <c r="G104" s="149" t="n"/>
      <c r="H104" s="151" t="n"/>
      <c r="I104" s="149" t="n"/>
      <c r="J104" s="152" t="n"/>
      <c r="K104" s="149" t="n"/>
      <c r="L104" s="153">
        <f>IF($K104="","",IFERROR(INDEX(FX_Rates!$B$5:$B$14,MATCH($K104,FX_Rates!$A$5:$A$14,0)),""))</f>
        <v/>
      </c>
      <c r="M104" s="153">
        <f>IF(OR($H104="",$J104=""),"",$H104*$J104)</f>
        <v/>
      </c>
      <c r="N104" s="153">
        <f>IF(OR($M104="",$L104=""),"",$M104*$L104)</f>
        <v/>
      </c>
      <c r="O104" s="149" t="n"/>
      <c r="P104" s="154">
        <f>IF($O104="","",IFERROR(INDEX(Basis_of_Estimate!$C$5:$C$9,MATCH($O104,Basis_of_Estimate!$A$5:$A$9,0)),""))</f>
        <v/>
      </c>
      <c r="Q104" s="154">
        <f>IF($O104="","",IFERROR(INDEX(Basis_of_Estimate!$D$5:$D$9,MATCH($O104,Basis_of_Estimate!$A$5:$A$9,0)),""))</f>
        <v/>
      </c>
      <c r="R104" s="153">
        <f>IF($N104="","",$N104*(1+$P104))</f>
        <v/>
      </c>
      <c r="S104" s="153">
        <f>IF($N104="","",$N104)</f>
        <v/>
      </c>
      <c r="T104" s="153">
        <f>IF($N104="","",$N104*(1+$Q104))</f>
        <v/>
      </c>
      <c r="U104" s="150">
        <f>IF($D104="","",IFERROR(INDEX(WBS_CBS!$M$5:$M$16,MATCH($D104,WBS_CBS!$A$5:$A$16,0)),"Yes"))</f>
        <v/>
      </c>
      <c r="V104" s="150">
        <f>IF($D104="","",IFERROR(INDEX(WBS_CBS!$N$5:$N$16,MATCH($D104,WBS_CBS!$A$5:$A$16,0)),"Yes"))</f>
        <v/>
      </c>
      <c r="W104" s="150">
        <f>IF($D104="","",IFERROR(INDEX(WBS_CBS!$K$5:$K$16,MATCH($D104,WBS_CBS!$A$5:$A$16,0)),""))</f>
        <v/>
      </c>
      <c r="X104" s="150">
        <f>IF($D104="","",IFERROR(INDEX(WBS_CBS!$F$5:$F$16,MATCH($D104,WBS_CBS!$A$5:$A$16,0)),""))</f>
        <v/>
      </c>
      <c r="Y104" s="149" t="n"/>
      <c r="Z104" s="149" t="n"/>
      <c r="AA104" s="150">
        <f>IF($D104="","",IFERROR(INDEX(WBS_CBS!$L$5:$L$16,MATCH($D104,WBS_CBS!$A$5:$A$16,0)),""))</f>
        <v/>
      </c>
      <c r="AB104" s="149" t="n"/>
    </row>
  </sheetData>
  <mergeCells count="2">
    <mergeCell ref="A2:AB2"/>
    <mergeCell ref="A1:AB1"/>
  </mergeCells>
  <dataValidations count="19">
    <dataValidation sqref="C5:C104" showDropDown="0" showInputMessage="0" showErrorMessage="0" allowBlank="0" type="list">
      <formula1>"Process,Mechanical,Piping,Civil,Electrical,Instrumentation,Automation,Construction,Project Management,Procurement,HSE,Commissioning,Owner,Other"</formula1>
    </dataValidation>
    <dataValidation sqref="D5:D104" showDropDown="0" showInputMessage="0" showErrorMessage="0" allowBlank="0" type="list">
      <formula1>"1.0,2.0,3.0,4.0,5.0,6.0,7.0,8.0,9.0,10.0,11.0,12.0"</formula1>
    </dataValidation>
    <dataValidation sqref="E5:E104" showDropDown="0" showInputMessage="0" showErrorMessage="0" allowBlank="0" type="list">
      <formula1>"PM,ENG,PROC,EQP,BULK,CIV,ELE,I&amp;A,CON,COM,OWN,OTH"</formula1>
    </dataValidation>
    <dataValidation sqref="F5:F104" showDropDown="0" showInputMessage="0" showErrorMessage="0" allowBlank="0" type="list">
      <formula1>"Direct Cost,Indirect Cost,Owner Cost,Manpower Cost,Other Cost"</formula1>
    </dataValidation>
    <dataValidation sqref="G5:G104" showDropDown="0" showInputMessage="0" showErrorMessage="0" allowBlank="0" type="list">
      <formula1>"Equipment,Bulk Material,Construction,Engineering,EPCM,Owner,Labour,Freight,Spares,Other"</formula1>
    </dataValidation>
    <dataValidation sqref="I5:I104" showDropDown="0" showInputMessage="0" showErrorMessage="0" allowBlank="0" type="list">
      <formula1>"lot,each,m,m2,m3,kg,ton,h,month,FTE-month"</formula1>
    </dataValidation>
    <dataValidation sqref="K5:K104" showDropDown="0" showInputMessage="0" showErrorMessage="0" allowBlank="0" type="list">
      <formula1>"EUR,USD,GBP,CHF,DKK,SEK,NOK,PLN,TRY,MAD"</formula1>
    </dataValidation>
    <dataValidation sqref="O5:O104" showDropDown="0" showInputMessage="0" showErrorMessage="0" allowBlank="0" type="list">
      <formula1>"Class 5,Class 4,Class 3,Class 2,Class 1"</formula1>
    </dataValidation>
    <dataValidation sqref="U5:V104" showDropDown="0" showInputMessage="0" showErrorMessage="0" allowBlank="0" type="list">
      <formula1>"Yes,No"</formula1>
    </dataValidation>
    <dataValidation sqref="W5:X104" showDropDown="0" showInputMessage="0" showErrorMessage="0" allowBlank="0" type="list">
      <formula1>"Engineering,Procurement,Construction,Commissioning,Other"</formula1>
    </dataValidation>
    <dataValidation sqref="AA5:AA104" showDropDown="0" showInputMessage="0" showErrorMessage="0" allowBlank="0" type="list">
      <formula1>"Linear,Front Loaded,Back Loaded,Bell Curve,Manual"</formula1>
    </dataValidation>
    <dataValidation sqref="D5:D104" showDropDown="0" showInputMessage="0" showErrorMessage="0" allowBlank="1" errorTitle="Invalid selection" error="Select a value from the list." type="list">
      <formula1>WBS_CBS!$A$5:$A$16</formula1>
    </dataValidation>
    <dataValidation sqref="K5:K104" showDropDown="0" showInputMessage="0" showErrorMessage="0" allowBlank="1" errorTitle="Invalid selection" error="Select a value from the list." type="list">
      <formula1>FX_Rates!$A$5:$A$14</formula1>
    </dataValidation>
    <dataValidation sqref="O5:O104" showDropDown="0" showInputMessage="0" showErrorMessage="0" allowBlank="1" errorTitle="Invalid selection" error="Select a value from the list." type="list">
      <formula1>Basis_of_Estimate!$A$5:$A$9</formula1>
    </dataValidation>
    <dataValidation sqref="U5:U104" showDropDown="0" showInputMessage="0" showErrorMessage="0" allowBlank="1" errorTitle="Invalid selection" error="Select a value from the list." type="list">
      <formula1>Lists_Config!$E$5:$E$6</formula1>
    </dataValidation>
    <dataValidation sqref="V5:V104" showDropDown="0" showInputMessage="0" showErrorMessage="0" allowBlank="1" errorTitle="Invalid selection" error="Select a value from the list." type="list">
      <formula1>Lists_Config!$E$5:$E$6</formula1>
    </dataValidation>
    <dataValidation sqref="AA5:AA104" showDropDown="0" showInputMessage="0" showErrorMessage="0" allowBlank="1" errorTitle="Invalid selection" error="Select a value from the list." type="list">
      <formula1>Lists_Config!$I$5:$I$8</formula1>
    </dataValidation>
    <dataValidation sqref="I5:I104" showDropDown="0" showInputMessage="0" showErrorMessage="0" allowBlank="1" errorTitle="Invalid selection" error="Select a value from the list." type="list">
      <formula1>Lists_Config!$J$5:$J$14</formula1>
    </dataValidation>
    <dataValidation sqref="G5:G104" showDropDown="0" showInputMessage="0" showErrorMessage="0" allowBlank="1" errorTitle="Invalid selection" error="Select a value from the list." type="list">
      <formula1>Lists_Config!$C$5:$C$13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AD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25"/>
  <cols>
    <col width="12" customWidth="1" style="70" min="1" max="1"/>
    <col width="32" customWidth="1" style="70" min="2" max="2"/>
    <col width="16" customWidth="1" style="70" min="3" max="7"/>
    <col width="10" customWidth="1" style="70" min="4" max="4"/>
    <col width="12" customWidth="1" style="70" min="5" max="5"/>
    <col width="16" customWidth="1" style="70" min="6" max="6"/>
    <col width="14" customWidth="1" style="70" min="7" max="7"/>
    <col width="10" customWidth="1" style="70" min="8" max="8"/>
    <col width="10" customWidth="1" style="70" min="9" max="9"/>
    <col width="14" customWidth="1" style="70" min="10" max="14"/>
    <col width="12" customWidth="1" style="70" min="11" max="11"/>
    <col width="12" customWidth="1" style="70" min="12" max="12"/>
    <col width="14" customWidth="1" style="70" min="13" max="13"/>
    <col width="14" customWidth="1" style="70" min="14" max="14"/>
    <col width="14" customWidth="1" style="70" min="15" max="20"/>
    <col width="12" customWidth="1" style="70" min="16" max="16"/>
    <col width="12" customWidth="1" style="70" min="17" max="17"/>
    <col width="14" customWidth="1" style="70" min="18" max="18"/>
    <col width="14" customWidth="1" style="70" min="19" max="19"/>
    <col width="14" customWidth="1" style="70" min="20" max="20"/>
    <col width="12" customWidth="1" style="70" min="21" max="27"/>
    <col width="12" customWidth="1" style="70" min="22" max="22"/>
    <col width="14" customWidth="1" style="70" min="23" max="23"/>
    <col width="14" customWidth="1" style="70" min="24" max="24"/>
    <col width="12" customWidth="1" style="70" min="25" max="25"/>
    <col width="12" customWidth="1" style="70" min="26" max="26"/>
    <col width="14" customWidth="1" style="70" min="27" max="27"/>
    <col width="24" customWidth="1" style="70" min="28" max="28"/>
  </cols>
  <sheetData>
    <row r="1" ht="24" customHeight="1" s="70">
      <c r="A1" s="144" t="inlineStr">
        <is>
          <t>Electrical Estimate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100" t="n"/>
      <c r="AD1" s="100" t="n"/>
    </row>
    <row r="2" ht="21.95000076293945" customHeight="1" s="70">
      <c r="A2" s="67" t="inlineStr">
        <is>
          <t>User input layer. Cost_Register must be rebuilt from these sheets via BuildCostRegister.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</row>
    <row r="4" ht="28" customHeight="1" s="70">
      <c r="A4" s="148" t="inlineStr">
        <is>
          <t>Item ID</t>
        </is>
      </c>
      <c r="B4" s="148" t="inlineStr">
        <is>
          <t>Description</t>
        </is>
      </c>
      <c r="C4" s="148" t="inlineStr">
        <is>
          <t>Discipline</t>
        </is>
      </c>
      <c r="D4" s="148" t="inlineStr">
        <is>
          <t>WBS</t>
        </is>
      </c>
      <c r="E4" s="148" t="inlineStr">
        <is>
          <t>CBS</t>
        </is>
      </c>
      <c r="F4" s="148" t="inlineStr">
        <is>
          <t>Cost Category</t>
        </is>
      </c>
      <c r="G4" s="148" t="inlineStr">
        <is>
          <t>Cost Type</t>
        </is>
      </c>
      <c r="H4" s="148" t="inlineStr">
        <is>
          <t>Quantity</t>
        </is>
      </c>
      <c r="I4" s="148" t="inlineStr">
        <is>
          <t>Unit</t>
        </is>
      </c>
      <c r="J4" s="148" t="inlineStr">
        <is>
          <t>Unit Rate</t>
        </is>
      </c>
      <c r="K4" s="148" t="inlineStr">
        <is>
          <t>Currency</t>
        </is>
      </c>
      <c r="L4" s="148" t="inlineStr">
        <is>
          <t>FX Rate</t>
        </is>
      </c>
      <c r="M4" s="148" t="inlineStr">
        <is>
          <t>Base Cost</t>
        </is>
      </c>
      <c r="N4" s="148" t="inlineStr">
        <is>
          <t>Base Cost EUR</t>
        </is>
      </c>
      <c r="O4" s="148" t="inlineStr">
        <is>
          <t>Estimate Basis</t>
        </is>
      </c>
      <c r="P4" s="148" t="inlineStr">
        <is>
          <t>Accuracy Low %</t>
        </is>
      </c>
      <c r="Q4" s="148" t="inlineStr">
        <is>
          <t>Accuracy High %</t>
        </is>
      </c>
      <c r="R4" s="148" t="inlineStr">
        <is>
          <t>Low Cost</t>
        </is>
      </c>
      <c r="S4" s="148" t="inlineStr">
        <is>
          <t>Most Likely Cost</t>
        </is>
      </c>
      <c r="T4" s="148" t="inlineStr">
        <is>
          <t>High Cost</t>
        </is>
      </c>
      <c r="U4" s="148" t="inlineStr">
        <is>
          <t>Contingency Eligible</t>
        </is>
      </c>
      <c r="V4" s="148" t="inlineStr">
        <is>
          <t>Escalation Eligible</t>
        </is>
      </c>
      <c r="W4" s="148" t="inlineStr">
        <is>
          <t>Spend Category</t>
        </is>
      </c>
      <c r="X4" s="148" t="inlineStr">
        <is>
          <t>Phase</t>
        </is>
      </c>
      <c r="Y4" s="148" t="inlineStr">
        <is>
          <t>Start Month</t>
        </is>
      </c>
      <c r="Z4" s="148" t="inlineStr">
        <is>
          <t>End Month</t>
        </is>
      </c>
      <c r="AA4" s="148" t="inlineStr">
        <is>
          <t>Spend Curve</t>
        </is>
      </c>
      <c r="AB4" s="148" t="inlineStr">
        <is>
          <t>Notes</t>
        </is>
      </c>
    </row>
    <row r="5">
      <c r="A5" s="149" t="inlineStr">
        <is>
          <t>EL-001</t>
        </is>
      </c>
      <c r="B5" s="149" t="inlineStr">
        <is>
          <t>MV/LV substation package</t>
        </is>
      </c>
      <c r="C5" s="150">
        <f>IF($D5="","",IFERROR(INDEX(WBS_CBS!$E$5:$E$16,MATCH($D5,WBS_CBS!$A$5:$A$16,0)),""))</f>
        <v/>
      </c>
      <c r="D5" s="149" t="inlineStr">
        <is>
          <t>7.0</t>
        </is>
      </c>
      <c r="E5" s="150">
        <f>IF($D5="","",IFERROR(INDEX(WBS_CBS!$C$5:$C$16,MATCH($D5,WBS_CBS!$A$5:$A$16,0)),""))</f>
        <v/>
      </c>
      <c r="F5" s="150">
        <f>IF($D5="","",IFERROR(INDEX(WBS_CBS!$J$5:$J$16,MATCH($D5,WBS_CBS!$A$5:$A$16,0)),""))</f>
        <v/>
      </c>
      <c r="G5" s="149" t="inlineStr">
        <is>
          <t>Equipment</t>
        </is>
      </c>
      <c r="H5" s="151" t="n">
        <v>1</v>
      </c>
      <c r="I5" s="149" t="inlineStr">
        <is>
          <t>lot</t>
        </is>
      </c>
      <c r="J5" s="152" t="n">
        <v>1400000</v>
      </c>
      <c r="K5" s="149" t="inlineStr">
        <is>
          <t>EUR</t>
        </is>
      </c>
      <c r="L5" s="153">
        <f>IF($K5="","",IFERROR(INDEX(FX_Rates!$B$5:$B$14,MATCH($K5,FX_Rates!$A$5:$A$14,0)),""))</f>
        <v/>
      </c>
      <c r="M5" s="153">
        <f>IF(OR($H5="",$J5=""),"",$H5*$J5)</f>
        <v/>
      </c>
      <c r="N5" s="153">
        <f>IF(OR($M5="",$L5=""),"",$M5*$L5)</f>
        <v/>
      </c>
      <c r="O5" s="149" t="inlineStr">
        <is>
          <t>Class 3</t>
        </is>
      </c>
      <c r="P5" s="154">
        <f>IF($O5="","",IFERROR(INDEX(Basis_of_Estimate!$C$5:$C$9,MATCH($O5,Basis_of_Estimate!$A$5:$A$9,0)),""))</f>
        <v/>
      </c>
      <c r="Q5" s="154">
        <f>IF($O5="","",IFERROR(INDEX(Basis_of_Estimate!$D$5:$D$9,MATCH($O5,Basis_of_Estimate!$A$5:$A$9,0)),""))</f>
        <v/>
      </c>
      <c r="R5" s="153">
        <f>IF($N5="","",$N5*(1+$P5))</f>
        <v/>
      </c>
      <c r="S5" s="153">
        <f>IF($N5="","",$N5)</f>
        <v/>
      </c>
      <c r="T5" s="153">
        <f>IF($N5="","",$N5*(1+$Q5))</f>
        <v/>
      </c>
      <c r="U5" s="150">
        <f>IF($D5="","",IFERROR(INDEX(WBS_CBS!$M$5:$M$16,MATCH($D5,WBS_CBS!$A$5:$A$16,0)),"Yes"))</f>
        <v/>
      </c>
      <c r="V5" s="150">
        <f>IF($D5="","",IFERROR(INDEX(WBS_CBS!$N$5:$N$16,MATCH($D5,WBS_CBS!$A$5:$A$16,0)),"Yes"))</f>
        <v/>
      </c>
      <c r="W5" s="150">
        <f>IF($D5="","",IFERROR(INDEX(WBS_CBS!$K$5:$K$16,MATCH($D5,WBS_CBS!$A$5:$A$16,0)),""))</f>
        <v/>
      </c>
      <c r="X5" s="150">
        <f>IF($D5="","",IFERROR(INDEX(WBS_CBS!$F$5:$F$16,MATCH($D5,WBS_CBS!$A$5:$A$16,0)),""))</f>
        <v/>
      </c>
      <c r="Y5" s="149" t="n">
        <v>8</v>
      </c>
      <c r="Z5" s="149" t="n">
        <v>18</v>
      </c>
      <c r="AA5" s="150">
        <f>IF($D5="","",IFERROR(INDEX(WBS_CBS!$L$5:$L$16,MATCH($D5,WBS_CBS!$A$5:$A$16,0)),""))</f>
        <v/>
      </c>
      <c r="AB5" s="149" t="n"/>
    </row>
    <row r="6">
      <c r="A6" s="149" t="inlineStr">
        <is>
          <t>EL-002</t>
        </is>
      </c>
      <c r="B6" s="149" t="inlineStr">
        <is>
          <t>MCC and distribution boards</t>
        </is>
      </c>
      <c r="C6" s="150">
        <f>IF($D6="","",IFERROR(INDEX(WBS_CBS!$E$5:$E$16,MATCH($D6,WBS_CBS!$A$5:$A$16,0)),""))</f>
        <v/>
      </c>
      <c r="D6" s="149" t="inlineStr">
        <is>
          <t>7.0</t>
        </is>
      </c>
      <c r="E6" s="150">
        <f>IF($D6="","",IFERROR(INDEX(WBS_CBS!$C$5:$C$16,MATCH($D6,WBS_CBS!$A$5:$A$16,0)),""))</f>
        <v/>
      </c>
      <c r="F6" s="150">
        <f>IF($D6="","",IFERROR(INDEX(WBS_CBS!$J$5:$J$16,MATCH($D6,WBS_CBS!$A$5:$A$16,0)),""))</f>
        <v/>
      </c>
      <c r="G6" s="149" t="inlineStr">
        <is>
          <t>Equipment</t>
        </is>
      </c>
      <c r="H6" s="151" t="n">
        <v>1</v>
      </c>
      <c r="I6" s="149" t="inlineStr">
        <is>
          <t>lot</t>
        </is>
      </c>
      <c r="J6" s="152" t="n">
        <v>1200000</v>
      </c>
      <c r="K6" s="149" t="inlineStr">
        <is>
          <t>EUR</t>
        </is>
      </c>
      <c r="L6" s="153">
        <f>IF($K6="","",IFERROR(INDEX(FX_Rates!$B$5:$B$14,MATCH($K6,FX_Rates!$A$5:$A$14,0)),""))</f>
        <v/>
      </c>
      <c r="M6" s="153">
        <f>IF(OR($H6="",$J6=""),"",$H6*$J6)</f>
        <v/>
      </c>
      <c r="N6" s="153">
        <f>IF(OR($M6="",$L6=""),"",$M6*$L6)</f>
        <v/>
      </c>
      <c r="O6" s="149" t="inlineStr">
        <is>
          <t>Class 3</t>
        </is>
      </c>
      <c r="P6" s="154">
        <f>IF($O6="","",IFERROR(INDEX(Basis_of_Estimate!$C$5:$C$9,MATCH($O6,Basis_of_Estimate!$A$5:$A$9,0)),""))</f>
        <v/>
      </c>
      <c r="Q6" s="154">
        <f>IF($O6="","",IFERROR(INDEX(Basis_of_Estimate!$D$5:$D$9,MATCH($O6,Basis_of_Estimate!$A$5:$A$9,0)),""))</f>
        <v/>
      </c>
      <c r="R6" s="153">
        <f>IF($N6="","",$N6*(1+$P6))</f>
        <v/>
      </c>
      <c r="S6" s="153">
        <f>IF($N6="","",$N6)</f>
        <v/>
      </c>
      <c r="T6" s="153">
        <f>IF($N6="","",$N6*(1+$Q6))</f>
        <v/>
      </c>
      <c r="U6" s="150">
        <f>IF($D6="","",IFERROR(INDEX(WBS_CBS!$M$5:$M$16,MATCH($D6,WBS_CBS!$A$5:$A$16,0)),"Yes"))</f>
        <v/>
      </c>
      <c r="V6" s="150">
        <f>IF($D6="","",IFERROR(INDEX(WBS_CBS!$N$5:$N$16,MATCH($D6,WBS_CBS!$A$5:$A$16,0)),"Yes"))</f>
        <v/>
      </c>
      <c r="W6" s="150">
        <f>IF($D6="","",IFERROR(INDEX(WBS_CBS!$K$5:$K$16,MATCH($D6,WBS_CBS!$A$5:$A$16,0)),""))</f>
        <v/>
      </c>
      <c r="X6" s="150">
        <f>IF($D6="","",IFERROR(INDEX(WBS_CBS!$F$5:$F$16,MATCH($D6,WBS_CBS!$A$5:$A$16,0)),""))</f>
        <v/>
      </c>
      <c r="Y6" s="149" t="n">
        <v>9</v>
      </c>
      <c r="Z6" s="149" t="n">
        <v>20</v>
      </c>
      <c r="AA6" s="150">
        <f>IF($D6="","",IFERROR(INDEX(WBS_CBS!$L$5:$L$16,MATCH($D6,WBS_CBS!$A$5:$A$16,0)),""))</f>
        <v/>
      </c>
      <c r="AB6" s="149" t="n"/>
    </row>
    <row r="7">
      <c r="A7" s="149" t="inlineStr">
        <is>
          <t>EL-003</t>
        </is>
      </c>
      <c r="B7" s="149" t="inlineStr">
        <is>
          <t>Cable trays, cabling and termination</t>
        </is>
      </c>
      <c r="C7" s="150">
        <f>IF($D7="","",IFERROR(INDEX(WBS_CBS!$E$5:$E$16,MATCH($D7,WBS_CBS!$A$5:$A$16,0)),""))</f>
        <v/>
      </c>
      <c r="D7" s="149" t="inlineStr">
        <is>
          <t>7.0</t>
        </is>
      </c>
      <c r="E7" s="150">
        <f>IF($D7="","",IFERROR(INDEX(WBS_CBS!$C$5:$C$16,MATCH($D7,WBS_CBS!$A$5:$A$16,0)),""))</f>
        <v/>
      </c>
      <c r="F7" s="150">
        <f>IF($D7="","",IFERROR(INDEX(WBS_CBS!$J$5:$J$16,MATCH($D7,WBS_CBS!$A$5:$A$16,0)),""))</f>
        <v/>
      </c>
      <c r="G7" s="149" t="inlineStr">
        <is>
          <t>Bulk Material</t>
        </is>
      </c>
      <c r="H7" s="151" t="n">
        <v>1</v>
      </c>
      <c r="I7" s="149" t="inlineStr">
        <is>
          <t>lot</t>
        </is>
      </c>
      <c r="J7" s="152" t="n">
        <v>1600000</v>
      </c>
      <c r="K7" s="149" t="inlineStr">
        <is>
          <t>EUR</t>
        </is>
      </c>
      <c r="L7" s="153">
        <f>IF($K7="","",IFERROR(INDEX(FX_Rates!$B$5:$B$14,MATCH($K7,FX_Rates!$A$5:$A$14,0)),""))</f>
        <v/>
      </c>
      <c r="M7" s="153">
        <f>IF(OR($H7="",$J7=""),"",$H7*$J7)</f>
        <v/>
      </c>
      <c r="N7" s="153">
        <f>IF(OR($M7="",$L7=""),"",$M7*$L7)</f>
        <v/>
      </c>
      <c r="O7" s="149" t="inlineStr">
        <is>
          <t>Class 3</t>
        </is>
      </c>
      <c r="P7" s="154">
        <f>IF($O7="","",IFERROR(INDEX(Basis_of_Estimate!$C$5:$C$9,MATCH($O7,Basis_of_Estimate!$A$5:$A$9,0)),""))</f>
        <v/>
      </c>
      <c r="Q7" s="154">
        <f>IF($O7="","",IFERROR(INDEX(Basis_of_Estimate!$D$5:$D$9,MATCH($O7,Basis_of_Estimate!$A$5:$A$9,0)),""))</f>
        <v/>
      </c>
      <c r="R7" s="153">
        <f>IF($N7="","",$N7*(1+$P7))</f>
        <v/>
      </c>
      <c r="S7" s="153">
        <f>IF($N7="","",$N7)</f>
        <v/>
      </c>
      <c r="T7" s="153">
        <f>IF($N7="","",$N7*(1+$Q7))</f>
        <v/>
      </c>
      <c r="U7" s="150">
        <f>IF($D7="","",IFERROR(INDEX(WBS_CBS!$M$5:$M$16,MATCH($D7,WBS_CBS!$A$5:$A$16,0)),"Yes"))</f>
        <v/>
      </c>
      <c r="V7" s="150">
        <f>IF($D7="","",IFERROR(INDEX(WBS_CBS!$N$5:$N$16,MATCH($D7,WBS_CBS!$A$5:$A$16,0)),"Yes"))</f>
        <v/>
      </c>
      <c r="W7" s="150">
        <f>IF($D7="","",IFERROR(INDEX(WBS_CBS!$K$5:$K$16,MATCH($D7,WBS_CBS!$A$5:$A$16,0)),""))</f>
        <v/>
      </c>
      <c r="X7" s="150">
        <f>IF($D7="","",IFERROR(INDEX(WBS_CBS!$F$5:$F$16,MATCH($D7,WBS_CBS!$A$5:$A$16,0)),""))</f>
        <v/>
      </c>
      <c r="Y7" s="149" t="n">
        <v>15</v>
      </c>
      <c r="Z7" s="149" t="n">
        <v>30</v>
      </c>
      <c r="AA7" s="150">
        <f>IF($D7="","",IFERROR(INDEX(WBS_CBS!$L$5:$L$16,MATCH($D7,WBS_CBS!$A$5:$A$16,0)),""))</f>
        <v/>
      </c>
      <c r="AB7" s="149" t="n"/>
    </row>
    <row r="8">
      <c r="A8" s="149" t="inlineStr">
        <is>
          <t>EL-004</t>
        </is>
      </c>
      <c r="B8" s="149" t="inlineStr">
        <is>
          <t>Lighting, earthing and small power</t>
        </is>
      </c>
      <c r="C8" s="150">
        <f>IF($D8="","",IFERROR(INDEX(WBS_CBS!$E$5:$E$16,MATCH($D8,WBS_CBS!$A$5:$A$16,0)),""))</f>
        <v/>
      </c>
      <c r="D8" s="149" t="inlineStr">
        <is>
          <t>7.0</t>
        </is>
      </c>
      <c r="E8" s="150">
        <f>IF($D8="","",IFERROR(INDEX(WBS_CBS!$C$5:$C$16,MATCH($D8,WBS_CBS!$A$5:$A$16,0)),""))</f>
        <v/>
      </c>
      <c r="F8" s="150">
        <f>IF($D8="","",IFERROR(INDEX(WBS_CBS!$J$5:$J$16,MATCH($D8,WBS_CBS!$A$5:$A$16,0)),""))</f>
        <v/>
      </c>
      <c r="G8" s="149" t="inlineStr">
        <is>
          <t>Construction</t>
        </is>
      </c>
      <c r="H8" s="151" t="n">
        <v>1</v>
      </c>
      <c r="I8" s="149" t="inlineStr">
        <is>
          <t>lot</t>
        </is>
      </c>
      <c r="J8" s="152" t="n">
        <v>800000</v>
      </c>
      <c r="K8" s="149" t="inlineStr">
        <is>
          <t>EUR</t>
        </is>
      </c>
      <c r="L8" s="153">
        <f>IF($K8="","",IFERROR(INDEX(FX_Rates!$B$5:$B$14,MATCH($K8,FX_Rates!$A$5:$A$14,0)),""))</f>
        <v/>
      </c>
      <c r="M8" s="153">
        <f>IF(OR($H8="",$J8=""),"",$H8*$J8)</f>
        <v/>
      </c>
      <c r="N8" s="153">
        <f>IF(OR($M8="",$L8=""),"",$M8*$L8)</f>
        <v/>
      </c>
      <c r="O8" s="149" t="inlineStr">
        <is>
          <t>Class 3</t>
        </is>
      </c>
      <c r="P8" s="154">
        <f>IF($O8="","",IFERROR(INDEX(Basis_of_Estimate!$C$5:$C$9,MATCH($O8,Basis_of_Estimate!$A$5:$A$9,0)),""))</f>
        <v/>
      </c>
      <c r="Q8" s="154">
        <f>IF($O8="","",IFERROR(INDEX(Basis_of_Estimate!$D$5:$D$9,MATCH($O8,Basis_of_Estimate!$A$5:$A$9,0)),""))</f>
        <v/>
      </c>
      <c r="R8" s="153">
        <f>IF($N8="","",$N8*(1+$P8))</f>
        <v/>
      </c>
      <c r="S8" s="153">
        <f>IF($N8="","",$N8)</f>
        <v/>
      </c>
      <c r="T8" s="153">
        <f>IF($N8="","",$N8*(1+$Q8))</f>
        <v/>
      </c>
      <c r="U8" s="150">
        <f>IF($D8="","",IFERROR(INDEX(WBS_CBS!$M$5:$M$16,MATCH($D8,WBS_CBS!$A$5:$A$16,0)),"Yes"))</f>
        <v/>
      </c>
      <c r="V8" s="150">
        <f>IF($D8="","",IFERROR(INDEX(WBS_CBS!$N$5:$N$16,MATCH($D8,WBS_CBS!$A$5:$A$16,0)),"Yes"))</f>
        <v/>
      </c>
      <c r="W8" s="150">
        <f>IF($D8="","",IFERROR(INDEX(WBS_CBS!$K$5:$K$16,MATCH($D8,WBS_CBS!$A$5:$A$16,0)),""))</f>
        <v/>
      </c>
      <c r="X8" s="150">
        <f>IF($D8="","",IFERROR(INDEX(WBS_CBS!$F$5:$F$16,MATCH($D8,WBS_CBS!$A$5:$A$16,0)),""))</f>
        <v/>
      </c>
      <c r="Y8" s="149" t="n">
        <v>18</v>
      </c>
      <c r="Z8" s="149" t="n">
        <v>31</v>
      </c>
      <c r="AA8" s="150">
        <f>IF($D8="","",IFERROR(INDEX(WBS_CBS!$L$5:$L$16,MATCH($D8,WBS_CBS!$A$5:$A$16,0)),""))</f>
        <v/>
      </c>
      <c r="AB8" s="149" t="n"/>
    </row>
    <row r="9">
      <c r="A9" s="149" t="n"/>
      <c r="B9" s="149" t="n"/>
      <c r="C9" s="150">
        <f>IF($D9="","",IFERROR(INDEX(WBS_CBS!$E$5:$E$16,MATCH($D9,WBS_CBS!$A$5:$A$16,0)),""))</f>
        <v/>
      </c>
      <c r="D9" s="149" t="n"/>
      <c r="E9" s="150">
        <f>IF($D9="","",IFERROR(INDEX(WBS_CBS!$C$5:$C$16,MATCH($D9,WBS_CBS!$A$5:$A$16,0)),""))</f>
        <v/>
      </c>
      <c r="F9" s="150">
        <f>IF($D9="","",IFERROR(INDEX(WBS_CBS!$J$5:$J$16,MATCH($D9,WBS_CBS!$A$5:$A$16,0)),""))</f>
        <v/>
      </c>
      <c r="G9" s="149" t="n"/>
      <c r="H9" s="151" t="n"/>
      <c r="I9" s="149" t="n"/>
      <c r="J9" s="152" t="n"/>
      <c r="K9" s="149" t="n"/>
      <c r="L9" s="153">
        <f>IF($K9="","",IFERROR(INDEX(FX_Rates!$B$5:$B$14,MATCH($K9,FX_Rates!$A$5:$A$14,0)),""))</f>
        <v/>
      </c>
      <c r="M9" s="153">
        <f>IF(OR($H9="",$J9=""),"",$H9*$J9)</f>
        <v/>
      </c>
      <c r="N9" s="153">
        <f>IF(OR($M9="",$L9=""),"",$M9*$L9)</f>
        <v/>
      </c>
      <c r="O9" s="149" t="n"/>
      <c r="P9" s="154">
        <f>IF($O9="","",IFERROR(INDEX(Basis_of_Estimate!$C$5:$C$9,MATCH($O9,Basis_of_Estimate!$A$5:$A$9,0)),""))</f>
        <v/>
      </c>
      <c r="Q9" s="154">
        <f>IF($O9="","",IFERROR(INDEX(Basis_of_Estimate!$D$5:$D$9,MATCH($O9,Basis_of_Estimate!$A$5:$A$9,0)),""))</f>
        <v/>
      </c>
      <c r="R9" s="153">
        <f>IF($N9="","",$N9*(1+$P9))</f>
        <v/>
      </c>
      <c r="S9" s="153">
        <f>IF($N9="","",$N9)</f>
        <v/>
      </c>
      <c r="T9" s="153">
        <f>IF($N9="","",$N9*(1+$Q9))</f>
        <v/>
      </c>
      <c r="U9" s="150">
        <f>IF($D9="","",IFERROR(INDEX(WBS_CBS!$M$5:$M$16,MATCH($D9,WBS_CBS!$A$5:$A$16,0)),"Yes"))</f>
        <v/>
      </c>
      <c r="V9" s="150">
        <f>IF($D9="","",IFERROR(INDEX(WBS_CBS!$N$5:$N$16,MATCH($D9,WBS_CBS!$A$5:$A$16,0)),"Yes"))</f>
        <v/>
      </c>
      <c r="W9" s="150">
        <f>IF($D9="","",IFERROR(INDEX(WBS_CBS!$K$5:$K$16,MATCH($D9,WBS_CBS!$A$5:$A$16,0)),""))</f>
        <v/>
      </c>
      <c r="X9" s="150">
        <f>IF($D9="","",IFERROR(INDEX(WBS_CBS!$F$5:$F$16,MATCH($D9,WBS_CBS!$A$5:$A$16,0)),""))</f>
        <v/>
      </c>
      <c r="Y9" s="149" t="n"/>
      <c r="Z9" s="149" t="n"/>
      <c r="AA9" s="150">
        <f>IF($D9="","",IFERROR(INDEX(WBS_CBS!$L$5:$L$16,MATCH($D9,WBS_CBS!$A$5:$A$16,0)),""))</f>
        <v/>
      </c>
      <c r="AB9" s="149" t="n"/>
    </row>
    <row r="10">
      <c r="A10" s="149" t="n"/>
      <c r="B10" s="149" t="n"/>
      <c r="C10" s="150">
        <f>IF($D10="","",IFERROR(INDEX(WBS_CBS!$E$5:$E$16,MATCH($D10,WBS_CBS!$A$5:$A$16,0)),""))</f>
        <v/>
      </c>
      <c r="D10" s="149" t="n"/>
      <c r="E10" s="150">
        <f>IF($D10="","",IFERROR(INDEX(WBS_CBS!$C$5:$C$16,MATCH($D10,WBS_CBS!$A$5:$A$16,0)),""))</f>
        <v/>
      </c>
      <c r="F10" s="150">
        <f>IF($D10="","",IFERROR(INDEX(WBS_CBS!$J$5:$J$16,MATCH($D10,WBS_CBS!$A$5:$A$16,0)),""))</f>
        <v/>
      </c>
      <c r="G10" s="149" t="n"/>
      <c r="H10" s="151" t="n"/>
      <c r="I10" s="149" t="n"/>
      <c r="J10" s="152" t="n"/>
      <c r="K10" s="149" t="n"/>
      <c r="L10" s="153">
        <f>IF($K10="","",IFERROR(INDEX(FX_Rates!$B$5:$B$14,MATCH($K10,FX_Rates!$A$5:$A$14,0)),""))</f>
        <v/>
      </c>
      <c r="M10" s="153">
        <f>IF(OR($H10="",$J10=""),"",$H10*$J10)</f>
        <v/>
      </c>
      <c r="N10" s="153">
        <f>IF(OR($M10="",$L10=""),"",$M10*$L10)</f>
        <v/>
      </c>
      <c r="O10" s="149" t="n"/>
      <c r="P10" s="154">
        <f>IF($O10="","",IFERROR(INDEX(Basis_of_Estimate!$C$5:$C$9,MATCH($O10,Basis_of_Estimate!$A$5:$A$9,0)),""))</f>
        <v/>
      </c>
      <c r="Q10" s="154">
        <f>IF($O10="","",IFERROR(INDEX(Basis_of_Estimate!$D$5:$D$9,MATCH($O10,Basis_of_Estimate!$A$5:$A$9,0)),""))</f>
        <v/>
      </c>
      <c r="R10" s="153">
        <f>IF($N10="","",$N10*(1+$P10))</f>
        <v/>
      </c>
      <c r="S10" s="153">
        <f>IF($N10="","",$N10)</f>
        <v/>
      </c>
      <c r="T10" s="153">
        <f>IF($N10="","",$N10*(1+$Q10))</f>
        <v/>
      </c>
      <c r="U10" s="150">
        <f>IF($D10="","",IFERROR(INDEX(WBS_CBS!$M$5:$M$16,MATCH($D10,WBS_CBS!$A$5:$A$16,0)),"Yes"))</f>
        <v/>
      </c>
      <c r="V10" s="150">
        <f>IF($D10="","",IFERROR(INDEX(WBS_CBS!$N$5:$N$16,MATCH($D10,WBS_CBS!$A$5:$A$16,0)),"Yes"))</f>
        <v/>
      </c>
      <c r="W10" s="150">
        <f>IF($D10="","",IFERROR(INDEX(WBS_CBS!$K$5:$K$16,MATCH($D10,WBS_CBS!$A$5:$A$16,0)),""))</f>
        <v/>
      </c>
      <c r="X10" s="150">
        <f>IF($D10="","",IFERROR(INDEX(WBS_CBS!$F$5:$F$16,MATCH($D10,WBS_CBS!$A$5:$A$16,0)),""))</f>
        <v/>
      </c>
      <c r="Y10" s="149" t="n"/>
      <c r="Z10" s="149" t="n"/>
      <c r="AA10" s="150">
        <f>IF($D10="","",IFERROR(INDEX(WBS_CBS!$L$5:$L$16,MATCH($D10,WBS_CBS!$A$5:$A$16,0)),""))</f>
        <v/>
      </c>
      <c r="AB10" s="149" t="n"/>
    </row>
    <row r="11">
      <c r="A11" s="149" t="n"/>
      <c r="B11" s="149" t="n"/>
      <c r="C11" s="150">
        <f>IF($D11="","",IFERROR(INDEX(WBS_CBS!$E$5:$E$16,MATCH($D11,WBS_CBS!$A$5:$A$16,0)),""))</f>
        <v/>
      </c>
      <c r="D11" s="149" t="n"/>
      <c r="E11" s="150">
        <f>IF($D11="","",IFERROR(INDEX(WBS_CBS!$C$5:$C$16,MATCH($D11,WBS_CBS!$A$5:$A$16,0)),""))</f>
        <v/>
      </c>
      <c r="F11" s="150">
        <f>IF($D11="","",IFERROR(INDEX(WBS_CBS!$J$5:$J$16,MATCH($D11,WBS_CBS!$A$5:$A$16,0)),""))</f>
        <v/>
      </c>
      <c r="G11" s="149" t="n"/>
      <c r="H11" s="151" t="n"/>
      <c r="I11" s="149" t="n"/>
      <c r="J11" s="152" t="n"/>
      <c r="K11" s="149" t="n"/>
      <c r="L11" s="153">
        <f>IF($K11="","",IFERROR(INDEX(FX_Rates!$B$5:$B$14,MATCH($K11,FX_Rates!$A$5:$A$14,0)),""))</f>
        <v/>
      </c>
      <c r="M11" s="153">
        <f>IF(OR($H11="",$J11=""),"",$H11*$J11)</f>
        <v/>
      </c>
      <c r="N11" s="153">
        <f>IF(OR($M11="",$L11=""),"",$M11*$L11)</f>
        <v/>
      </c>
      <c r="O11" s="149" t="n"/>
      <c r="P11" s="154">
        <f>IF($O11="","",IFERROR(INDEX(Basis_of_Estimate!$C$5:$C$9,MATCH($O11,Basis_of_Estimate!$A$5:$A$9,0)),""))</f>
        <v/>
      </c>
      <c r="Q11" s="154">
        <f>IF($O11="","",IFERROR(INDEX(Basis_of_Estimate!$D$5:$D$9,MATCH($O11,Basis_of_Estimate!$A$5:$A$9,0)),""))</f>
        <v/>
      </c>
      <c r="R11" s="153">
        <f>IF($N11="","",$N11*(1+$P11))</f>
        <v/>
      </c>
      <c r="S11" s="153">
        <f>IF($N11="","",$N11)</f>
        <v/>
      </c>
      <c r="T11" s="153">
        <f>IF($N11="","",$N11*(1+$Q11))</f>
        <v/>
      </c>
      <c r="U11" s="150">
        <f>IF($D11="","",IFERROR(INDEX(WBS_CBS!$M$5:$M$16,MATCH($D11,WBS_CBS!$A$5:$A$16,0)),"Yes"))</f>
        <v/>
      </c>
      <c r="V11" s="150">
        <f>IF($D11="","",IFERROR(INDEX(WBS_CBS!$N$5:$N$16,MATCH($D11,WBS_CBS!$A$5:$A$16,0)),"Yes"))</f>
        <v/>
      </c>
      <c r="W11" s="150">
        <f>IF($D11="","",IFERROR(INDEX(WBS_CBS!$K$5:$K$16,MATCH($D11,WBS_CBS!$A$5:$A$16,0)),""))</f>
        <v/>
      </c>
      <c r="X11" s="150">
        <f>IF($D11="","",IFERROR(INDEX(WBS_CBS!$F$5:$F$16,MATCH($D11,WBS_CBS!$A$5:$A$16,0)),""))</f>
        <v/>
      </c>
      <c r="Y11" s="149" t="n"/>
      <c r="Z11" s="149" t="n"/>
      <c r="AA11" s="150">
        <f>IF($D11="","",IFERROR(INDEX(WBS_CBS!$L$5:$L$16,MATCH($D11,WBS_CBS!$A$5:$A$16,0)),""))</f>
        <v/>
      </c>
      <c r="AB11" s="149" t="n"/>
    </row>
    <row r="12">
      <c r="A12" s="149" t="n"/>
      <c r="B12" s="149" t="n"/>
      <c r="C12" s="150">
        <f>IF($D12="","",IFERROR(INDEX(WBS_CBS!$E$5:$E$16,MATCH($D12,WBS_CBS!$A$5:$A$16,0)),""))</f>
        <v/>
      </c>
      <c r="D12" s="149" t="n"/>
      <c r="E12" s="150">
        <f>IF($D12="","",IFERROR(INDEX(WBS_CBS!$C$5:$C$16,MATCH($D12,WBS_CBS!$A$5:$A$16,0)),""))</f>
        <v/>
      </c>
      <c r="F12" s="150">
        <f>IF($D12="","",IFERROR(INDEX(WBS_CBS!$J$5:$J$16,MATCH($D12,WBS_CBS!$A$5:$A$16,0)),""))</f>
        <v/>
      </c>
      <c r="G12" s="149" t="n"/>
      <c r="H12" s="151" t="n"/>
      <c r="I12" s="149" t="n"/>
      <c r="J12" s="152" t="n"/>
      <c r="K12" s="149" t="n"/>
      <c r="L12" s="153">
        <f>IF($K12="","",IFERROR(INDEX(FX_Rates!$B$5:$B$14,MATCH($K12,FX_Rates!$A$5:$A$14,0)),""))</f>
        <v/>
      </c>
      <c r="M12" s="153">
        <f>IF(OR($H12="",$J12=""),"",$H12*$J12)</f>
        <v/>
      </c>
      <c r="N12" s="153">
        <f>IF(OR($M12="",$L12=""),"",$M12*$L12)</f>
        <v/>
      </c>
      <c r="O12" s="149" t="n"/>
      <c r="P12" s="154">
        <f>IF($O12="","",IFERROR(INDEX(Basis_of_Estimate!$C$5:$C$9,MATCH($O12,Basis_of_Estimate!$A$5:$A$9,0)),""))</f>
        <v/>
      </c>
      <c r="Q12" s="154">
        <f>IF($O12="","",IFERROR(INDEX(Basis_of_Estimate!$D$5:$D$9,MATCH($O12,Basis_of_Estimate!$A$5:$A$9,0)),""))</f>
        <v/>
      </c>
      <c r="R12" s="153">
        <f>IF($N12="","",$N12*(1+$P12))</f>
        <v/>
      </c>
      <c r="S12" s="153">
        <f>IF($N12="","",$N12)</f>
        <v/>
      </c>
      <c r="T12" s="153">
        <f>IF($N12="","",$N12*(1+$Q12))</f>
        <v/>
      </c>
      <c r="U12" s="150">
        <f>IF($D12="","",IFERROR(INDEX(WBS_CBS!$M$5:$M$16,MATCH($D12,WBS_CBS!$A$5:$A$16,0)),"Yes"))</f>
        <v/>
      </c>
      <c r="V12" s="150">
        <f>IF($D12="","",IFERROR(INDEX(WBS_CBS!$N$5:$N$16,MATCH($D12,WBS_CBS!$A$5:$A$16,0)),"Yes"))</f>
        <v/>
      </c>
      <c r="W12" s="150">
        <f>IF($D12="","",IFERROR(INDEX(WBS_CBS!$K$5:$K$16,MATCH($D12,WBS_CBS!$A$5:$A$16,0)),""))</f>
        <v/>
      </c>
      <c r="X12" s="150">
        <f>IF($D12="","",IFERROR(INDEX(WBS_CBS!$F$5:$F$16,MATCH($D12,WBS_CBS!$A$5:$A$16,0)),""))</f>
        <v/>
      </c>
      <c r="Y12" s="149" t="n"/>
      <c r="Z12" s="149" t="n"/>
      <c r="AA12" s="150">
        <f>IF($D12="","",IFERROR(INDEX(WBS_CBS!$L$5:$L$16,MATCH($D12,WBS_CBS!$A$5:$A$16,0)),""))</f>
        <v/>
      </c>
      <c r="AB12" s="149" t="n"/>
    </row>
    <row r="13">
      <c r="A13" s="149" t="n"/>
      <c r="B13" s="149" t="n"/>
      <c r="C13" s="150">
        <f>IF($D13="","",IFERROR(INDEX(WBS_CBS!$E$5:$E$16,MATCH($D13,WBS_CBS!$A$5:$A$16,0)),""))</f>
        <v/>
      </c>
      <c r="D13" s="149" t="n"/>
      <c r="E13" s="150">
        <f>IF($D13="","",IFERROR(INDEX(WBS_CBS!$C$5:$C$16,MATCH($D13,WBS_CBS!$A$5:$A$16,0)),""))</f>
        <v/>
      </c>
      <c r="F13" s="150">
        <f>IF($D13="","",IFERROR(INDEX(WBS_CBS!$J$5:$J$16,MATCH($D13,WBS_CBS!$A$5:$A$16,0)),""))</f>
        <v/>
      </c>
      <c r="G13" s="149" t="n"/>
      <c r="H13" s="151" t="n"/>
      <c r="I13" s="149" t="n"/>
      <c r="J13" s="152" t="n"/>
      <c r="K13" s="149" t="n"/>
      <c r="L13" s="153">
        <f>IF($K13="","",IFERROR(INDEX(FX_Rates!$B$5:$B$14,MATCH($K13,FX_Rates!$A$5:$A$14,0)),""))</f>
        <v/>
      </c>
      <c r="M13" s="153">
        <f>IF(OR($H13="",$J13=""),"",$H13*$J13)</f>
        <v/>
      </c>
      <c r="N13" s="153">
        <f>IF(OR($M13="",$L13=""),"",$M13*$L13)</f>
        <v/>
      </c>
      <c r="O13" s="149" t="n"/>
      <c r="P13" s="154">
        <f>IF($O13="","",IFERROR(INDEX(Basis_of_Estimate!$C$5:$C$9,MATCH($O13,Basis_of_Estimate!$A$5:$A$9,0)),""))</f>
        <v/>
      </c>
      <c r="Q13" s="154">
        <f>IF($O13="","",IFERROR(INDEX(Basis_of_Estimate!$D$5:$D$9,MATCH($O13,Basis_of_Estimate!$A$5:$A$9,0)),""))</f>
        <v/>
      </c>
      <c r="R13" s="153">
        <f>IF($N13="","",$N13*(1+$P13))</f>
        <v/>
      </c>
      <c r="S13" s="153">
        <f>IF($N13="","",$N13)</f>
        <v/>
      </c>
      <c r="T13" s="153">
        <f>IF($N13="","",$N13*(1+$Q13))</f>
        <v/>
      </c>
      <c r="U13" s="150">
        <f>IF($D13="","",IFERROR(INDEX(WBS_CBS!$M$5:$M$16,MATCH($D13,WBS_CBS!$A$5:$A$16,0)),"Yes"))</f>
        <v/>
      </c>
      <c r="V13" s="150">
        <f>IF($D13="","",IFERROR(INDEX(WBS_CBS!$N$5:$N$16,MATCH($D13,WBS_CBS!$A$5:$A$16,0)),"Yes"))</f>
        <v/>
      </c>
      <c r="W13" s="150">
        <f>IF($D13="","",IFERROR(INDEX(WBS_CBS!$K$5:$K$16,MATCH($D13,WBS_CBS!$A$5:$A$16,0)),""))</f>
        <v/>
      </c>
      <c r="X13" s="150">
        <f>IF($D13="","",IFERROR(INDEX(WBS_CBS!$F$5:$F$16,MATCH($D13,WBS_CBS!$A$5:$A$16,0)),""))</f>
        <v/>
      </c>
      <c r="Y13" s="149" t="n"/>
      <c r="Z13" s="149" t="n"/>
      <c r="AA13" s="150">
        <f>IF($D13="","",IFERROR(INDEX(WBS_CBS!$L$5:$L$16,MATCH($D13,WBS_CBS!$A$5:$A$16,0)),""))</f>
        <v/>
      </c>
      <c r="AB13" s="149" t="n"/>
    </row>
    <row r="14">
      <c r="A14" s="149" t="n"/>
      <c r="B14" s="149" t="n"/>
      <c r="C14" s="150">
        <f>IF($D14="","",IFERROR(INDEX(WBS_CBS!$E$5:$E$16,MATCH($D14,WBS_CBS!$A$5:$A$16,0)),""))</f>
        <v/>
      </c>
      <c r="D14" s="149" t="n"/>
      <c r="E14" s="150">
        <f>IF($D14="","",IFERROR(INDEX(WBS_CBS!$C$5:$C$16,MATCH($D14,WBS_CBS!$A$5:$A$16,0)),""))</f>
        <v/>
      </c>
      <c r="F14" s="150">
        <f>IF($D14="","",IFERROR(INDEX(WBS_CBS!$J$5:$J$16,MATCH($D14,WBS_CBS!$A$5:$A$16,0)),""))</f>
        <v/>
      </c>
      <c r="G14" s="149" t="n"/>
      <c r="H14" s="151" t="n"/>
      <c r="I14" s="149" t="n"/>
      <c r="J14" s="152" t="n"/>
      <c r="K14" s="149" t="n"/>
      <c r="L14" s="153">
        <f>IF($K14="","",IFERROR(INDEX(FX_Rates!$B$5:$B$14,MATCH($K14,FX_Rates!$A$5:$A$14,0)),""))</f>
        <v/>
      </c>
      <c r="M14" s="153">
        <f>IF(OR($H14="",$J14=""),"",$H14*$J14)</f>
        <v/>
      </c>
      <c r="N14" s="153">
        <f>IF(OR($M14="",$L14=""),"",$M14*$L14)</f>
        <v/>
      </c>
      <c r="O14" s="149" t="n"/>
      <c r="P14" s="154">
        <f>IF($O14="","",IFERROR(INDEX(Basis_of_Estimate!$C$5:$C$9,MATCH($O14,Basis_of_Estimate!$A$5:$A$9,0)),""))</f>
        <v/>
      </c>
      <c r="Q14" s="154">
        <f>IF($O14="","",IFERROR(INDEX(Basis_of_Estimate!$D$5:$D$9,MATCH($O14,Basis_of_Estimate!$A$5:$A$9,0)),""))</f>
        <v/>
      </c>
      <c r="R14" s="153">
        <f>IF($N14="","",$N14*(1+$P14))</f>
        <v/>
      </c>
      <c r="S14" s="153">
        <f>IF($N14="","",$N14)</f>
        <v/>
      </c>
      <c r="T14" s="153">
        <f>IF($N14="","",$N14*(1+$Q14))</f>
        <v/>
      </c>
      <c r="U14" s="150">
        <f>IF($D14="","",IFERROR(INDEX(WBS_CBS!$M$5:$M$16,MATCH($D14,WBS_CBS!$A$5:$A$16,0)),"Yes"))</f>
        <v/>
      </c>
      <c r="V14" s="150">
        <f>IF($D14="","",IFERROR(INDEX(WBS_CBS!$N$5:$N$16,MATCH($D14,WBS_CBS!$A$5:$A$16,0)),"Yes"))</f>
        <v/>
      </c>
      <c r="W14" s="150">
        <f>IF($D14="","",IFERROR(INDEX(WBS_CBS!$K$5:$K$16,MATCH($D14,WBS_CBS!$A$5:$A$16,0)),""))</f>
        <v/>
      </c>
      <c r="X14" s="150">
        <f>IF($D14="","",IFERROR(INDEX(WBS_CBS!$F$5:$F$16,MATCH($D14,WBS_CBS!$A$5:$A$16,0)),""))</f>
        <v/>
      </c>
      <c r="Y14" s="149" t="n"/>
      <c r="Z14" s="149" t="n"/>
      <c r="AA14" s="150">
        <f>IF($D14="","",IFERROR(INDEX(WBS_CBS!$L$5:$L$16,MATCH($D14,WBS_CBS!$A$5:$A$16,0)),""))</f>
        <v/>
      </c>
      <c r="AB14" s="149" t="n"/>
    </row>
    <row r="15">
      <c r="A15" s="149" t="n"/>
      <c r="B15" s="149" t="n"/>
      <c r="C15" s="150">
        <f>IF($D15="","",IFERROR(INDEX(WBS_CBS!$E$5:$E$16,MATCH($D15,WBS_CBS!$A$5:$A$16,0)),""))</f>
        <v/>
      </c>
      <c r="D15" s="149" t="n"/>
      <c r="E15" s="150">
        <f>IF($D15="","",IFERROR(INDEX(WBS_CBS!$C$5:$C$16,MATCH($D15,WBS_CBS!$A$5:$A$16,0)),""))</f>
        <v/>
      </c>
      <c r="F15" s="150">
        <f>IF($D15="","",IFERROR(INDEX(WBS_CBS!$J$5:$J$16,MATCH($D15,WBS_CBS!$A$5:$A$16,0)),""))</f>
        <v/>
      </c>
      <c r="G15" s="149" t="n"/>
      <c r="H15" s="151" t="n"/>
      <c r="I15" s="149" t="n"/>
      <c r="J15" s="152" t="n"/>
      <c r="K15" s="149" t="n"/>
      <c r="L15" s="153">
        <f>IF($K15="","",IFERROR(INDEX(FX_Rates!$B$5:$B$14,MATCH($K15,FX_Rates!$A$5:$A$14,0)),""))</f>
        <v/>
      </c>
      <c r="M15" s="153">
        <f>IF(OR($H15="",$J15=""),"",$H15*$J15)</f>
        <v/>
      </c>
      <c r="N15" s="153">
        <f>IF(OR($M15="",$L15=""),"",$M15*$L15)</f>
        <v/>
      </c>
      <c r="O15" s="149" t="n"/>
      <c r="P15" s="154">
        <f>IF($O15="","",IFERROR(INDEX(Basis_of_Estimate!$C$5:$C$9,MATCH($O15,Basis_of_Estimate!$A$5:$A$9,0)),""))</f>
        <v/>
      </c>
      <c r="Q15" s="154">
        <f>IF($O15="","",IFERROR(INDEX(Basis_of_Estimate!$D$5:$D$9,MATCH($O15,Basis_of_Estimate!$A$5:$A$9,0)),""))</f>
        <v/>
      </c>
      <c r="R15" s="153">
        <f>IF($N15="","",$N15*(1+$P15))</f>
        <v/>
      </c>
      <c r="S15" s="153">
        <f>IF($N15="","",$N15)</f>
        <v/>
      </c>
      <c r="T15" s="153">
        <f>IF($N15="","",$N15*(1+$Q15))</f>
        <v/>
      </c>
      <c r="U15" s="150">
        <f>IF($D15="","",IFERROR(INDEX(WBS_CBS!$M$5:$M$16,MATCH($D15,WBS_CBS!$A$5:$A$16,0)),"Yes"))</f>
        <v/>
      </c>
      <c r="V15" s="150">
        <f>IF($D15="","",IFERROR(INDEX(WBS_CBS!$N$5:$N$16,MATCH($D15,WBS_CBS!$A$5:$A$16,0)),"Yes"))</f>
        <v/>
      </c>
      <c r="W15" s="150">
        <f>IF($D15="","",IFERROR(INDEX(WBS_CBS!$K$5:$K$16,MATCH($D15,WBS_CBS!$A$5:$A$16,0)),""))</f>
        <v/>
      </c>
      <c r="X15" s="150">
        <f>IF($D15="","",IFERROR(INDEX(WBS_CBS!$F$5:$F$16,MATCH($D15,WBS_CBS!$A$5:$A$16,0)),""))</f>
        <v/>
      </c>
      <c r="Y15" s="149" t="n"/>
      <c r="Z15" s="149" t="n"/>
      <c r="AA15" s="150">
        <f>IF($D15="","",IFERROR(INDEX(WBS_CBS!$L$5:$L$16,MATCH($D15,WBS_CBS!$A$5:$A$16,0)),""))</f>
        <v/>
      </c>
      <c r="AB15" s="149" t="n"/>
    </row>
    <row r="16">
      <c r="A16" s="149" t="n"/>
      <c r="B16" s="149" t="n"/>
      <c r="C16" s="150">
        <f>IF($D16="","",IFERROR(INDEX(WBS_CBS!$E$5:$E$16,MATCH($D16,WBS_CBS!$A$5:$A$16,0)),""))</f>
        <v/>
      </c>
      <c r="D16" s="149" t="n"/>
      <c r="E16" s="150">
        <f>IF($D16="","",IFERROR(INDEX(WBS_CBS!$C$5:$C$16,MATCH($D16,WBS_CBS!$A$5:$A$16,0)),""))</f>
        <v/>
      </c>
      <c r="F16" s="150">
        <f>IF($D16="","",IFERROR(INDEX(WBS_CBS!$J$5:$J$16,MATCH($D16,WBS_CBS!$A$5:$A$16,0)),""))</f>
        <v/>
      </c>
      <c r="G16" s="149" t="n"/>
      <c r="H16" s="151" t="n"/>
      <c r="I16" s="149" t="n"/>
      <c r="J16" s="152" t="n"/>
      <c r="K16" s="149" t="n"/>
      <c r="L16" s="153">
        <f>IF($K16="","",IFERROR(INDEX(FX_Rates!$B$5:$B$14,MATCH($K16,FX_Rates!$A$5:$A$14,0)),""))</f>
        <v/>
      </c>
      <c r="M16" s="153">
        <f>IF(OR($H16="",$J16=""),"",$H16*$J16)</f>
        <v/>
      </c>
      <c r="N16" s="153">
        <f>IF(OR($M16="",$L16=""),"",$M16*$L16)</f>
        <v/>
      </c>
      <c r="O16" s="149" t="n"/>
      <c r="P16" s="154">
        <f>IF($O16="","",IFERROR(INDEX(Basis_of_Estimate!$C$5:$C$9,MATCH($O16,Basis_of_Estimate!$A$5:$A$9,0)),""))</f>
        <v/>
      </c>
      <c r="Q16" s="154">
        <f>IF($O16="","",IFERROR(INDEX(Basis_of_Estimate!$D$5:$D$9,MATCH($O16,Basis_of_Estimate!$A$5:$A$9,0)),""))</f>
        <v/>
      </c>
      <c r="R16" s="153">
        <f>IF($N16="","",$N16*(1+$P16))</f>
        <v/>
      </c>
      <c r="S16" s="153">
        <f>IF($N16="","",$N16)</f>
        <v/>
      </c>
      <c r="T16" s="153">
        <f>IF($N16="","",$N16*(1+$Q16))</f>
        <v/>
      </c>
      <c r="U16" s="150">
        <f>IF($D16="","",IFERROR(INDEX(WBS_CBS!$M$5:$M$16,MATCH($D16,WBS_CBS!$A$5:$A$16,0)),"Yes"))</f>
        <v/>
      </c>
      <c r="V16" s="150">
        <f>IF($D16="","",IFERROR(INDEX(WBS_CBS!$N$5:$N$16,MATCH($D16,WBS_CBS!$A$5:$A$16,0)),"Yes"))</f>
        <v/>
      </c>
      <c r="W16" s="150">
        <f>IF($D16="","",IFERROR(INDEX(WBS_CBS!$K$5:$K$16,MATCH($D16,WBS_CBS!$A$5:$A$16,0)),""))</f>
        <v/>
      </c>
      <c r="X16" s="150">
        <f>IF($D16="","",IFERROR(INDEX(WBS_CBS!$F$5:$F$16,MATCH($D16,WBS_CBS!$A$5:$A$16,0)),""))</f>
        <v/>
      </c>
      <c r="Y16" s="149" t="n"/>
      <c r="Z16" s="149" t="n"/>
      <c r="AA16" s="150">
        <f>IF($D16="","",IFERROR(INDEX(WBS_CBS!$L$5:$L$16,MATCH($D16,WBS_CBS!$A$5:$A$16,0)),""))</f>
        <v/>
      </c>
      <c r="AB16" s="149" t="n"/>
    </row>
    <row r="17">
      <c r="A17" s="149" t="n"/>
      <c r="B17" s="149" t="n"/>
      <c r="C17" s="150">
        <f>IF($D17="","",IFERROR(INDEX(WBS_CBS!$E$5:$E$16,MATCH($D17,WBS_CBS!$A$5:$A$16,0)),""))</f>
        <v/>
      </c>
      <c r="D17" s="149" t="n"/>
      <c r="E17" s="150">
        <f>IF($D17="","",IFERROR(INDEX(WBS_CBS!$C$5:$C$16,MATCH($D17,WBS_CBS!$A$5:$A$16,0)),""))</f>
        <v/>
      </c>
      <c r="F17" s="150">
        <f>IF($D17="","",IFERROR(INDEX(WBS_CBS!$J$5:$J$16,MATCH($D17,WBS_CBS!$A$5:$A$16,0)),""))</f>
        <v/>
      </c>
      <c r="G17" s="149" t="n"/>
      <c r="H17" s="151" t="n"/>
      <c r="I17" s="149" t="n"/>
      <c r="J17" s="152" t="n"/>
      <c r="K17" s="149" t="n"/>
      <c r="L17" s="153">
        <f>IF($K17="","",IFERROR(INDEX(FX_Rates!$B$5:$B$14,MATCH($K17,FX_Rates!$A$5:$A$14,0)),""))</f>
        <v/>
      </c>
      <c r="M17" s="153">
        <f>IF(OR($H17="",$J17=""),"",$H17*$J17)</f>
        <v/>
      </c>
      <c r="N17" s="153">
        <f>IF(OR($M17="",$L17=""),"",$M17*$L17)</f>
        <v/>
      </c>
      <c r="O17" s="149" t="n"/>
      <c r="P17" s="154">
        <f>IF($O17="","",IFERROR(INDEX(Basis_of_Estimate!$C$5:$C$9,MATCH($O17,Basis_of_Estimate!$A$5:$A$9,0)),""))</f>
        <v/>
      </c>
      <c r="Q17" s="154">
        <f>IF($O17="","",IFERROR(INDEX(Basis_of_Estimate!$D$5:$D$9,MATCH($O17,Basis_of_Estimate!$A$5:$A$9,0)),""))</f>
        <v/>
      </c>
      <c r="R17" s="153">
        <f>IF($N17="","",$N17*(1+$P17))</f>
        <v/>
      </c>
      <c r="S17" s="153">
        <f>IF($N17="","",$N17)</f>
        <v/>
      </c>
      <c r="T17" s="153">
        <f>IF($N17="","",$N17*(1+$Q17))</f>
        <v/>
      </c>
      <c r="U17" s="150">
        <f>IF($D17="","",IFERROR(INDEX(WBS_CBS!$M$5:$M$16,MATCH($D17,WBS_CBS!$A$5:$A$16,0)),"Yes"))</f>
        <v/>
      </c>
      <c r="V17" s="150">
        <f>IF($D17="","",IFERROR(INDEX(WBS_CBS!$N$5:$N$16,MATCH($D17,WBS_CBS!$A$5:$A$16,0)),"Yes"))</f>
        <v/>
      </c>
      <c r="W17" s="150">
        <f>IF($D17="","",IFERROR(INDEX(WBS_CBS!$K$5:$K$16,MATCH($D17,WBS_CBS!$A$5:$A$16,0)),""))</f>
        <v/>
      </c>
      <c r="X17" s="150">
        <f>IF($D17="","",IFERROR(INDEX(WBS_CBS!$F$5:$F$16,MATCH($D17,WBS_CBS!$A$5:$A$16,0)),""))</f>
        <v/>
      </c>
      <c r="Y17" s="149" t="n"/>
      <c r="Z17" s="149" t="n"/>
      <c r="AA17" s="150">
        <f>IF($D17="","",IFERROR(INDEX(WBS_CBS!$L$5:$L$16,MATCH($D17,WBS_CBS!$A$5:$A$16,0)),""))</f>
        <v/>
      </c>
      <c r="AB17" s="149" t="n"/>
    </row>
    <row r="18">
      <c r="A18" s="149" t="n"/>
      <c r="B18" s="149" t="n"/>
      <c r="C18" s="150">
        <f>IF($D18="","",IFERROR(INDEX(WBS_CBS!$E$5:$E$16,MATCH($D18,WBS_CBS!$A$5:$A$16,0)),""))</f>
        <v/>
      </c>
      <c r="D18" s="149" t="n"/>
      <c r="E18" s="150">
        <f>IF($D18="","",IFERROR(INDEX(WBS_CBS!$C$5:$C$16,MATCH($D18,WBS_CBS!$A$5:$A$16,0)),""))</f>
        <v/>
      </c>
      <c r="F18" s="150">
        <f>IF($D18="","",IFERROR(INDEX(WBS_CBS!$J$5:$J$16,MATCH($D18,WBS_CBS!$A$5:$A$16,0)),""))</f>
        <v/>
      </c>
      <c r="G18" s="149" t="n"/>
      <c r="H18" s="151" t="n"/>
      <c r="I18" s="149" t="n"/>
      <c r="J18" s="152" t="n"/>
      <c r="K18" s="149" t="n"/>
      <c r="L18" s="153">
        <f>IF($K18="","",IFERROR(INDEX(FX_Rates!$B$5:$B$14,MATCH($K18,FX_Rates!$A$5:$A$14,0)),""))</f>
        <v/>
      </c>
      <c r="M18" s="153">
        <f>IF(OR($H18="",$J18=""),"",$H18*$J18)</f>
        <v/>
      </c>
      <c r="N18" s="153">
        <f>IF(OR($M18="",$L18=""),"",$M18*$L18)</f>
        <v/>
      </c>
      <c r="O18" s="149" t="n"/>
      <c r="P18" s="154">
        <f>IF($O18="","",IFERROR(INDEX(Basis_of_Estimate!$C$5:$C$9,MATCH($O18,Basis_of_Estimate!$A$5:$A$9,0)),""))</f>
        <v/>
      </c>
      <c r="Q18" s="154">
        <f>IF($O18="","",IFERROR(INDEX(Basis_of_Estimate!$D$5:$D$9,MATCH($O18,Basis_of_Estimate!$A$5:$A$9,0)),""))</f>
        <v/>
      </c>
      <c r="R18" s="153">
        <f>IF($N18="","",$N18*(1+$P18))</f>
        <v/>
      </c>
      <c r="S18" s="153">
        <f>IF($N18="","",$N18)</f>
        <v/>
      </c>
      <c r="T18" s="153">
        <f>IF($N18="","",$N18*(1+$Q18))</f>
        <v/>
      </c>
      <c r="U18" s="150">
        <f>IF($D18="","",IFERROR(INDEX(WBS_CBS!$M$5:$M$16,MATCH($D18,WBS_CBS!$A$5:$A$16,0)),"Yes"))</f>
        <v/>
      </c>
      <c r="V18" s="150">
        <f>IF($D18="","",IFERROR(INDEX(WBS_CBS!$N$5:$N$16,MATCH($D18,WBS_CBS!$A$5:$A$16,0)),"Yes"))</f>
        <v/>
      </c>
      <c r="W18" s="150">
        <f>IF($D18="","",IFERROR(INDEX(WBS_CBS!$K$5:$K$16,MATCH($D18,WBS_CBS!$A$5:$A$16,0)),""))</f>
        <v/>
      </c>
      <c r="X18" s="150">
        <f>IF($D18="","",IFERROR(INDEX(WBS_CBS!$F$5:$F$16,MATCH($D18,WBS_CBS!$A$5:$A$16,0)),""))</f>
        <v/>
      </c>
      <c r="Y18" s="149" t="n"/>
      <c r="Z18" s="149" t="n"/>
      <c r="AA18" s="150">
        <f>IF($D18="","",IFERROR(INDEX(WBS_CBS!$L$5:$L$16,MATCH($D18,WBS_CBS!$A$5:$A$16,0)),""))</f>
        <v/>
      </c>
      <c r="AB18" s="149" t="n"/>
    </row>
    <row r="19">
      <c r="A19" s="149" t="n"/>
      <c r="B19" s="149" t="n"/>
      <c r="C19" s="150">
        <f>IF($D19="","",IFERROR(INDEX(WBS_CBS!$E$5:$E$16,MATCH($D19,WBS_CBS!$A$5:$A$16,0)),""))</f>
        <v/>
      </c>
      <c r="D19" s="149" t="n"/>
      <c r="E19" s="150">
        <f>IF($D19="","",IFERROR(INDEX(WBS_CBS!$C$5:$C$16,MATCH($D19,WBS_CBS!$A$5:$A$16,0)),""))</f>
        <v/>
      </c>
      <c r="F19" s="150">
        <f>IF($D19="","",IFERROR(INDEX(WBS_CBS!$J$5:$J$16,MATCH($D19,WBS_CBS!$A$5:$A$16,0)),""))</f>
        <v/>
      </c>
      <c r="G19" s="149" t="n"/>
      <c r="H19" s="151" t="n"/>
      <c r="I19" s="149" t="n"/>
      <c r="J19" s="152" t="n"/>
      <c r="K19" s="149" t="n"/>
      <c r="L19" s="153">
        <f>IF($K19="","",IFERROR(INDEX(FX_Rates!$B$5:$B$14,MATCH($K19,FX_Rates!$A$5:$A$14,0)),""))</f>
        <v/>
      </c>
      <c r="M19" s="153">
        <f>IF(OR($H19="",$J19=""),"",$H19*$J19)</f>
        <v/>
      </c>
      <c r="N19" s="153">
        <f>IF(OR($M19="",$L19=""),"",$M19*$L19)</f>
        <v/>
      </c>
      <c r="O19" s="149" t="n"/>
      <c r="P19" s="154">
        <f>IF($O19="","",IFERROR(INDEX(Basis_of_Estimate!$C$5:$C$9,MATCH($O19,Basis_of_Estimate!$A$5:$A$9,0)),""))</f>
        <v/>
      </c>
      <c r="Q19" s="154">
        <f>IF($O19="","",IFERROR(INDEX(Basis_of_Estimate!$D$5:$D$9,MATCH($O19,Basis_of_Estimate!$A$5:$A$9,0)),""))</f>
        <v/>
      </c>
      <c r="R19" s="153">
        <f>IF($N19="","",$N19*(1+$P19))</f>
        <v/>
      </c>
      <c r="S19" s="153">
        <f>IF($N19="","",$N19)</f>
        <v/>
      </c>
      <c r="T19" s="153">
        <f>IF($N19="","",$N19*(1+$Q19))</f>
        <v/>
      </c>
      <c r="U19" s="150">
        <f>IF($D19="","",IFERROR(INDEX(WBS_CBS!$M$5:$M$16,MATCH($D19,WBS_CBS!$A$5:$A$16,0)),"Yes"))</f>
        <v/>
      </c>
      <c r="V19" s="150">
        <f>IF($D19="","",IFERROR(INDEX(WBS_CBS!$N$5:$N$16,MATCH($D19,WBS_CBS!$A$5:$A$16,0)),"Yes"))</f>
        <v/>
      </c>
      <c r="W19" s="150">
        <f>IF($D19="","",IFERROR(INDEX(WBS_CBS!$K$5:$K$16,MATCH($D19,WBS_CBS!$A$5:$A$16,0)),""))</f>
        <v/>
      </c>
      <c r="X19" s="150">
        <f>IF($D19="","",IFERROR(INDEX(WBS_CBS!$F$5:$F$16,MATCH($D19,WBS_CBS!$A$5:$A$16,0)),""))</f>
        <v/>
      </c>
      <c r="Y19" s="149" t="n"/>
      <c r="Z19" s="149" t="n"/>
      <c r="AA19" s="150">
        <f>IF($D19="","",IFERROR(INDEX(WBS_CBS!$L$5:$L$16,MATCH($D19,WBS_CBS!$A$5:$A$16,0)),""))</f>
        <v/>
      </c>
      <c r="AB19" s="149" t="n"/>
    </row>
    <row r="20">
      <c r="A20" s="149" t="n"/>
      <c r="B20" s="149" t="n"/>
      <c r="C20" s="150">
        <f>IF($D20="","",IFERROR(INDEX(WBS_CBS!$E$5:$E$16,MATCH($D20,WBS_CBS!$A$5:$A$16,0)),""))</f>
        <v/>
      </c>
      <c r="D20" s="149" t="n"/>
      <c r="E20" s="150">
        <f>IF($D20="","",IFERROR(INDEX(WBS_CBS!$C$5:$C$16,MATCH($D20,WBS_CBS!$A$5:$A$16,0)),""))</f>
        <v/>
      </c>
      <c r="F20" s="150">
        <f>IF($D20="","",IFERROR(INDEX(WBS_CBS!$J$5:$J$16,MATCH($D20,WBS_CBS!$A$5:$A$16,0)),""))</f>
        <v/>
      </c>
      <c r="G20" s="149" t="n"/>
      <c r="H20" s="151" t="n"/>
      <c r="I20" s="149" t="n"/>
      <c r="J20" s="152" t="n"/>
      <c r="K20" s="149" t="n"/>
      <c r="L20" s="153">
        <f>IF($K20="","",IFERROR(INDEX(FX_Rates!$B$5:$B$14,MATCH($K20,FX_Rates!$A$5:$A$14,0)),""))</f>
        <v/>
      </c>
      <c r="M20" s="153">
        <f>IF(OR($H20="",$J20=""),"",$H20*$J20)</f>
        <v/>
      </c>
      <c r="N20" s="153">
        <f>IF(OR($M20="",$L20=""),"",$M20*$L20)</f>
        <v/>
      </c>
      <c r="O20" s="149" t="n"/>
      <c r="P20" s="154">
        <f>IF($O20="","",IFERROR(INDEX(Basis_of_Estimate!$C$5:$C$9,MATCH($O20,Basis_of_Estimate!$A$5:$A$9,0)),""))</f>
        <v/>
      </c>
      <c r="Q20" s="154">
        <f>IF($O20="","",IFERROR(INDEX(Basis_of_Estimate!$D$5:$D$9,MATCH($O20,Basis_of_Estimate!$A$5:$A$9,0)),""))</f>
        <v/>
      </c>
      <c r="R20" s="153">
        <f>IF($N20="","",$N20*(1+$P20))</f>
        <v/>
      </c>
      <c r="S20" s="153">
        <f>IF($N20="","",$N20)</f>
        <v/>
      </c>
      <c r="T20" s="153">
        <f>IF($N20="","",$N20*(1+$Q20))</f>
        <v/>
      </c>
      <c r="U20" s="150">
        <f>IF($D20="","",IFERROR(INDEX(WBS_CBS!$M$5:$M$16,MATCH($D20,WBS_CBS!$A$5:$A$16,0)),"Yes"))</f>
        <v/>
      </c>
      <c r="V20" s="150">
        <f>IF($D20="","",IFERROR(INDEX(WBS_CBS!$N$5:$N$16,MATCH($D20,WBS_CBS!$A$5:$A$16,0)),"Yes"))</f>
        <v/>
      </c>
      <c r="W20" s="150">
        <f>IF($D20="","",IFERROR(INDEX(WBS_CBS!$K$5:$K$16,MATCH($D20,WBS_CBS!$A$5:$A$16,0)),""))</f>
        <v/>
      </c>
      <c r="X20" s="150">
        <f>IF($D20="","",IFERROR(INDEX(WBS_CBS!$F$5:$F$16,MATCH($D20,WBS_CBS!$A$5:$A$16,0)),""))</f>
        <v/>
      </c>
      <c r="Y20" s="149" t="n"/>
      <c r="Z20" s="149" t="n"/>
      <c r="AA20" s="150">
        <f>IF($D20="","",IFERROR(INDEX(WBS_CBS!$L$5:$L$16,MATCH($D20,WBS_CBS!$A$5:$A$16,0)),""))</f>
        <v/>
      </c>
      <c r="AB20" s="149" t="n"/>
    </row>
    <row r="21">
      <c r="A21" s="149" t="n"/>
      <c r="B21" s="149" t="n"/>
      <c r="C21" s="150">
        <f>IF($D21="","",IFERROR(INDEX(WBS_CBS!$E$5:$E$16,MATCH($D21,WBS_CBS!$A$5:$A$16,0)),""))</f>
        <v/>
      </c>
      <c r="D21" s="149" t="n"/>
      <c r="E21" s="150">
        <f>IF($D21="","",IFERROR(INDEX(WBS_CBS!$C$5:$C$16,MATCH($D21,WBS_CBS!$A$5:$A$16,0)),""))</f>
        <v/>
      </c>
      <c r="F21" s="150">
        <f>IF($D21="","",IFERROR(INDEX(WBS_CBS!$J$5:$J$16,MATCH($D21,WBS_CBS!$A$5:$A$16,0)),""))</f>
        <v/>
      </c>
      <c r="G21" s="149" t="n"/>
      <c r="H21" s="151" t="n"/>
      <c r="I21" s="149" t="n"/>
      <c r="J21" s="152" t="n"/>
      <c r="K21" s="149" t="n"/>
      <c r="L21" s="153">
        <f>IF($K21="","",IFERROR(INDEX(FX_Rates!$B$5:$B$14,MATCH($K21,FX_Rates!$A$5:$A$14,0)),""))</f>
        <v/>
      </c>
      <c r="M21" s="153">
        <f>IF(OR($H21="",$J21=""),"",$H21*$J21)</f>
        <v/>
      </c>
      <c r="N21" s="153">
        <f>IF(OR($M21="",$L21=""),"",$M21*$L21)</f>
        <v/>
      </c>
      <c r="O21" s="149" t="n"/>
      <c r="P21" s="154">
        <f>IF($O21="","",IFERROR(INDEX(Basis_of_Estimate!$C$5:$C$9,MATCH($O21,Basis_of_Estimate!$A$5:$A$9,0)),""))</f>
        <v/>
      </c>
      <c r="Q21" s="154">
        <f>IF($O21="","",IFERROR(INDEX(Basis_of_Estimate!$D$5:$D$9,MATCH($O21,Basis_of_Estimate!$A$5:$A$9,0)),""))</f>
        <v/>
      </c>
      <c r="R21" s="153">
        <f>IF($N21="","",$N21*(1+$P21))</f>
        <v/>
      </c>
      <c r="S21" s="153">
        <f>IF($N21="","",$N21)</f>
        <v/>
      </c>
      <c r="T21" s="153">
        <f>IF($N21="","",$N21*(1+$Q21))</f>
        <v/>
      </c>
      <c r="U21" s="150">
        <f>IF($D21="","",IFERROR(INDEX(WBS_CBS!$M$5:$M$16,MATCH($D21,WBS_CBS!$A$5:$A$16,0)),"Yes"))</f>
        <v/>
      </c>
      <c r="V21" s="150">
        <f>IF($D21="","",IFERROR(INDEX(WBS_CBS!$N$5:$N$16,MATCH($D21,WBS_CBS!$A$5:$A$16,0)),"Yes"))</f>
        <v/>
      </c>
      <c r="W21" s="150">
        <f>IF($D21="","",IFERROR(INDEX(WBS_CBS!$K$5:$K$16,MATCH($D21,WBS_CBS!$A$5:$A$16,0)),""))</f>
        <v/>
      </c>
      <c r="X21" s="150">
        <f>IF($D21="","",IFERROR(INDEX(WBS_CBS!$F$5:$F$16,MATCH($D21,WBS_CBS!$A$5:$A$16,0)),""))</f>
        <v/>
      </c>
      <c r="Y21" s="149" t="n"/>
      <c r="Z21" s="149" t="n"/>
      <c r="AA21" s="150">
        <f>IF($D21="","",IFERROR(INDEX(WBS_CBS!$L$5:$L$16,MATCH($D21,WBS_CBS!$A$5:$A$16,0)),""))</f>
        <v/>
      </c>
      <c r="AB21" s="149" t="n"/>
    </row>
    <row r="22">
      <c r="A22" s="149" t="n"/>
      <c r="B22" s="149" t="n"/>
      <c r="C22" s="150">
        <f>IF($D22="","",IFERROR(INDEX(WBS_CBS!$E$5:$E$16,MATCH($D22,WBS_CBS!$A$5:$A$16,0)),""))</f>
        <v/>
      </c>
      <c r="D22" s="149" t="n"/>
      <c r="E22" s="150">
        <f>IF($D22="","",IFERROR(INDEX(WBS_CBS!$C$5:$C$16,MATCH($D22,WBS_CBS!$A$5:$A$16,0)),""))</f>
        <v/>
      </c>
      <c r="F22" s="150">
        <f>IF($D22="","",IFERROR(INDEX(WBS_CBS!$J$5:$J$16,MATCH($D22,WBS_CBS!$A$5:$A$16,0)),""))</f>
        <v/>
      </c>
      <c r="G22" s="149" t="n"/>
      <c r="H22" s="151" t="n"/>
      <c r="I22" s="149" t="n"/>
      <c r="J22" s="152" t="n"/>
      <c r="K22" s="149" t="n"/>
      <c r="L22" s="153">
        <f>IF($K22="","",IFERROR(INDEX(FX_Rates!$B$5:$B$14,MATCH($K22,FX_Rates!$A$5:$A$14,0)),""))</f>
        <v/>
      </c>
      <c r="M22" s="153">
        <f>IF(OR($H22="",$J22=""),"",$H22*$J22)</f>
        <v/>
      </c>
      <c r="N22" s="153">
        <f>IF(OR($M22="",$L22=""),"",$M22*$L22)</f>
        <v/>
      </c>
      <c r="O22" s="149" t="n"/>
      <c r="P22" s="154">
        <f>IF($O22="","",IFERROR(INDEX(Basis_of_Estimate!$C$5:$C$9,MATCH($O22,Basis_of_Estimate!$A$5:$A$9,0)),""))</f>
        <v/>
      </c>
      <c r="Q22" s="154">
        <f>IF($O22="","",IFERROR(INDEX(Basis_of_Estimate!$D$5:$D$9,MATCH($O22,Basis_of_Estimate!$A$5:$A$9,0)),""))</f>
        <v/>
      </c>
      <c r="R22" s="153">
        <f>IF($N22="","",$N22*(1+$P22))</f>
        <v/>
      </c>
      <c r="S22" s="153">
        <f>IF($N22="","",$N22)</f>
        <v/>
      </c>
      <c r="T22" s="153">
        <f>IF($N22="","",$N22*(1+$Q22))</f>
        <v/>
      </c>
      <c r="U22" s="150">
        <f>IF($D22="","",IFERROR(INDEX(WBS_CBS!$M$5:$M$16,MATCH($D22,WBS_CBS!$A$5:$A$16,0)),"Yes"))</f>
        <v/>
      </c>
      <c r="V22" s="150">
        <f>IF($D22="","",IFERROR(INDEX(WBS_CBS!$N$5:$N$16,MATCH($D22,WBS_CBS!$A$5:$A$16,0)),"Yes"))</f>
        <v/>
      </c>
      <c r="W22" s="150">
        <f>IF($D22="","",IFERROR(INDEX(WBS_CBS!$K$5:$K$16,MATCH($D22,WBS_CBS!$A$5:$A$16,0)),""))</f>
        <v/>
      </c>
      <c r="X22" s="150">
        <f>IF($D22="","",IFERROR(INDEX(WBS_CBS!$F$5:$F$16,MATCH($D22,WBS_CBS!$A$5:$A$16,0)),""))</f>
        <v/>
      </c>
      <c r="Y22" s="149" t="n"/>
      <c r="Z22" s="149" t="n"/>
      <c r="AA22" s="150">
        <f>IF($D22="","",IFERROR(INDEX(WBS_CBS!$L$5:$L$16,MATCH($D22,WBS_CBS!$A$5:$A$16,0)),""))</f>
        <v/>
      </c>
      <c r="AB22" s="149" t="n"/>
    </row>
    <row r="23">
      <c r="A23" s="149" t="n"/>
      <c r="B23" s="149" t="n"/>
      <c r="C23" s="150">
        <f>IF($D23="","",IFERROR(INDEX(WBS_CBS!$E$5:$E$16,MATCH($D23,WBS_CBS!$A$5:$A$16,0)),""))</f>
        <v/>
      </c>
      <c r="D23" s="149" t="n"/>
      <c r="E23" s="150">
        <f>IF($D23="","",IFERROR(INDEX(WBS_CBS!$C$5:$C$16,MATCH($D23,WBS_CBS!$A$5:$A$16,0)),""))</f>
        <v/>
      </c>
      <c r="F23" s="150">
        <f>IF($D23="","",IFERROR(INDEX(WBS_CBS!$J$5:$J$16,MATCH($D23,WBS_CBS!$A$5:$A$16,0)),""))</f>
        <v/>
      </c>
      <c r="G23" s="149" t="n"/>
      <c r="H23" s="151" t="n"/>
      <c r="I23" s="149" t="n"/>
      <c r="J23" s="152" t="n"/>
      <c r="K23" s="149" t="n"/>
      <c r="L23" s="153">
        <f>IF($K23="","",IFERROR(INDEX(FX_Rates!$B$5:$B$14,MATCH($K23,FX_Rates!$A$5:$A$14,0)),""))</f>
        <v/>
      </c>
      <c r="M23" s="153">
        <f>IF(OR($H23="",$J23=""),"",$H23*$J23)</f>
        <v/>
      </c>
      <c r="N23" s="153">
        <f>IF(OR($M23="",$L23=""),"",$M23*$L23)</f>
        <v/>
      </c>
      <c r="O23" s="149" t="n"/>
      <c r="P23" s="154">
        <f>IF($O23="","",IFERROR(INDEX(Basis_of_Estimate!$C$5:$C$9,MATCH($O23,Basis_of_Estimate!$A$5:$A$9,0)),""))</f>
        <v/>
      </c>
      <c r="Q23" s="154">
        <f>IF($O23="","",IFERROR(INDEX(Basis_of_Estimate!$D$5:$D$9,MATCH($O23,Basis_of_Estimate!$A$5:$A$9,0)),""))</f>
        <v/>
      </c>
      <c r="R23" s="153">
        <f>IF($N23="","",$N23*(1+$P23))</f>
        <v/>
      </c>
      <c r="S23" s="153">
        <f>IF($N23="","",$N23)</f>
        <v/>
      </c>
      <c r="T23" s="153">
        <f>IF($N23="","",$N23*(1+$Q23))</f>
        <v/>
      </c>
      <c r="U23" s="150">
        <f>IF($D23="","",IFERROR(INDEX(WBS_CBS!$M$5:$M$16,MATCH($D23,WBS_CBS!$A$5:$A$16,0)),"Yes"))</f>
        <v/>
      </c>
      <c r="V23" s="150">
        <f>IF($D23="","",IFERROR(INDEX(WBS_CBS!$N$5:$N$16,MATCH($D23,WBS_CBS!$A$5:$A$16,0)),"Yes"))</f>
        <v/>
      </c>
      <c r="W23" s="150">
        <f>IF($D23="","",IFERROR(INDEX(WBS_CBS!$K$5:$K$16,MATCH($D23,WBS_CBS!$A$5:$A$16,0)),""))</f>
        <v/>
      </c>
      <c r="X23" s="150">
        <f>IF($D23="","",IFERROR(INDEX(WBS_CBS!$F$5:$F$16,MATCH($D23,WBS_CBS!$A$5:$A$16,0)),""))</f>
        <v/>
      </c>
      <c r="Y23" s="149" t="n"/>
      <c r="Z23" s="149" t="n"/>
      <c r="AA23" s="150">
        <f>IF($D23="","",IFERROR(INDEX(WBS_CBS!$L$5:$L$16,MATCH($D23,WBS_CBS!$A$5:$A$16,0)),""))</f>
        <v/>
      </c>
      <c r="AB23" s="149" t="n"/>
    </row>
    <row r="24">
      <c r="A24" s="149" t="n"/>
      <c r="B24" s="149" t="n"/>
      <c r="C24" s="150">
        <f>IF($D24="","",IFERROR(INDEX(WBS_CBS!$E$5:$E$16,MATCH($D24,WBS_CBS!$A$5:$A$16,0)),""))</f>
        <v/>
      </c>
      <c r="D24" s="149" t="n"/>
      <c r="E24" s="150">
        <f>IF($D24="","",IFERROR(INDEX(WBS_CBS!$C$5:$C$16,MATCH($D24,WBS_CBS!$A$5:$A$16,0)),""))</f>
        <v/>
      </c>
      <c r="F24" s="150">
        <f>IF($D24="","",IFERROR(INDEX(WBS_CBS!$J$5:$J$16,MATCH($D24,WBS_CBS!$A$5:$A$16,0)),""))</f>
        <v/>
      </c>
      <c r="G24" s="149" t="n"/>
      <c r="H24" s="151" t="n"/>
      <c r="I24" s="149" t="n"/>
      <c r="J24" s="152" t="n"/>
      <c r="K24" s="149" t="n"/>
      <c r="L24" s="153">
        <f>IF($K24="","",IFERROR(INDEX(FX_Rates!$B$5:$B$14,MATCH($K24,FX_Rates!$A$5:$A$14,0)),""))</f>
        <v/>
      </c>
      <c r="M24" s="153">
        <f>IF(OR($H24="",$J24=""),"",$H24*$J24)</f>
        <v/>
      </c>
      <c r="N24" s="153">
        <f>IF(OR($M24="",$L24=""),"",$M24*$L24)</f>
        <v/>
      </c>
      <c r="O24" s="149" t="n"/>
      <c r="P24" s="154">
        <f>IF($O24="","",IFERROR(INDEX(Basis_of_Estimate!$C$5:$C$9,MATCH($O24,Basis_of_Estimate!$A$5:$A$9,0)),""))</f>
        <v/>
      </c>
      <c r="Q24" s="154">
        <f>IF($O24="","",IFERROR(INDEX(Basis_of_Estimate!$D$5:$D$9,MATCH($O24,Basis_of_Estimate!$A$5:$A$9,0)),""))</f>
        <v/>
      </c>
      <c r="R24" s="153">
        <f>IF($N24="","",$N24*(1+$P24))</f>
        <v/>
      </c>
      <c r="S24" s="153">
        <f>IF($N24="","",$N24)</f>
        <v/>
      </c>
      <c r="T24" s="153">
        <f>IF($N24="","",$N24*(1+$Q24))</f>
        <v/>
      </c>
      <c r="U24" s="150">
        <f>IF($D24="","",IFERROR(INDEX(WBS_CBS!$M$5:$M$16,MATCH($D24,WBS_CBS!$A$5:$A$16,0)),"Yes"))</f>
        <v/>
      </c>
      <c r="V24" s="150">
        <f>IF($D24="","",IFERROR(INDEX(WBS_CBS!$N$5:$N$16,MATCH($D24,WBS_CBS!$A$5:$A$16,0)),"Yes"))</f>
        <v/>
      </c>
      <c r="W24" s="150">
        <f>IF($D24="","",IFERROR(INDEX(WBS_CBS!$K$5:$K$16,MATCH($D24,WBS_CBS!$A$5:$A$16,0)),""))</f>
        <v/>
      </c>
      <c r="X24" s="150">
        <f>IF($D24="","",IFERROR(INDEX(WBS_CBS!$F$5:$F$16,MATCH($D24,WBS_CBS!$A$5:$A$16,0)),""))</f>
        <v/>
      </c>
      <c r="Y24" s="149" t="n"/>
      <c r="Z24" s="149" t="n"/>
      <c r="AA24" s="150">
        <f>IF($D24="","",IFERROR(INDEX(WBS_CBS!$L$5:$L$16,MATCH($D24,WBS_CBS!$A$5:$A$16,0)),""))</f>
        <v/>
      </c>
      <c r="AB24" s="149" t="n"/>
    </row>
    <row r="25">
      <c r="A25" s="149" t="n"/>
      <c r="B25" s="149" t="n"/>
      <c r="C25" s="150">
        <f>IF($D25="","",IFERROR(INDEX(WBS_CBS!$E$5:$E$16,MATCH($D25,WBS_CBS!$A$5:$A$16,0)),""))</f>
        <v/>
      </c>
      <c r="D25" s="149" t="n"/>
      <c r="E25" s="150">
        <f>IF($D25="","",IFERROR(INDEX(WBS_CBS!$C$5:$C$16,MATCH($D25,WBS_CBS!$A$5:$A$16,0)),""))</f>
        <v/>
      </c>
      <c r="F25" s="150">
        <f>IF($D25="","",IFERROR(INDEX(WBS_CBS!$J$5:$J$16,MATCH($D25,WBS_CBS!$A$5:$A$16,0)),""))</f>
        <v/>
      </c>
      <c r="G25" s="149" t="n"/>
      <c r="H25" s="151" t="n"/>
      <c r="I25" s="149" t="n"/>
      <c r="J25" s="152" t="n"/>
      <c r="K25" s="149" t="n"/>
      <c r="L25" s="153">
        <f>IF($K25="","",IFERROR(INDEX(FX_Rates!$B$5:$B$14,MATCH($K25,FX_Rates!$A$5:$A$14,0)),""))</f>
        <v/>
      </c>
      <c r="M25" s="153">
        <f>IF(OR($H25="",$J25=""),"",$H25*$J25)</f>
        <v/>
      </c>
      <c r="N25" s="153">
        <f>IF(OR($M25="",$L25=""),"",$M25*$L25)</f>
        <v/>
      </c>
      <c r="O25" s="149" t="n"/>
      <c r="P25" s="154">
        <f>IF($O25="","",IFERROR(INDEX(Basis_of_Estimate!$C$5:$C$9,MATCH($O25,Basis_of_Estimate!$A$5:$A$9,0)),""))</f>
        <v/>
      </c>
      <c r="Q25" s="154">
        <f>IF($O25="","",IFERROR(INDEX(Basis_of_Estimate!$D$5:$D$9,MATCH($O25,Basis_of_Estimate!$A$5:$A$9,0)),""))</f>
        <v/>
      </c>
      <c r="R25" s="153">
        <f>IF($N25="","",$N25*(1+$P25))</f>
        <v/>
      </c>
      <c r="S25" s="153">
        <f>IF($N25="","",$N25)</f>
        <v/>
      </c>
      <c r="T25" s="153">
        <f>IF($N25="","",$N25*(1+$Q25))</f>
        <v/>
      </c>
      <c r="U25" s="150">
        <f>IF($D25="","",IFERROR(INDEX(WBS_CBS!$M$5:$M$16,MATCH($D25,WBS_CBS!$A$5:$A$16,0)),"Yes"))</f>
        <v/>
      </c>
      <c r="V25" s="150">
        <f>IF($D25="","",IFERROR(INDEX(WBS_CBS!$N$5:$N$16,MATCH($D25,WBS_CBS!$A$5:$A$16,0)),"Yes"))</f>
        <v/>
      </c>
      <c r="W25" s="150">
        <f>IF($D25="","",IFERROR(INDEX(WBS_CBS!$K$5:$K$16,MATCH($D25,WBS_CBS!$A$5:$A$16,0)),""))</f>
        <v/>
      </c>
      <c r="X25" s="150">
        <f>IF($D25="","",IFERROR(INDEX(WBS_CBS!$F$5:$F$16,MATCH($D25,WBS_CBS!$A$5:$A$16,0)),""))</f>
        <v/>
      </c>
      <c r="Y25" s="149" t="n"/>
      <c r="Z25" s="149" t="n"/>
      <c r="AA25" s="150">
        <f>IF($D25="","",IFERROR(INDEX(WBS_CBS!$L$5:$L$16,MATCH($D25,WBS_CBS!$A$5:$A$16,0)),""))</f>
        <v/>
      </c>
      <c r="AB25" s="149" t="n"/>
    </row>
    <row r="26">
      <c r="A26" s="149" t="n"/>
      <c r="B26" s="149" t="n"/>
      <c r="C26" s="150">
        <f>IF($D26="","",IFERROR(INDEX(WBS_CBS!$E$5:$E$16,MATCH($D26,WBS_CBS!$A$5:$A$16,0)),""))</f>
        <v/>
      </c>
      <c r="D26" s="149" t="n"/>
      <c r="E26" s="150">
        <f>IF($D26="","",IFERROR(INDEX(WBS_CBS!$C$5:$C$16,MATCH($D26,WBS_CBS!$A$5:$A$16,0)),""))</f>
        <v/>
      </c>
      <c r="F26" s="150">
        <f>IF($D26="","",IFERROR(INDEX(WBS_CBS!$J$5:$J$16,MATCH($D26,WBS_CBS!$A$5:$A$16,0)),""))</f>
        <v/>
      </c>
      <c r="G26" s="149" t="n"/>
      <c r="H26" s="151" t="n"/>
      <c r="I26" s="149" t="n"/>
      <c r="J26" s="152" t="n"/>
      <c r="K26" s="149" t="n"/>
      <c r="L26" s="153">
        <f>IF($K26="","",IFERROR(INDEX(FX_Rates!$B$5:$B$14,MATCH($K26,FX_Rates!$A$5:$A$14,0)),""))</f>
        <v/>
      </c>
      <c r="M26" s="153">
        <f>IF(OR($H26="",$J26=""),"",$H26*$J26)</f>
        <v/>
      </c>
      <c r="N26" s="153">
        <f>IF(OR($M26="",$L26=""),"",$M26*$L26)</f>
        <v/>
      </c>
      <c r="O26" s="149" t="n"/>
      <c r="P26" s="154">
        <f>IF($O26="","",IFERROR(INDEX(Basis_of_Estimate!$C$5:$C$9,MATCH($O26,Basis_of_Estimate!$A$5:$A$9,0)),""))</f>
        <v/>
      </c>
      <c r="Q26" s="154">
        <f>IF($O26="","",IFERROR(INDEX(Basis_of_Estimate!$D$5:$D$9,MATCH($O26,Basis_of_Estimate!$A$5:$A$9,0)),""))</f>
        <v/>
      </c>
      <c r="R26" s="153">
        <f>IF($N26="","",$N26*(1+$P26))</f>
        <v/>
      </c>
      <c r="S26" s="153">
        <f>IF($N26="","",$N26)</f>
        <v/>
      </c>
      <c r="T26" s="153">
        <f>IF($N26="","",$N26*(1+$Q26))</f>
        <v/>
      </c>
      <c r="U26" s="150">
        <f>IF($D26="","",IFERROR(INDEX(WBS_CBS!$M$5:$M$16,MATCH($D26,WBS_CBS!$A$5:$A$16,0)),"Yes"))</f>
        <v/>
      </c>
      <c r="V26" s="150">
        <f>IF($D26="","",IFERROR(INDEX(WBS_CBS!$N$5:$N$16,MATCH($D26,WBS_CBS!$A$5:$A$16,0)),"Yes"))</f>
        <v/>
      </c>
      <c r="W26" s="150">
        <f>IF($D26="","",IFERROR(INDEX(WBS_CBS!$K$5:$K$16,MATCH($D26,WBS_CBS!$A$5:$A$16,0)),""))</f>
        <v/>
      </c>
      <c r="X26" s="150">
        <f>IF($D26="","",IFERROR(INDEX(WBS_CBS!$F$5:$F$16,MATCH($D26,WBS_CBS!$A$5:$A$16,0)),""))</f>
        <v/>
      </c>
      <c r="Y26" s="149" t="n"/>
      <c r="Z26" s="149" t="n"/>
      <c r="AA26" s="150">
        <f>IF($D26="","",IFERROR(INDEX(WBS_CBS!$L$5:$L$16,MATCH($D26,WBS_CBS!$A$5:$A$16,0)),""))</f>
        <v/>
      </c>
      <c r="AB26" s="149" t="n"/>
    </row>
    <row r="27">
      <c r="A27" s="149" t="n"/>
      <c r="B27" s="149" t="n"/>
      <c r="C27" s="150">
        <f>IF($D27="","",IFERROR(INDEX(WBS_CBS!$E$5:$E$16,MATCH($D27,WBS_CBS!$A$5:$A$16,0)),""))</f>
        <v/>
      </c>
      <c r="D27" s="149" t="n"/>
      <c r="E27" s="150">
        <f>IF($D27="","",IFERROR(INDEX(WBS_CBS!$C$5:$C$16,MATCH($D27,WBS_CBS!$A$5:$A$16,0)),""))</f>
        <v/>
      </c>
      <c r="F27" s="150">
        <f>IF($D27="","",IFERROR(INDEX(WBS_CBS!$J$5:$J$16,MATCH($D27,WBS_CBS!$A$5:$A$16,0)),""))</f>
        <v/>
      </c>
      <c r="G27" s="149" t="n"/>
      <c r="H27" s="151" t="n"/>
      <c r="I27" s="149" t="n"/>
      <c r="J27" s="152" t="n"/>
      <c r="K27" s="149" t="n"/>
      <c r="L27" s="153">
        <f>IF($K27="","",IFERROR(INDEX(FX_Rates!$B$5:$B$14,MATCH($K27,FX_Rates!$A$5:$A$14,0)),""))</f>
        <v/>
      </c>
      <c r="M27" s="153">
        <f>IF(OR($H27="",$J27=""),"",$H27*$J27)</f>
        <v/>
      </c>
      <c r="N27" s="153">
        <f>IF(OR($M27="",$L27=""),"",$M27*$L27)</f>
        <v/>
      </c>
      <c r="O27" s="149" t="n"/>
      <c r="P27" s="154">
        <f>IF($O27="","",IFERROR(INDEX(Basis_of_Estimate!$C$5:$C$9,MATCH($O27,Basis_of_Estimate!$A$5:$A$9,0)),""))</f>
        <v/>
      </c>
      <c r="Q27" s="154">
        <f>IF($O27="","",IFERROR(INDEX(Basis_of_Estimate!$D$5:$D$9,MATCH($O27,Basis_of_Estimate!$A$5:$A$9,0)),""))</f>
        <v/>
      </c>
      <c r="R27" s="153">
        <f>IF($N27="","",$N27*(1+$P27))</f>
        <v/>
      </c>
      <c r="S27" s="153">
        <f>IF($N27="","",$N27)</f>
        <v/>
      </c>
      <c r="T27" s="153">
        <f>IF($N27="","",$N27*(1+$Q27))</f>
        <v/>
      </c>
      <c r="U27" s="150">
        <f>IF($D27="","",IFERROR(INDEX(WBS_CBS!$M$5:$M$16,MATCH($D27,WBS_CBS!$A$5:$A$16,0)),"Yes"))</f>
        <v/>
      </c>
      <c r="V27" s="150">
        <f>IF($D27="","",IFERROR(INDEX(WBS_CBS!$N$5:$N$16,MATCH($D27,WBS_CBS!$A$5:$A$16,0)),"Yes"))</f>
        <v/>
      </c>
      <c r="W27" s="150">
        <f>IF($D27="","",IFERROR(INDEX(WBS_CBS!$K$5:$K$16,MATCH($D27,WBS_CBS!$A$5:$A$16,0)),""))</f>
        <v/>
      </c>
      <c r="X27" s="150">
        <f>IF($D27="","",IFERROR(INDEX(WBS_CBS!$F$5:$F$16,MATCH($D27,WBS_CBS!$A$5:$A$16,0)),""))</f>
        <v/>
      </c>
      <c r="Y27" s="149" t="n"/>
      <c r="Z27" s="149" t="n"/>
      <c r="AA27" s="150">
        <f>IF($D27="","",IFERROR(INDEX(WBS_CBS!$L$5:$L$16,MATCH($D27,WBS_CBS!$A$5:$A$16,0)),""))</f>
        <v/>
      </c>
      <c r="AB27" s="149" t="n"/>
    </row>
    <row r="28">
      <c r="A28" s="149" t="n"/>
      <c r="B28" s="149" t="n"/>
      <c r="C28" s="150">
        <f>IF($D28="","",IFERROR(INDEX(WBS_CBS!$E$5:$E$16,MATCH($D28,WBS_CBS!$A$5:$A$16,0)),""))</f>
        <v/>
      </c>
      <c r="D28" s="149" t="n"/>
      <c r="E28" s="150">
        <f>IF($D28="","",IFERROR(INDEX(WBS_CBS!$C$5:$C$16,MATCH($D28,WBS_CBS!$A$5:$A$16,0)),""))</f>
        <v/>
      </c>
      <c r="F28" s="150">
        <f>IF($D28="","",IFERROR(INDEX(WBS_CBS!$J$5:$J$16,MATCH($D28,WBS_CBS!$A$5:$A$16,0)),""))</f>
        <v/>
      </c>
      <c r="G28" s="149" t="n"/>
      <c r="H28" s="151" t="n"/>
      <c r="I28" s="149" t="n"/>
      <c r="J28" s="152" t="n"/>
      <c r="K28" s="149" t="n"/>
      <c r="L28" s="153">
        <f>IF($K28="","",IFERROR(INDEX(FX_Rates!$B$5:$B$14,MATCH($K28,FX_Rates!$A$5:$A$14,0)),""))</f>
        <v/>
      </c>
      <c r="M28" s="153">
        <f>IF(OR($H28="",$J28=""),"",$H28*$J28)</f>
        <v/>
      </c>
      <c r="N28" s="153">
        <f>IF(OR($M28="",$L28=""),"",$M28*$L28)</f>
        <v/>
      </c>
      <c r="O28" s="149" t="n"/>
      <c r="P28" s="154">
        <f>IF($O28="","",IFERROR(INDEX(Basis_of_Estimate!$C$5:$C$9,MATCH($O28,Basis_of_Estimate!$A$5:$A$9,0)),""))</f>
        <v/>
      </c>
      <c r="Q28" s="154">
        <f>IF($O28="","",IFERROR(INDEX(Basis_of_Estimate!$D$5:$D$9,MATCH($O28,Basis_of_Estimate!$A$5:$A$9,0)),""))</f>
        <v/>
      </c>
      <c r="R28" s="153">
        <f>IF($N28="","",$N28*(1+$P28))</f>
        <v/>
      </c>
      <c r="S28" s="153">
        <f>IF($N28="","",$N28)</f>
        <v/>
      </c>
      <c r="T28" s="153">
        <f>IF($N28="","",$N28*(1+$Q28))</f>
        <v/>
      </c>
      <c r="U28" s="150">
        <f>IF($D28="","",IFERROR(INDEX(WBS_CBS!$M$5:$M$16,MATCH($D28,WBS_CBS!$A$5:$A$16,0)),"Yes"))</f>
        <v/>
      </c>
      <c r="V28" s="150">
        <f>IF($D28="","",IFERROR(INDEX(WBS_CBS!$N$5:$N$16,MATCH($D28,WBS_CBS!$A$5:$A$16,0)),"Yes"))</f>
        <v/>
      </c>
      <c r="W28" s="150">
        <f>IF($D28="","",IFERROR(INDEX(WBS_CBS!$K$5:$K$16,MATCH($D28,WBS_CBS!$A$5:$A$16,0)),""))</f>
        <v/>
      </c>
      <c r="X28" s="150">
        <f>IF($D28="","",IFERROR(INDEX(WBS_CBS!$F$5:$F$16,MATCH($D28,WBS_CBS!$A$5:$A$16,0)),""))</f>
        <v/>
      </c>
      <c r="Y28" s="149" t="n"/>
      <c r="Z28" s="149" t="n"/>
      <c r="AA28" s="150">
        <f>IF($D28="","",IFERROR(INDEX(WBS_CBS!$L$5:$L$16,MATCH($D28,WBS_CBS!$A$5:$A$16,0)),""))</f>
        <v/>
      </c>
      <c r="AB28" s="149" t="n"/>
    </row>
    <row r="29">
      <c r="A29" s="149" t="n"/>
      <c r="B29" s="149" t="n"/>
      <c r="C29" s="150">
        <f>IF($D29="","",IFERROR(INDEX(WBS_CBS!$E$5:$E$16,MATCH($D29,WBS_CBS!$A$5:$A$16,0)),""))</f>
        <v/>
      </c>
      <c r="D29" s="149" t="n"/>
      <c r="E29" s="150">
        <f>IF($D29="","",IFERROR(INDEX(WBS_CBS!$C$5:$C$16,MATCH($D29,WBS_CBS!$A$5:$A$16,0)),""))</f>
        <v/>
      </c>
      <c r="F29" s="150">
        <f>IF($D29="","",IFERROR(INDEX(WBS_CBS!$J$5:$J$16,MATCH($D29,WBS_CBS!$A$5:$A$16,0)),""))</f>
        <v/>
      </c>
      <c r="G29" s="149" t="n"/>
      <c r="H29" s="151" t="n"/>
      <c r="I29" s="149" t="n"/>
      <c r="J29" s="152" t="n"/>
      <c r="K29" s="149" t="n"/>
      <c r="L29" s="153">
        <f>IF($K29="","",IFERROR(INDEX(FX_Rates!$B$5:$B$14,MATCH($K29,FX_Rates!$A$5:$A$14,0)),""))</f>
        <v/>
      </c>
      <c r="M29" s="153">
        <f>IF(OR($H29="",$J29=""),"",$H29*$J29)</f>
        <v/>
      </c>
      <c r="N29" s="153">
        <f>IF(OR($M29="",$L29=""),"",$M29*$L29)</f>
        <v/>
      </c>
      <c r="O29" s="149" t="n"/>
      <c r="P29" s="154">
        <f>IF($O29="","",IFERROR(INDEX(Basis_of_Estimate!$C$5:$C$9,MATCH($O29,Basis_of_Estimate!$A$5:$A$9,0)),""))</f>
        <v/>
      </c>
      <c r="Q29" s="154">
        <f>IF($O29="","",IFERROR(INDEX(Basis_of_Estimate!$D$5:$D$9,MATCH($O29,Basis_of_Estimate!$A$5:$A$9,0)),""))</f>
        <v/>
      </c>
      <c r="R29" s="153">
        <f>IF($N29="","",$N29*(1+$P29))</f>
        <v/>
      </c>
      <c r="S29" s="153">
        <f>IF($N29="","",$N29)</f>
        <v/>
      </c>
      <c r="T29" s="153">
        <f>IF($N29="","",$N29*(1+$Q29))</f>
        <v/>
      </c>
      <c r="U29" s="150">
        <f>IF($D29="","",IFERROR(INDEX(WBS_CBS!$M$5:$M$16,MATCH($D29,WBS_CBS!$A$5:$A$16,0)),"Yes"))</f>
        <v/>
      </c>
      <c r="V29" s="150">
        <f>IF($D29="","",IFERROR(INDEX(WBS_CBS!$N$5:$N$16,MATCH($D29,WBS_CBS!$A$5:$A$16,0)),"Yes"))</f>
        <v/>
      </c>
      <c r="W29" s="150">
        <f>IF($D29="","",IFERROR(INDEX(WBS_CBS!$K$5:$K$16,MATCH($D29,WBS_CBS!$A$5:$A$16,0)),""))</f>
        <v/>
      </c>
      <c r="X29" s="150">
        <f>IF($D29="","",IFERROR(INDEX(WBS_CBS!$F$5:$F$16,MATCH($D29,WBS_CBS!$A$5:$A$16,0)),""))</f>
        <v/>
      </c>
      <c r="Y29" s="149" t="n"/>
      <c r="Z29" s="149" t="n"/>
      <c r="AA29" s="150">
        <f>IF($D29="","",IFERROR(INDEX(WBS_CBS!$L$5:$L$16,MATCH($D29,WBS_CBS!$A$5:$A$16,0)),""))</f>
        <v/>
      </c>
      <c r="AB29" s="149" t="n"/>
    </row>
    <row r="30">
      <c r="A30" s="149" t="n"/>
      <c r="B30" s="149" t="n"/>
      <c r="C30" s="150">
        <f>IF($D30="","",IFERROR(INDEX(WBS_CBS!$E$5:$E$16,MATCH($D30,WBS_CBS!$A$5:$A$16,0)),""))</f>
        <v/>
      </c>
      <c r="D30" s="149" t="n"/>
      <c r="E30" s="150">
        <f>IF($D30="","",IFERROR(INDEX(WBS_CBS!$C$5:$C$16,MATCH($D30,WBS_CBS!$A$5:$A$16,0)),""))</f>
        <v/>
      </c>
      <c r="F30" s="150">
        <f>IF($D30="","",IFERROR(INDEX(WBS_CBS!$J$5:$J$16,MATCH($D30,WBS_CBS!$A$5:$A$16,0)),""))</f>
        <v/>
      </c>
      <c r="G30" s="149" t="n"/>
      <c r="H30" s="151" t="n"/>
      <c r="I30" s="149" t="n"/>
      <c r="J30" s="152" t="n"/>
      <c r="K30" s="149" t="n"/>
      <c r="L30" s="153">
        <f>IF($K30="","",IFERROR(INDEX(FX_Rates!$B$5:$B$14,MATCH($K30,FX_Rates!$A$5:$A$14,0)),""))</f>
        <v/>
      </c>
      <c r="M30" s="153">
        <f>IF(OR($H30="",$J30=""),"",$H30*$J30)</f>
        <v/>
      </c>
      <c r="N30" s="153">
        <f>IF(OR($M30="",$L30=""),"",$M30*$L30)</f>
        <v/>
      </c>
      <c r="O30" s="149" t="n"/>
      <c r="P30" s="154">
        <f>IF($O30="","",IFERROR(INDEX(Basis_of_Estimate!$C$5:$C$9,MATCH($O30,Basis_of_Estimate!$A$5:$A$9,0)),""))</f>
        <v/>
      </c>
      <c r="Q30" s="154">
        <f>IF($O30="","",IFERROR(INDEX(Basis_of_Estimate!$D$5:$D$9,MATCH($O30,Basis_of_Estimate!$A$5:$A$9,0)),""))</f>
        <v/>
      </c>
      <c r="R30" s="153">
        <f>IF($N30="","",$N30*(1+$P30))</f>
        <v/>
      </c>
      <c r="S30" s="153">
        <f>IF($N30="","",$N30)</f>
        <v/>
      </c>
      <c r="T30" s="153">
        <f>IF($N30="","",$N30*(1+$Q30))</f>
        <v/>
      </c>
      <c r="U30" s="150">
        <f>IF($D30="","",IFERROR(INDEX(WBS_CBS!$M$5:$M$16,MATCH($D30,WBS_CBS!$A$5:$A$16,0)),"Yes"))</f>
        <v/>
      </c>
      <c r="V30" s="150">
        <f>IF($D30="","",IFERROR(INDEX(WBS_CBS!$N$5:$N$16,MATCH($D30,WBS_CBS!$A$5:$A$16,0)),"Yes"))</f>
        <v/>
      </c>
      <c r="W30" s="150">
        <f>IF($D30="","",IFERROR(INDEX(WBS_CBS!$K$5:$K$16,MATCH($D30,WBS_CBS!$A$5:$A$16,0)),""))</f>
        <v/>
      </c>
      <c r="X30" s="150">
        <f>IF($D30="","",IFERROR(INDEX(WBS_CBS!$F$5:$F$16,MATCH($D30,WBS_CBS!$A$5:$A$16,0)),""))</f>
        <v/>
      </c>
      <c r="Y30" s="149" t="n"/>
      <c r="Z30" s="149" t="n"/>
      <c r="AA30" s="150">
        <f>IF($D30="","",IFERROR(INDEX(WBS_CBS!$L$5:$L$16,MATCH($D30,WBS_CBS!$A$5:$A$16,0)),""))</f>
        <v/>
      </c>
      <c r="AB30" s="149" t="n"/>
    </row>
    <row r="31">
      <c r="A31" s="149" t="n"/>
      <c r="B31" s="149" t="n"/>
      <c r="C31" s="150">
        <f>IF($D31="","",IFERROR(INDEX(WBS_CBS!$E$5:$E$16,MATCH($D31,WBS_CBS!$A$5:$A$16,0)),""))</f>
        <v/>
      </c>
      <c r="D31" s="149" t="n"/>
      <c r="E31" s="150">
        <f>IF($D31="","",IFERROR(INDEX(WBS_CBS!$C$5:$C$16,MATCH($D31,WBS_CBS!$A$5:$A$16,0)),""))</f>
        <v/>
      </c>
      <c r="F31" s="150">
        <f>IF($D31="","",IFERROR(INDEX(WBS_CBS!$J$5:$J$16,MATCH($D31,WBS_CBS!$A$5:$A$16,0)),""))</f>
        <v/>
      </c>
      <c r="G31" s="149" t="n"/>
      <c r="H31" s="151" t="n"/>
      <c r="I31" s="149" t="n"/>
      <c r="J31" s="152" t="n"/>
      <c r="K31" s="149" t="n"/>
      <c r="L31" s="153">
        <f>IF($K31="","",IFERROR(INDEX(FX_Rates!$B$5:$B$14,MATCH($K31,FX_Rates!$A$5:$A$14,0)),""))</f>
        <v/>
      </c>
      <c r="M31" s="153">
        <f>IF(OR($H31="",$J31=""),"",$H31*$J31)</f>
        <v/>
      </c>
      <c r="N31" s="153">
        <f>IF(OR($M31="",$L31=""),"",$M31*$L31)</f>
        <v/>
      </c>
      <c r="O31" s="149" t="n"/>
      <c r="P31" s="154">
        <f>IF($O31="","",IFERROR(INDEX(Basis_of_Estimate!$C$5:$C$9,MATCH($O31,Basis_of_Estimate!$A$5:$A$9,0)),""))</f>
        <v/>
      </c>
      <c r="Q31" s="154">
        <f>IF($O31="","",IFERROR(INDEX(Basis_of_Estimate!$D$5:$D$9,MATCH($O31,Basis_of_Estimate!$A$5:$A$9,0)),""))</f>
        <v/>
      </c>
      <c r="R31" s="153">
        <f>IF($N31="","",$N31*(1+$P31))</f>
        <v/>
      </c>
      <c r="S31" s="153">
        <f>IF($N31="","",$N31)</f>
        <v/>
      </c>
      <c r="T31" s="153">
        <f>IF($N31="","",$N31*(1+$Q31))</f>
        <v/>
      </c>
      <c r="U31" s="150">
        <f>IF($D31="","",IFERROR(INDEX(WBS_CBS!$M$5:$M$16,MATCH($D31,WBS_CBS!$A$5:$A$16,0)),"Yes"))</f>
        <v/>
      </c>
      <c r="V31" s="150">
        <f>IF($D31="","",IFERROR(INDEX(WBS_CBS!$N$5:$N$16,MATCH($D31,WBS_CBS!$A$5:$A$16,0)),"Yes"))</f>
        <v/>
      </c>
      <c r="W31" s="150">
        <f>IF($D31="","",IFERROR(INDEX(WBS_CBS!$K$5:$K$16,MATCH($D31,WBS_CBS!$A$5:$A$16,0)),""))</f>
        <v/>
      </c>
      <c r="X31" s="150">
        <f>IF($D31="","",IFERROR(INDEX(WBS_CBS!$F$5:$F$16,MATCH($D31,WBS_CBS!$A$5:$A$16,0)),""))</f>
        <v/>
      </c>
      <c r="Y31" s="149" t="n"/>
      <c r="Z31" s="149" t="n"/>
      <c r="AA31" s="150">
        <f>IF($D31="","",IFERROR(INDEX(WBS_CBS!$L$5:$L$16,MATCH($D31,WBS_CBS!$A$5:$A$16,0)),""))</f>
        <v/>
      </c>
      <c r="AB31" s="149" t="n"/>
    </row>
    <row r="32">
      <c r="A32" s="149" t="n"/>
      <c r="B32" s="149" t="n"/>
      <c r="C32" s="150">
        <f>IF($D32="","",IFERROR(INDEX(WBS_CBS!$E$5:$E$16,MATCH($D32,WBS_CBS!$A$5:$A$16,0)),""))</f>
        <v/>
      </c>
      <c r="D32" s="149" t="n"/>
      <c r="E32" s="150">
        <f>IF($D32="","",IFERROR(INDEX(WBS_CBS!$C$5:$C$16,MATCH($D32,WBS_CBS!$A$5:$A$16,0)),""))</f>
        <v/>
      </c>
      <c r="F32" s="150">
        <f>IF($D32="","",IFERROR(INDEX(WBS_CBS!$J$5:$J$16,MATCH($D32,WBS_CBS!$A$5:$A$16,0)),""))</f>
        <v/>
      </c>
      <c r="G32" s="149" t="n"/>
      <c r="H32" s="151" t="n"/>
      <c r="I32" s="149" t="n"/>
      <c r="J32" s="152" t="n"/>
      <c r="K32" s="149" t="n"/>
      <c r="L32" s="153">
        <f>IF($K32="","",IFERROR(INDEX(FX_Rates!$B$5:$B$14,MATCH($K32,FX_Rates!$A$5:$A$14,0)),""))</f>
        <v/>
      </c>
      <c r="M32" s="153">
        <f>IF(OR($H32="",$J32=""),"",$H32*$J32)</f>
        <v/>
      </c>
      <c r="N32" s="153">
        <f>IF(OR($M32="",$L32=""),"",$M32*$L32)</f>
        <v/>
      </c>
      <c r="O32" s="149" t="n"/>
      <c r="P32" s="154">
        <f>IF($O32="","",IFERROR(INDEX(Basis_of_Estimate!$C$5:$C$9,MATCH($O32,Basis_of_Estimate!$A$5:$A$9,0)),""))</f>
        <v/>
      </c>
      <c r="Q32" s="154">
        <f>IF($O32="","",IFERROR(INDEX(Basis_of_Estimate!$D$5:$D$9,MATCH($O32,Basis_of_Estimate!$A$5:$A$9,0)),""))</f>
        <v/>
      </c>
      <c r="R32" s="153">
        <f>IF($N32="","",$N32*(1+$P32))</f>
        <v/>
      </c>
      <c r="S32" s="153">
        <f>IF($N32="","",$N32)</f>
        <v/>
      </c>
      <c r="T32" s="153">
        <f>IF($N32="","",$N32*(1+$Q32))</f>
        <v/>
      </c>
      <c r="U32" s="150">
        <f>IF($D32="","",IFERROR(INDEX(WBS_CBS!$M$5:$M$16,MATCH($D32,WBS_CBS!$A$5:$A$16,0)),"Yes"))</f>
        <v/>
      </c>
      <c r="V32" s="150">
        <f>IF($D32="","",IFERROR(INDEX(WBS_CBS!$N$5:$N$16,MATCH($D32,WBS_CBS!$A$5:$A$16,0)),"Yes"))</f>
        <v/>
      </c>
      <c r="W32" s="150">
        <f>IF($D32="","",IFERROR(INDEX(WBS_CBS!$K$5:$K$16,MATCH($D32,WBS_CBS!$A$5:$A$16,0)),""))</f>
        <v/>
      </c>
      <c r="X32" s="150">
        <f>IF($D32="","",IFERROR(INDEX(WBS_CBS!$F$5:$F$16,MATCH($D32,WBS_CBS!$A$5:$A$16,0)),""))</f>
        <v/>
      </c>
      <c r="Y32" s="149" t="n"/>
      <c r="Z32" s="149" t="n"/>
      <c r="AA32" s="150">
        <f>IF($D32="","",IFERROR(INDEX(WBS_CBS!$L$5:$L$16,MATCH($D32,WBS_CBS!$A$5:$A$16,0)),""))</f>
        <v/>
      </c>
      <c r="AB32" s="149" t="n"/>
    </row>
    <row r="33">
      <c r="A33" s="149" t="n"/>
      <c r="B33" s="149" t="n"/>
      <c r="C33" s="150">
        <f>IF($D33="","",IFERROR(INDEX(WBS_CBS!$E$5:$E$16,MATCH($D33,WBS_CBS!$A$5:$A$16,0)),""))</f>
        <v/>
      </c>
      <c r="D33" s="149" t="n"/>
      <c r="E33" s="150">
        <f>IF($D33="","",IFERROR(INDEX(WBS_CBS!$C$5:$C$16,MATCH($D33,WBS_CBS!$A$5:$A$16,0)),""))</f>
        <v/>
      </c>
      <c r="F33" s="150">
        <f>IF($D33="","",IFERROR(INDEX(WBS_CBS!$J$5:$J$16,MATCH($D33,WBS_CBS!$A$5:$A$16,0)),""))</f>
        <v/>
      </c>
      <c r="G33" s="149" t="n"/>
      <c r="H33" s="151" t="n"/>
      <c r="I33" s="149" t="n"/>
      <c r="J33" s="152" t="n"/>
      <c r="K33" s="149" t="n"/>
      <c r="L33" s="153">
        <f>IF($K33="","",IFERROR(INDEX(FX_Rates!$B$5:$B$14,MATCH($K33,FX_Rates!$A$5:$A$14,0)),""))</f>
        <v/>
      </c>
      <c r="M33" s="153">
        <f>IF(OR($H33="",$J33=""),"",$H33*$J33)</f>
        <v/>
      </c>
      <c r="N33" s="153">
        <f>IF(OR($M33="",$L33=""),"",$M33*$L33)</f>
        <v/>
      </c>
      <c r="O33" s="149" t="n"/>
      <c r="P33" s="154">
        <f>IF($O33="","",IFERROR(INDEX(Basis_of_Estimate!$C$5:$C$9,MATCH($O33,Basis_of_Estimate!$A$5:$A$9,0)),""))</f>
        <v/>
      </c>
      <c r="Q33" s="154">
        <f>IF($O33="","",IFERROR(INDEX(Basis_of_Estimate!$D$5:$D$9,MATCH($O33,Basis_of_Estimate!$A$5:$A$9,0)),""))</f>
        <v/>
      </c>
      <c r="R33" s="153">
        <f>IF($N33="","",$N33*(1+$P33))</f>
        <v/>
      </c>
      <c r="S33" s="153">
        <f>IF($N33="","",$N33)</f>
        <v/>
      </c>
      <c r="T33" s="153">
        <f>IF($N33="","",$N33*(1+$Q33))</f>
        <v/>
      </c>
      <c r="U33" s="150">
        <f>IF($D33="","",IFERROR(INDEX(WBS_CBS!$M$5:$M$16,MATCH($D33,WBS_CBS!$A$5:$A$16,0)),"Yes"))</f>
        <v/>
      </c>
      <c r="V33" s="150">
        <f>IF($D33="","",IFERROR(INDEX(WBS_CBS!$N$5:$N$16,MATCH($D33,WBS_CBS!$A$5:$A$16,0)),"Yes"))</f>
        <v/>
      </c>
      <c r="W33" s="150">
        <f>IF($D33="","",IFERROR(INDEX(WBS_CBS!$K$5:$K$16,MATCH($D33,WBS_CBS!$A$5:$A$16,0)),""))</f>
        <v/>
      </c>
      <c r="X33" s="150">
        <f>IF($D33="","",IFERROR(INDEX(WBS_CBS!$F$5:$F$16,MATCH($D33,WBS_CBS!$A$5:$A$16,0)),""))</f>
        <v/>
      </c>
      <c r="Y33" s="149" t="n"/>
      <c r="Z33" s="149" t="n"/>
      <c r="AA33" s="150">
        <f>IF($D33="","",IFERROR(INDEX(WBS_CBS!$L$5:$L$16,MATCH($D33,WBS_CBS!$A$5:$A$16,0)),""))</f>
        <v/>
      </c>
      <c r="AB33" s="149" t="n"/>
    </row>
    <row r="34">
      <c r="A34" s="149" t="n"/>
      <c r="B34" s="149" t="n"/>
      <c r="C34" s="150">
        <f>IF($D34="","",IFERROR(INDEX(WBS_CBS!$E$5:$E$16,MATCH($D34,WBS_CBS!$A$5:$A$16,0)),""))</f>
        <v/>
      </c>
      <c r="D34" s="149" t="n"/>
      <c r="E34" s="150">
        <f>IF($D34="","",IFERROR(INDEX(WBS_CBS!$C$5:$C$16,MATCH($D34,WBS_CBS!$A$5:$A$16,0)),""))</f>
        <v/>
      </c>
      <c r="F34" s="150">
        <f>IF($D34="","",IFERROR(INDEX(WBS_CBS!$J$5:$J$16,MATCH($D34,WBS_CBS!$A$5:$A$16,0)),""))</f>
        <v/>
      </c>
      <c r="G34" s="149" t="n"/>
      <c r="H34" s="151" t="n"/>
      <c r="I34" s="149" t="n"/>
      <c r="J34" s="152" t="n"/>
      <c r="K34" s="149" t="n"/>
      <c r="L34" s="153">
        <f>IF($K34="","",IFERROR(INDEX(FX_Rates!$B$5:$B$14,MATCH($K34,FX_Rates!$A$5:$A$14,0)),""))</f>
        <v/>
      </c>
      <c r="M34" s="153">
        <f>IF(OR($H34="",$J34=""),"",$H34*$J34)</f>
        <v/>
      </c>
      <c r="N34" s="153">
        <f>IF(OR($M34="",$L34=""),"",$M34*$L34)</f>
        <v/>
      </c>
      <c r="O34" s="149" t="n"/>
      <c r="P34" s="154">
        <f>IF($O34="","",IFERROR(INDEX(Basis_of_Estimate!$C$5:$C$9,MATCH($O34,Basis_of_Estimate!$A$5:$A$9,0)),""))</f>
        <v/>
      </c>
      <c r="Q34" s="154">
        <f>IF($O34="","",IFERROR(INDEX(Basis_of_Estimate!$D$5:$D$9,MATCH($O34,Basis_of_Estimate!$A$5:$A$9,0)),""))</f>
        <v/>
      </c>
      <c r="R34" s="153">
        <f>IF($N34="","",$N34*(1+$P34))</f>
        <v/>
      </c>
      <c r="S34" s="153">
        <f>IF($N34="","",$N34)</f>
        <v/>
      </c>
      <c r="T34" s="153">
        <f>IF($N34="","",$N34*(1+$Q34))</f>
        <v/>
      </c>
      <c r="U34" s="150">
        <f>IF($D34="","",IFERROR(INDEX(WBS_CBS!$M$5:$M$16,MATCH($D34,WBS_CBS!$A$5:$A$16,0)),"Yes"))</f>
        <v/>
      </c>
      <c r="V34" s="150">
        <f>IF($D34="","",IFERROR(INDEX(WBS_CBS!$N$5:$N$16,MATCH($D34,WBS_CBS!$A$5:$A$16,0)),"Yes"))</f>
        <v/>
      </c>
      <c r="W34" s="150">
        <f>IF($D34="","",IFERROR(INDEX(WBS_CBS!$K$5:$K$16,MATCH($D34,WBS_CBS!$A$5:$A$16,0)),""))</f>
        <v/>
      </c>
      <c r="X34" s="150">
        <f>IF($D34="","",IFERROR(INDEX(WBS_CBS!$F$5:$F$16,MATCH($D34,WBS_CBS!$A$5:$A$16,0)),""))</f>
        <v/>
      </c>
      <c r="Y34" s="149" t="n"/>
      <c r="Z34" s="149" t="n"/>
      <c r="AA34" s="150">
        <f>IF($D34="","",IFERROR(INDEX(WBS_CBS!$L$5:$L$16,MATCH($D34,WBS_CBS!$A$5:$A$16,0)),""))</f>
        <v/>
      </c>
      <c r="AB34" s="149" t="n"/>
    </row>
    <row r="35">
      <c r="A35" s="149" t="n"/>
      <c r="B35" s="149" t="n"/>
      <c r="C35" s="150">
        <f>IF($D35="","",IFERROR(INDEX(WBS_CBS!$E$5:$E$16,MATCH($D35,WBS_CBS!$A$5:$A$16,0)),""))</f>
        <v/>
      </c>
      <c r="D35" s="149" t="n"/>
      <c r="E35" s="150">
        <f>IF($D35="","",IFERROR(INDEX(WBS_CBS!$C$5:$C$16,MATCH($D35,WBS_CBS!$A$5:$A$16,0)),""))</f>
        <v/>
      </c>
      <c r="F35" s="150">
        <f>IF($D35="","",IFERROR(INDEX(WBS_CBS!$J$5:$J$16,MATCH($D35,WBS_CBS!$A$5:$A$16,0)),""))</f>
        <v/>
      </c>
      <c r="G35" s="149" t="n"/>
      <c r="H35" s="151" t="n"/>
      <c r="I35" s="149" t="n"/>
      <c r="J35" s="152" t="n"/>
      <c r="K35" s="149" t="n"/>
      <c r="L35" s="153">
        <f>IF($K35="","",IFERROR(INDEX(FX_Rates!$B$5:$B$14,MATCH($K35,FX_Rates!$A$5:$A$14,0)),""))</f>
        <v/>
      </c>
      <c r="M35" s="153">
        <f>IF(OR($H35="",$J35=""),"",$H35*$J35)</f>
        <v/>
      </c>
      <c r="N35" s="153">
        <f>IF(OR($M35="",$L35=""),"",$M35*$L35)</f>
        <v/>
      </c>
      <c r="O35" s="149" t="n"/>
      <c r="P35" s="154">
        <f>IF($O35="","",IFERROR(INDEX(Basis_of_Estimate!$C$5:$C$9,MATCH($O35,Basis_of_Estimate!$A$5:$A$9,0)),""))</f>
        <v/>
      </c>
      <c r="Q35" s="154">
        <f>IF($O35="","",IFERROR(INDEX(Basis_of_Estimate!$D$5:$D$9,MATCH($O35,Basis_of_Estimate!$A$5:$A$9,0)),""))</f>
        <v/>
      </c>
      <c r="R35" s="153">
        <f>IF($N35="","",$N35*(1+$P35))</f>
        <v/>
      </c>
      <c r="S35" s="153">
        <f>IF($N35="","",$N35)</f>
        <v/>
      </c>
      <c r="T35" s="153">
        <f>IF($N35="","",$N35*(1+$Q35))</f>
        <v/>
      </c>
      <c r="U35" s="150">
        <f>IF($D35="","",IFERROR(INDEX(WBS_CBS!$M$5:$M$16,MATCH($D35,WBS_CBS!$A$5:$A$16,0)),"Yes"))</f>
        <v/>
      </c>
      <c r="V35" s="150">
        <f>IF($D35="","",IFERROR(INDEX(WBS_CBS!$N$5:$N$16,MATCH($D35,WBS_CBS!$A$5:$A$16,0)),"Yes"))</f>
        <v/>
      </c>
      <c r="W35" s="150">
        <f>IF($D35="","",IFERROR(INDEX(WBS_CBS!$K$5:$K$16,MATCH($D35,WBS_CBS!$A$5:$A$16,0)),""))</f>
        <v/>
      </c>
      <c r="X35" s="150">
        <f>IF($D35="","",IFERROR(INDEX(WBS_CBS!$F$5:$F$16,MATCH($D35,WBS_CBS!$A$5:$A$16,0)),""))</f>
        <v/>
      </c>
      <c r="Y35" s="149" t="n"/>
      <c r="Z35" s="149" t="n"/>
      <c r="AA35" s="150">
        <f>IF($D35="","",IFERROR(INDEX(WBS_CBS!$L$5:$L$16,MATCH($D35,WBS_CBS!$A$5:$A$16,0)),""))</f>
        <v/>
      </c>
      <c r="AB35" s="149" t="n"/>
    </row>
    <row r="36">
      <c r="A36" s="149" t="n"/>
      <c r="B36" s="149" t="n"/>
      <c r="C36" s="150">
        <f>IF($D36="","",IFERROR(INDEX(WBS_CBS!$E$5:$E$16,MATCH($D36,WBS_CBS!$A$5:$A$16,0)),""))</f>
        <v/>
      </c>
      <c r="D36" s="149" t="n"/>
      <c r="E36" s="150">
        <f>IF($D36="","",IFERROR(INDEX(WBS_CBS!$C$5:$C$16,MATCH($D36,WBS_CBS!$A$5:$A$16,0)),""))</f>
        <v/>
      </c>
      <c r="F36" s="150">
        <f>IF($D36="","",IFERROR(INDEX(WBS_CBS!$J$5:$J$16,MATCH($D36,WBS_CBS!$A$5:$A$16,0)),""))</f>
        <v/>
      </c>
      <c r="G36" s="149" t="n"/>
      <c r="H36" s="151" t="n"/>
      <c r="I36" s="149" t="n"/>
      <c r="J36" s="152" t="n"/>
      <c r="K36" s="149" t="n"/>
      <c r="L36" s="153">
        <f>IF($K36="","",IFERROR(INDEX(FX_Rates!$B$5:$B$14,MATCH($K36,FX_Rates!$A$5:$A$14,0)),""))</f>
        <v/>
      </c>
      <c r="M36" s="153">
        <f>IF(OR($H36="",$J36=""),"",$H36*$J36)</f>
        <v/>
      </c>
      <c r="N36" s="153">
        <f>IF(OR($M36="",$L36=""),"",$M36*$L36)</f>
        <v/>
      </c>
      <c r="O36" s="149" t="n"/>
      <c r="P36" s="154">
        <f>IF($O36="","",IFERROR(INDEX(Basis_of_Estimate!$C$5:$C$9,MATCH($O36,Basis_of_Estimate!$A$5:$A$9,0)),""))</f>
        <v/>
      </c>
      <c r="Q36" s="154">
        <f>IF($O36="","",IFERROR(INDEX(Basis_of_Estimate!$D$5:$D$9,MATCH($O36,Basis_of_Estimate!$A$5:$A$9,0)),""))</f>
        <v/>
      </c>
      <c r="R36" s="153">
        <f>IF($N36="","",$N36*(1+$P36))</f>
        <v/>
      </c>
      <c r="S36" s="153">
        <f>IF($N36="","",$N36)</f>
        <v/>
      </c>
      <c r="T36" s="153">
        <f>IF($N36="","",$N36*(1+$Q36))</f>
        <v/>
      </c>
      <c r="U36" s="150">
        <f>IF($D36="","",IFERROR(INDEX(WBS_CBS!$M$5:$M$16,MATCH($D36,WBS_CBS!$A$5:$A$16,0)),"Yes"))</f>
        <v/>
      </c>
      <c r="V36" s="150">
        <f>IF($D36="","",IFERROR(INDEX(WBS_CBS!$N$5:$N$16,MATCH($D36,WBS_CBS!$A$5:$A$16,0)),"Yes"))</f>
        <v/>
      </c>
      <c r="W36" s="150">
        <f>IF($D36="","",IFERROR(INDEX(WBS_CBS!$K$5:$K$16,MATCH($D36,WBS_CBS!$A$5:$A$16,0)),""))</f>
        <v/>
      </c>
      <c r="X36" s="150">
        <f>IF($D36="","",IFERROR(INDEX(WBS_CBS!$F$5:$F$16,MATCH($D36,WBS_CBS!$A$5:$A$16,0)),""))</f>
        <v/>
      </c>
      <c r="Y36" s="149" t="n"/>
      <c r="Z36" s="149" t="n"/>
      <c r="AA36" s="150">
        <f>IF($D36="","",IFERROR(INDEX(WBS_CBS!$L$5:$L$16,MATCH($D36,WBS_CBS!$A$5:$A$16,0)),""))</f>
        <v/>
      </c>
      <c r="AB36" s="149" t="n"/>
    </row>
    <row r="37">
      <c r="A37" s="149" t="n"/>
      <c r="B37" s="149" t="n"/>
      <c r="C37" s="150">
        <f>IF($D37="","",IFERROR(INDEX(WBS_CBS!$E$5:$E$16,MATCH($D37,WBS_CBS!$A$5:$A$16,0)),""))</f>
        <v/>
      </c>
      <c r="D37" s="149" t="n"/>
      <c r="E37" s="150">
        <f>IF($D37="","",IFERROR(INDEX(WBS_CBS!$C$5:$C$16,MATCH($D37,WBS_CBS!$A$5:$A$16,0)),""))</f>
        <v/>
      </c>
      <c r="F37" s="150">
        <f>IF($D37="","",IFERROR(INDEX(WBS_CBS!$J$5:$J$16,MATCH($D37,WBS_CBS!$A$5:$A$16,0)),""))</f>
        <v/>
      </c>
      <c r="G37" s="149" t="n"/>
      <c r="H37" s="151" t="n"/>
      <c r="I37" s="149" t="n"/>
      <c r="J37" s="152" t="n"/>
      <c r="K37" s="149" t="n"/>
      <c r="L37" s="153">
        <f>IF($K37="","",IFERROR(INDEX(FX_Rates!$B$5:$B$14,MATCH($K37,FX_Rates!$A$5:$A$14,0)),""))</f>
        <v/>
      </c>
      <c r="M37" s="153">
        <f>IF(OR($H37="",$J37=""),"",$H37*$J37)</f>
        <v/>
      </c>
      <c r="N37" s="153">
        <f>IF(OR($M37="",$L37=""),"",$M37*$L37)</f>
        <v/>
      </c>
      <c r="O37" s="149" t="n"/>
      <c r="P37" s="154">
        <f>IF($O37="","",IFERROR(INDEX(Basis_of_Estimate!$C$5:$C$9,MATCH($O37,Basis_of_Estimate!$A$5:$A$9,0)),""))</f>
        <v/>
      </c>
      <c r="Q37" s="154">
        <f>IF($O37="","",IFERROR(INDEX(Basis_of_Estimate!$D$5:$D$9,MATCH($O37,Basis_of_Estimate!$A$5:$A$9,0)),""))</f>
        <v/>
      </c>
      <c r="R37" s="153">
        <f>IF($N37="","",$N37*(1+$P37))</f>
        <v/>
      </c>
      <c r="S37" s="153">
        <f>IF($N37="","",$N37)</f>
        <v/>
      </c>
      <c r="T37" s="153">
        <f>IF($N37="","",$N37*(1+$Q37))</f>
        <v/>
      </c>
      <c r="U37" s="150">
        <f>IF($D37="","",IFERROR(INDEX(WBS_CBS!$M$5:$M$16,MATCH($D37,WBS_CBS!$A$5:$A$16,0)),"Yes"))</f>
        <v/>
      </c>
      <c r="V37" s="150">
        <f>IF($D37="","",IFERROR(INDEX(WBS_CBS!$N$5:$N$16,MATCH($D37,WBS_CBS!$A$5:$A$16,0)),"Yes"))</f>
        <v/>
      </c>
      <c r="W37" s="150">
        <f>IF($D37="","",IFERROR(INDEX(WBS_CBS!$K$5:$K$16,MATCH($D37,WBS_CBS!$A$5:$A$16,0)),""))</f>
        <v/>
      </c>
      <c r="X37" s="150">
        <f>IF($D37="","",IFERROR(INDEX(WBS_CBS!$F$5:$F$16,MATCH($D37,WBS_CBS!$A$5:$A$16,0)),""))</f>
        <v/>
      </c>
      <c r="Y37" s="149" t="n"/>
      <c r="Z37" s="149" t="n"/>
      <c r="AA37" s="150">
        <f>IF($D37="","",IFERROR(INDEX(WBS_CBS!$L$5:$L$16,MATCH($D37,WBS_CBS!$A$5:$A$16,0)),""))</f>
        <v/>
      </c>
      <c r="AB37" s="149" t="n"/>
    </row>
    <row r="38">
      <c r="A38" s="149" t="n"/>
      <c r="B38" s="149" t="n"/>
      <c r="C38" s="150">
        <f>IF($D38="","",IFERROR(INDEX(WBS_CBS!$E$5:$E$16,MATCH($D38,WBS_CBS!$A$5:$A$16,0)),""))</f>
        <v/>
      </c>
      <c r="D38" s="149" t="n"/>
      <c r="E38" s="150">
        <f>IF($D38="","",IFERROR(INDEX(WBS_CBS!$C$5:$C$16,MATCH($D38,WBS_CBS!$A$5:$A$16,0)),""))</f>
        <v/>
      </c>
      <c r="F38" s="150">
        <f>IF($D38="","",IFERROR(INDEX(WBS_CBS!$J$5:$J$16,MATCH($D38,WBS_CBS!$A$5:$A$16,0)),""))</f>
        <v/>
      </c>
      <c r="G38" s="149" t="n"/>
      <c r="H38" s="151" t="n"/>
      <c r="I38" s="149" t="n"/>
      <c r="J38" s="152" t="n"/>
      <c r="K38" s="149" t="n"/>
      <c r="L38" s="153">
        <f>IF($K38="","",IFERROR(INDEX(FX_Rates!$B$5:$B$14,MATCH($K38,FX_Rates!$A$5:$A$14,0)),""))</f>
        <v/>
      </c>
      <c r="M38" s="153">
        <f>IF(OR($H38="",$J38=""),"",$H38*$J38)</f>
        <v/>
      </c>
      <c r="N38" s="153">
        <f>IF(OR($M38="",$L38=""),"",$M38*$L38)</f>
        <v/>
      </c>
      <c r="O38" s="149" t="n"/>
      <c r="P38" s="154">
        <f>IF($O38="","",IFERROR(INDEX(Basis_of_Estimate!$C$5:$C$9,MATCH($O38,Basis_of_Estimate!$A$5:$A$9,0)),""))</f>
        <v/>
      </c>
      <c r="Q38" s="154">
        <f>IF($O38="","",IFERROR(INDEX(Basis_of_Estimate!$D$5:$D$9,MATCH($O38,Basis_of_Estimate!$A$5:$A$9,0)),""))</f>
        <v/>
      </c>
      <c r="R38" s="153">
        <f>IF($N38="","",$N38*(1+$P38))</f>
        <v/>
      </c>
      <c r="S38" s="153">
        <f>IF($N38="","",$N38)</f>
        <v/>
      </c>
      <c r="T38" s="153">
        <f>IF($N38="","",$N38*(1+$Q38))</f>
        <v/>
      </c>
      <c r="U38" s="150">
        <f>IF($D38="","",IFERROR(INDEX(WBS_CBS!$M$5:$M$16,MATCH($D38,WBS_CBS!$A$5:$A$16,0)),"Yes"))</f>
        <v/>
      </c>
      <c r="V38" s="150">
        <f>IF($D38="","",IFERROR(INDEX(WBS_CBS!$N$5:$N$16,MATCH($D38,WBS_CBS!$A$5:$A$16,0)),"Yes"))</f>
        <v/>
      </c>
      <c r="W38" s="150">
        <f>IF($D38="","",IFERROR(INDEX(WBS_CBS!$K$5:$K$16,MATCH($D38,WBS_CBS!$A$5:$A$16,0)),""))</f>
        <v/>
      </c>
      <c r="X38" s="150">
        <f>IF($D38="","",IFERROR(INDEX(WBS_CBS!$F$5:$F$16,MATCH($D38,WBS_CBS!$A$5:$A$16,0)),""))</f>
        <v/>
      </c>
      <c r="Y38" s="149" t="n"/>
      <c r="Z38" s="149" t="n"/>
      <c r="AA38" s="150">
        <f>IF($D38="","",IFERROR(INDEX(WBS_CBS!$L$5:$L$16,MATCH($D38,WBS_CBS!$A$5:$A$16,0)),""))</f>
        <v/>
      </c>
      <c r="AB38" s="149" t="n"/>
    </row>
    <row r="39">
      <c r="A39" s="149" t="n"/>
      <c r="B39" s="149" t="n"/>
      <c r="C39" s="150">
        <f>IF($D39="","",IFERROR(INDEX(WBS_CBS!$E$5:$E$16,MATCH($D39,WBS_CBS!$A$5:$A$16,0)),""))</f>
        <v/>
      </c>
      <c r="D39" s="149" t="n"/>
      <c r="E39" s="150">
        <f>IF($D39="","",IFERROR(INDEX(WBS_CBS!$C$5:$C$16,MATCH($D39,WBS_CBS!$A$5:$A$16,0)),""))</f>
        <v/>
      </c>
      <c r="F39" s="150">
        <f>IF($D39="","",IFERROR(INDEX(WBS_CBS!$J$5:$J$16,MATCH($D39,WBS_CBS!$A$5:$A$16,0)),""))</f>
        <v/>
      </c>
      <c r="G39" s="149" t="n"/>
      <c r="H39" s="151" t="n"/>
      <c r="I39" s="149" t="n"/>
      <c r="J39" s="152" t="n"/>
      <c r="K39" s="149" t="n"/>
      <c r="L39" s="153">
        <f>IF($K39="","",IFERROR(INDEX(FX_Rates!$B$5:$B$14,MATCH($K39,FX_Rates!$A$5:$A$14,0)),""))</f>
        <v/>
      </c>
      <c r="M39" s="153">
        <f>IF(OR($H39="",$J39=""),"",$H39*$J39)</f>
        <v/>
      </c>
      <c r="N39" s="153">
        <f>IF(OR($M39="",$L39=""),"",$M39*$L39)</f>
        <v/>
      </c>
      <c r="O39" s="149" t="n"/>
      <c r="P39" s="154">
        <f>IF($O39="","",IFERROR(INDEX(Basis_of_Estimate!$C$5:$C$9,MATCH($O39,Basis_of_Estimate!$A$5:$A$9,0)),""))</f>
        <v/>
      </c>
      <c r="Q39" s="154">
        <f>IF($O39="","",IFERROR(INDEX(Basis_of_Estimate!$D$5:$D$9,MATCH($O39,Basis_of_Estimate!$A$5:$A$9,0)),""))</f>
        <v/>
      </c>
      <c r="R39" s="153">
        <f>IF($N39="","",$N39*(1+$P39))</f>
        <v/>
      </c>
      <c r="S39" s="153">
        <f>IF($N39="","",$N39)</f>
        <v/>
      </c>
      <c r="T39" s="153">
        <f>IF($N39="","",$N39*(1+$Q39))</f>
        <v/>
      </c>
      <c r="U39" s="150">
        <f>IF($D39="","",IFERROR(INDEX(WBS_CBS!$M$5:$M$16,MATCH($D39,WBS_CBS!$A$5:$A$16,0)),"Yes"))</f>
        <v/>
      </c>
      <c r="V39" s="150">
        <f>IF($D39="","",IFERROR(INDEX(WBS_CBS!$N$5:$N$16,MATCH($D39,WBS_CBS!$A$5:$A$16,0)),"Yes"))</f>
        <v/>
      </c>
      <c r="W39" s="150">
        <f>IF($D39="","",IFERROR(INDEX(WBS_CBS!$K$5:$K$16,MATCH($D39,WBS_CBS!$A$5:$A$16,0)),""))</f>
        <v/>
      </c>
      <c r="X39" s="150">
        <f>IF($D39="","",IFERROR(INDEX(WBS_CBS!$F$5:$F$16,MATCH($D39,WBS_CBS!$A$5:$A$16,0)),""))</f>
        <v/>
      </c>
      <c r="Y39" s="149" t="n"/>
      <c r="Z39" s="149" t="n"/>
      <c r="AA39" s="150">
        <f>IF($D39="","",IFERROR(INDEX(WBS_CBS!$L$5:$L$16,MATCH($D39,WBS_CBS!$A$5:$A$16,0)),""))</f>
        <v/>
      </c>
      <c r="AB39" s="149" t="n"/>
    </row>
    <row r="40">
      <c r="A40" s="149" t="n"/>
      <c r="B40" s="149" t="n"/>
      <c r="C40" s="150">
        <f>IF($D40="","",IFERROR(INDEX(WBS_CBS!$E$5:$E$16,MATCH($D40,WBS_CBS!$A$5:$A$16,0)),""))</f>
        <v/>
      </c>
      <c r="D40" s="149" t="n"/>
      <c r="E40" s="150">
        <f>IF($D40="","",IFERROR(INDEX(WBS_CBS!$C$5:$C$16,MATCH($D40,WBS_CBS!$A$5:$A$16,0)),""))</f>
        <v/>
      </c>
      <c r="F40" s="150">
        <f>IF($D40="","",IFERROR(INDEX(WBS_CBS!$J$5:$J$16,MATCH($D40,WBS_CBS!$A$5:$A$16,0)),""))</f>
        <v/>
      </c>
      <c r="G40" s="149" t="n"/>
      <c r="H40" s="151" t="n"/>
      <c r="I40" s="149" t="n"/>
      <c r="J40" s="152" t="n"/>
      <c r="K40" s="149" t="n"/>
      <c r="L40" s="153">
        <f>IF($K40="","",IFERROR(INDEX(FX_Rates!$B$5:$B$14,MATCH($K40,FX_Rates!$A$5:$A$14,0)),""))</f>
        <v/>
      </c>
      <c r="M40" s="153">
        <f>IF(OR($H40="",$J40=""),"",$H40*$J40)</f>
        <v/>
      </c>
      <c r="N40" s="153">
        <f>IF(OR($M40="",$L40=""),"",$M40*$L40)</f>
        <v/>
      </c>
      <c r="O40" s="149" t="n"/>
      <c r="P40" s="154">
        <f>IF($O40="","",IFERROR(INDEX(Basis_of_Estimate!$C$5:$C$9,MATCH($O40,Basis_of_Estimate!$A$5:$A$9,0)),""))</f>
        <v/>
      </c>
      <c r="Q40" s="154">
        <f>IF($O40="","",IFERROR(INDEX(Basis_of_Estimate!$D$5:$D$9,MATCH($O40,Basis_of_Estimate!$A$5:$A$9,0)),""))</f>
        <v/>
      </c>
      <c r="R40" s="153">
        <f>IF($N40="","",$N40*(1+$P40))</f>
        <v/>
      </c>
      <c r="S40" s="153">
        <f>IF($N40="","",$N40)</f>
        <v/>
      </c>
      <c r="T40" s="153">
        <f>IF($N40="","",$N40*(1+$Q40))</f>
        <v/>
      </c>
      <c r="U40" s="150">
        <f>IF($D40="","",IFERROR(INDEX(WBS_CBS!$M$5:$M$16,MATCH($D40,WBS_CBS!$A$5:$A$16,0)),"Yes"))</f>
        <v/>
      </c>
      <c r="V40" s="150">
        <f>IF($D40="","",IFERROR(INDEX(WBS_CBS!$N$5:$N$16,MATCH($D40,WBS_CBS!$A$5:$A$16,0)),"Yes"))</f>
        <v/>
      </c>
      <c r="W40" s="150">
        <f>IF($D40="","",IFERROR(INDEX(WBS_CBS!$K$5:$K$16,MATCH($D40,WBS_CBS!$A$5:$A$16,0)),""))</f>
        <v/>
      </c>
      <c r="X40" s="150">
        <f>IF($D40="","",IFERROR(INDEX(WBS_CBS!$F$5:$F$16,MATCH($D40,WBS_CBS!$A$5:$A$16,0)),""))</f>
        <v/>
      </c>
      <c r="Y40" s="149" t="n"/>
      <c r="Z40" s="149" t="n"/>
      <c r="AA40" s="150">
        <f>IF($D40="","",IFERROR(INDEX(WBS_CBS!$L$5:$L$16,MATCH($D40,WBS_CBS!$A$5:$A$16,0)),""))</f>
        <v/>
      </c>
      <c r="AB40" s="149" t="n"/>
    </row>
    <row r="41">
      <c r="A41" s="149" t="n"/>
      <c r="B41" s="149" t="n"/>
      <c r="C41" s="150">
        <f>IF($D41="","",IFERROR(INDEX(WBS_CBS!$E$5:$E$16,MATCH($D41,WBS_CBS!$A$5:$A$16,0)),""))</f>
        <v/>
      </c>
      <c r="D41" s="149" t="n"/>
      <c r="E41" s="150">
        <f>IF($D41="","",IFERROR(INDEX(WBS_CBS!$C$5:$C$16,MATCH($D41,WBS_CBS!$A$5:$A$16,0)),""))</f>
        <v/>
      </c>
      <c r="F41" s="150">
        <f>IF($D41="","",IFERROR(INDEX(WBS_CBS!$J$5:$J$16,MATCH($D41,WBS_CBS!$A$5:$A$16,0)),""))</f>
        <v/>
      </c>
      <c r="G41" s="149" t="n"/>
      <c r="H41" s="151" t="n"/>
      <c r="I41" s="149" t="n"/>
      <c r="J41" s="152" t="n"/>
      <c r="K41" s="149" t="n"/>
      <c r="L41" s="153">
        <f>IF($K41="","",IFERROR(INDEX(FX_Rates!$B$5:$B$14,MATCH($K41,FX_Rates!$A$5:$A$14,0)),""))</f>
        <v/>
      </c>
      <c r="M41" s="153">
        <f>IF(OR($H41="",$J41=""),"",$H41*$J41)</f>
        <v/>
      </c>
      <c r="N41" s="153">
        <f>IF(OR($M41="",$L41=""),"",$M41*$L41)</f>
        <v/>
      </c>
      <c r="O41" s="149" t="n"/>
      <c r="P41" s="154">
        <f>IF($O41="","",IFERROR(INDEX(Basis_of_Estimate!$C$5:$C$9,MATCH($O41,Basis_of_Estimate!$A$5:$A$9,0)),""))</f>
        <v/>
      </c>
      <c r="Q41" s="154">
        <f>IF($O41="","",IFERROR(INDEX(Basis_of_Estimate!$D$5:$D$9,MATCH($O41,Basis_of_Estimate!$A$5:$A$9,0)),""))</f>
        <v/>
      </c>
      <c r="R41" s="153">
        <f>IF($N41="","",$N41*(1+$P41))</f>
        <v/>
      </c>
      <c r="S41" s="153">
        <f>IF($N41="","",$N41)</f>
        <v/>
      </c>
      <c r="T41" s="153">
        <f>IF($N41="","",$N41*(1+$Q41))</f>
        <v/>
      </c>
      <c r="U41" s="150">
        <f>IF($D41="","",IFERROR(INDEX(WBS_CBS!$M$5:$M$16,MATCH($D41,WBS_CBS!$A$5:$A$16,0)),"Yes"))</f>
        <v/>
      </c>
      <c r="V41" s="150">
        <f>IF($D41="","",IFERROR(INDEX(WBS_CBS!$N$5:$N$16,MATCH($D41,WBS_CBS!$A$5:$A$16,0)),"Yes"))</f>
        <v/>
      </c>
      <c r="W41" s="150">
        <f>IF($D41="","",IFERROR(INDEX(WBS_CBS!$K$5:$K$16,MATCH($D41,WBS_CBS!$A$5:$A$16,0)),""))</f>
        <v/>
      </c>
      <c r="X41" s="150">
        <f>IF($D41="","",IFERROR(INDEX(WBS_CBS!$F$5:$F$16,MATCH($D41,WBS_CBS!$A$5:$A$16,0)),""))</f>
        <v/>
      </c>
      <c r="Y41" s="149" t="n"/>
      <c r="Z41" s="149" t="n"/>
      <c r="AA41" s="150">
        <f>IF($D41="","",IFERROR(INDEX(WBS_CBS!$L$5:$L$16,MATCH($D41,WBS_CBS!$A$5:$A$16,0)),""))</f>
        <v/>
      </c>
      <c r="AB41" s="149" t="n"/>
    </row>
    <row r="42">
      <c r="A42" s="149" t="n"/>
      <c r="B42" s="149" t="n"/>
      <c r="C42" s="150">
        <f>IF($D42="","",IFERROR(INDEX(WBS_CBS!$E$5:$E$16,MATCH($D42,WBS_CBS!$A$5:$A$16,0)),""))</f>
        <v/>
      </c>
      <c r="D42" s="149" t="n"/>
      <c r="E42" s="150">
        <f>IF($D42="","",IFERROR(INDEX(WBS_CBS!$C$5:$C$16,MATCH($D42,WBS_CBS!$A$5:$A$16,0)),""))</f>
        <v/>
      </c>
      <c r="F42" s="150">
        <f>IF($D42="","",IFERROR(INDEX(WBS_CBS!$J$5:$J$16,MATCH($D42,WBS_CBS!$A$5:$A$16,0)),""))</f>
        <v/>
      </c>
      <c r="G42" s="149" t="n"/>
      <c r="H42" s="151" t="n"/>
      <c r="I42" s="149" t="n"/>
      <c r="J42" s="152" t="n"/>
      <c r="K42" s="149" t="n"/>
      <c r="L42" s="153">
        <f>IF($K42="","",IFERROR(INDEX(FX_Rates!$B$5:$B$14,MATCH($K42,FX_Rates!$A$5:$A$14,0)),""))</f>
        <v/>
      </c>
      <c r="M42" s="153">
        <f>IF(OR($H42="",$J42=""),"",$H42*$J42)</f>
        <v/>
      </c>
      <c r="N42" s="153">
        <f>IF(OR($M42="",$L42=""),"",$M42*$L42)</f>
        <v/>
      </c>
      <c r="O42" s="149" t="n"/>
      <c r="P42" s="154">
        <f>IF($O42="","",IFERROR(INDEX(Basis_of_Estimate!$C$5:$C$9,MATCH($O42,Basis_of_Estimate!$A$5:$A$9,0)),""))</f>
        <v/>
      </c>
      <c r="Q42" s="154">
        <f>IF($O42="","",IFERROR(INDEX(Basis_of_Estimate!$D$5:$D$9,MATCH($O42,Basis_of_Estimate!$A$5:$A$9,0)),""))</f>
        <v/>
      </c>
      <c r="R42" s="153">
        <f>IF($N42="","",$N42*(1+$P42))</f>
        <v/>
      </c>
      <c r="S42" s="153">
        <f>IF($N42="","",$N42)</f>
        <v/>
      </c>
      <c r="T42" s="153">
        <f>IF($N42="","",$N42*(1+$Q42))</f>
        <v/>
      </c>
      <c r="U42" s="150">
        <f>IF($D42="","",IFERROR(INDEX(WBS_CBS!$M$5:$M$16,MATCH($D42,WBS_CBS!$A$5:$A$16,0)),"Yes"))</f>
        <v/>
      </c>
      <c r="V42" s="150">
        <f>IF($D42="","",IFERROR(INDEX(WBS_CBS!$N$5:$N$16,MATCH($D42,WBS_CBS!$A$5:$A$16,0)),"Yes"))</f>
        <v/>
      </c>
      <c r="W42" s="150">
        <f>IF($D42="","",IFERROR(INDEX(WBS_CBS!$K$5:$K$16,MATCH($D42,WBS_CBS!$A$5:$A$16,0)),""))</f>
        <v/>
      </c>
      <c r="X42" s="150">
        <f>IF($D42="","",IFERROR(INDEX(WBS_CBS!$F$5:$F$16,MATCH($D42,WBS_CBS!$A$5:$A$16,0)),""))</f>
        <v/>
      </c>
      <c r="Y42" s="149" t="n"/>
      <c r="Z42" s="149" t="n"/>
      <c r="AA42" s="150">
        <f>IF($D42="","",IFERROR(INDEX(WBS_CBS!$L$5:$L$16,MATCH($D42,WBS_CBS!$A$5:$A$16,0)),""))</f>
        <v/>
      </c>
      <c r="AB42" s="149" t="n"/>
    </row>
    <row r="43">
      <c r="A43" s="149" t="n"/>
      <c r="B43" s="149" t="n"/>
      <c r="C43" s="150">
        <f>IF($D43="","",IFERROR(INDEX(WBS_CBS!$E$5:$E$16,MATCH($D43,WBS_CBS!$A$5:$A$16,0)),""))</f>
        <v/>
      </c>
      <c r="D43" s="149" t="n"/>
      <c r="E43" s="150">
        <f>IF($D43="","",IFERROR(INDEX(WBS_CBS!$C$5:$C$16,MATCH($D43,WBS_CBS!$A$5:$A$16,0)),""))</f>
        <v/>
      </c>
      <c r="F43" s="150">
        <f>IF($D43="","",IFERROR(INDEX(WBS_CBS!$J$5:$J$16,MATCH($D43,WBS_CBS!$A$5:$A$16,0)),""))</f>
        <v/>
      </c>
      <c r="G43" s="149" t="n"/>
      <c r="H43" s="151" t="n"/>
      <c r="I43" s="149" t="n"/>
      <c r="J43" s="152" t="n"/>
      <c r="K43" s="149" t="n"/>
      <c r="L43" s="153">
        <f>IF($K43="","",IFERROR(INDEX(FX_Rates!$B$5:$B$14,MATCH($K43,FX_Rates!$A$5:$A$14,0)),""))</f>
        <v/>
      </c>
      <c r="M43" s="153">
        <f>IF(OR($H43="",$J43=""),"",$H43*$J43)</f>
        <v/>
      </c>
      <c r="N43" s="153">
        <f>IF(OR($M43="",$L43=""),"",$M43*$L43)</f>
        <v/>
      </c>
      <c r="O43" s="149" t="n"/>
      <c r="P43" s="154">
        <f>IF($O43="","",IFERROR(INDEX(Basis_of_Estimate!$C$5:$C$9,MATCH($O43,Basis_of_Estimate!$A$5:$A$9,0)),""))</f>
        <v/>
      </c>
      <c r="Q43" s="154">
        <f>IF($O43="","",IFERROR(INDEX(Basis_of_Estimate!$D$5:$D$9,MATCH($O43,Basis_of_Estimate!$A$5:$A$9,0)),""))</f>
        <v/>
      </c>
      <c r="R43" s="153">
        <f>IF($N43="","",$N43*(1+$P43))</f>
        <v/>
      </c>
      <c r="S43" s="153">
        <f>IF($N43="","",$N43)</f>
        <v/>
      </c>
      <c r="T43" s="153">
        <f>IF($N43="","",$N43*(1+$Q43))</f>
        <v/>
      </c>
      <c r="U43" s="150">
        <f>IF($D43="","",IFERROR(INDEX(WBS_CBS!$M$5:$M$16,MATCH($D43,WBS_CBS!$A$5:$A$16,0)),"Yes"))</f>
        <v/>
      </c>
      <c r="V43" s="150">
        <f>IF($D43="","",IFERROR(INDEX(WBS_CBS!$N$5:$N$16,MATCH($D43,WBS_CBS!$A$5:$A$16,0)),"Yes"))</f>
        <v/>
      </c>
      <c r="W43" s="150">
        <f>IF($D43="","",IFERROR(INDEX(WBS_CBS!$K$5:$K$16,MATCH($D43,WBS_CBS!$A$5:$A$16,0)),""))</f>
        <v/>
      </c>
      <c r="X43" s="150">
        <f>IF($D43="","",IFERROR(INDEX(WBS_CBS!$F$5:$F$16,MATCH($D43,WBS_CBS!$A$5:$A$16,0)),""))</f>
        <v/>
      </c>
      <c r="Y43" s="149" t="n"/>
      <c r="Z43" s="149" t="n"/>
      <c r="AA43" s="150">
        <f>IF($D43="","",IFERROR(INDEX(WBS_CBS!$L$5:$L$16,MATCH($D43,WBS_CBS!$A$5:$A$16,0)),""))</f>
        <v/>
      </c>
      <c r="AB43" s="149" t="n"/>
    </row>
    <row r="44">
      <c r="A44" s="149" t="n"/>
      <c r="B44" s="149" t="n"/>
      <c r="C44" s="150">
        <f>IF($D44="","",IFERROR(INDEX(WBS_CBS!$E$5:$E$16,MATCH($D44,WBS_CBS!$A$5:$A$16,0)),""))</f>
        <v/>
      </c>
      <c r="D44" s="149" t="n"/>
      <c r="E44" s="150">
        <f>IF($D44="","",IFERROR(INDEX(WBS_CBS!$C$5:$C$16,MATCH($D44,WBS_CBS!$A$5:$A$16,0)),""))</f>
        <v/>
      </c>
      <c r="F44" s="150">
        <f>IF($D44="","",IFERROR(INDEX(WBS_CBS!$J$5:$J$16,MATCH($D44,WBS_CBS!$A$5:$A$16,0)),""))</f>
        <v/>
      </c>
      <c r="G44" s="149" t="n"/>
      <c r="H44" s="151" t="n"/>
      <c r="I44" s="149" t="n"/>
      <c r="J44" s="152" t="n"/>
      <c r="K44" s="149" t="n"/>
      <c r="L44" s="153">
        <f>IF($K44="","",IFERROR(INDEX(FX_Rates!$B$5:$B$14,MATCH($K44,FX_Rates!$A$5:$A$14,0)),""))</f>
        <v/>
      </c>
      <c r="M44" s="153">
        <f>IF(OR($H44="",$J44=""),"",$H44*$J44)</f>
        <v/>
      </c>
      <c r="N44" s="153">
        <f>IF(OR($M44="",$L44=""),"",$M44*$L44)</f>
        <v/>
      </c>
      <c r="O44" s="149" t="n"/>
      <c r="P44" s="154">
        <f>IF($O44="","",IFERROR(INDEX(Basis_of_Estimate!$C$5:$C$9,MATCH($O44,Basis_of_Estimate!$A$5:$A$9,0)),""))</f>
        <v/>
      </c>
      <c r="Q44" s="154">
        <f>IF($O44="","",IFERROR(INDEX(Basis_of_Estimate!$D$5:$D$9,MATCH($O44,Basis_of_Estimate!$A$5:$A$9,0)),""))</f>
        <v/>
      </c>
      <c r="R44" s="153">
        <f>IF($N44="","",$N44*(1+$P44))</f>
        <v/>
      </c>
      <c r="S44" s="153">
        <f>IF($N44="","",$N44)</f>
        <v/>
      </c>
      <c r="T44" s="153">
        <f>IF($N44="","",$N44*(1+$Q44))</f>
        <v/>
      </c>
      <c r="U44" s="150">
        <f>IF($D44="","",IFERROR(INDEX(WBS_CBS!$M$5:$M$16,MATCH($D44,WBS_CBS!$A$5:$A$16,0)),"Yes"))</f>
        <v/>
      </c>
      <c r="V44" s="150">
        <f>IF($D44="","",IFERROR(INDEX(WBS_CBS!$N$5:$N$16,MATCH($D44,WBS_CBS!$A$5:$A$16,0)),"Yes"))</f>
        <v/>
      </c>
      <c r="W44" s="150">
        <f>IF($D44="","",IFERROR(INDEX(WBS_CBS!$K$5:$K$16,MATCH($D44,WBS_CBS!$A$5:$A$16,0)),""))</f>
        <v/>
      </c>
      <c r="X44" s="150">
        <f>IF($D44="","",IFERROR(INDEX(WBS_CBS!$F$5:$F$16,MATCH($D44,WBS_CBS!$A$5:$A$16,0)),""))</f>
        <v/>
      </c>
      <c r="Y44" s="149" t="n"/>
      <c r="Z44" s="149" t="n"/>
      <c r="AA44" s="150">
        <f>IF($D44="","",IFERROR(INDEX(WBS_CBS!$L$5:$L$16,MATCH($D44,WBS_CBS!$A$5:$A$16,0)),""))</f>
        <v/>
      </c>
      <c r="AB44" s="149" t="n"/>
    </row>
    <row r="45">
      <c r="A45" s="149" t="n"/>
      <c r="B45" s="149" t="n"/>
      <c r="C45" s="150">
        <f>IF($D45="","",IFERROR(INDEX(WBS_CBS!$E$5:$E$16,MATCH($D45,WBS_CBS!$A$5:$A$16,0)),""))</f>
        <v/>
      </c>
      <c r="D45" s="149" t="n"/>
      <c r="E45" s="150">
        <f>IF($D45="","",IFERROR(INDEX(WBS_CBS!$C$5:$C$16,MATCH($D45,WBS_CBS!$A$5:$A$16,0)),""))</f>
        <v/>
      </c>
      <c r="F45" s="150">
        <f>IF($D45="","",IFERROR(INDEX(WBS_CBS!$J$5:$J$16,MATCH($D45,WBS_CBS!$A$5:$A$16,0)),""))</f>
        <v/>
      </c>
      <c r="G45" s="149" t="n"/>
      <c r="H45" s="151" t="n"/>
      <c r="I45" s="149" t="n"/>
      <c r="J45" s="152" t="n"/>
      <c r="K45" s="149" t="n"/>
      <c r="L45" s="153">
        <f>IF($K45="","",IFERROR(INDEX(FX_Rates!$B$5:$B$14,MATCH($K45,FX_Rates!$A$5:$A$14,0)),""))</f>
        <v/>
      </c>
      <c r="M45" s="153">
        <f>IF(OR($H45="",$J45=""),"",$H45*$J45)</f>
        <v/>
      </c>
      <c r="N45" s="153">
        <f>IF(OR($M45="",$L45=""),"",$M45*$L45)</f>
        <v/>
      </c>
      <c r="O45" s="149" t="n"/>
      <c r="P45" s="154">
        <f>IF($O45="","",IFERROR(INDEX(Basis_of_Estimate!$C$5:$C$9,MATCH($O45,Basis_of_Estimate!$A$5:$A$9,0)),""))</f>
        <v/>
      </c>
      <c r="Q45" s="154">
        <f>IF($O45="","",IFERROR(INDEX(Basis_of_Estimate!$D$5:$D$9,MATCH($O45,Basis_of_Estimate!$A$5:$A$9,0)),""))</f>
        <v/>
      </c>
      <c r="R45" s="153">
        <f>IF($N45="","",$N45*(1+$P45))</f>
        <v/>
      </c>
      <c r="S45" s="153">
        <f>IF($N45="","",$N45)</f>
        <v/>
      </c>
      <c r="T45" s="153">
        <f>IF($N45="","",$N45*(1+$Q45))</f>
        <v/>
      </c>
      <c r="U45" s="150">
        <f>IF($D45="","",IFERROR(INDEX(WBS_CBS!$M$5:$M$16,MATCH($D45,WBS_CBS!$A$5:$A$16,0)),"Yes"))</f>
        <v/>
      </c>
      <c r="V45" s="150">
        <f>IF($D45="","",IFERROR(INDEX(WBS_CBS!$N$5:$N$16,MATCH($D45,WBS_CBS!$A$5:$A$16,0)),"Yes"))</f>
        <v/>
      </c>
      <c r="W45" s="150">
        <f>IF($D45="","",IFERROR(INDEX(WBS_CBS!$K$5:$K$16,MATCH($D45,WBS_CBS!$A$5:$A$16,0)),""))</f>
        <v/>
      </c>
      <c r="X45" s="150">
        <f>IF($D45="","",IFERROR(INDEX(WBS_CBS!$F$5:$F$16,MATCH($D45,WBS_CBS!$A$5:$A$16,0)),""))</f>
        <v/>
      </c>
      <c r="Y45" s="149" t="n"/>
      <c r="Z45" s="149" t="n"/>
      <c r="AA45" s="150">
        <f>IF($D45="","",IFERROR(INDEX(WBS_CBS!$L$5:$L$16,MATCH($D45,WBS_CBS!$A$5:$A$16,0)),""))</f>
        <v/>
      </c>
      <c r="AB45" s="149" t="n"/>
    </row>
    <row r="46">
      <c r="A46" s="149" t="n"/>
      <c r="B46" s="149" t="n"/>
      <c r="C46" s="150">
        <f>IF($D46="","",IFERROR(INDEX(WBS_CBS!$E$5:$E$16,MATCH($D46,WBS_CBS!$A$5:$A$16,0)),""))</f>
        <v/>
      </c>
      <c r="D46" s="149" t="n"/>
      <c r="E46" s="150">
        <f>IF($D46="","",IFERROR(INDEX(WBS_CBS!$C$5:$C$16,MATCH($D46,WBS_CBS!$A$5:$A$16,0)),""))</f>
        <v/>
      </c>
      <c r="F46" s="150">
        <f>IF($D46="","",IFERROR(INDEX(WBS_CBS!$J$5:$J$16,MATCH($D46,WBS_CBS!$A$5:$A$16,0)),""))</f>
        <v/>
      </c>
      <c r="G46" s="149" t="n"/>
      <c r="H46" s="151" t="n"/>
      <c r="I46" s="149" t="n"/>
      <c r="J46" s="152" t="n"/>
      <c r="K46" s="149" t="n"/>
      <c r="L46" s="153">
        <f>IF($K46="","",IFERROR(INDEX(FX_Rates!$B$5:$B$14,MATCH($K46,FX_Rates!$A$5:$A$14,0)),""))</f>
        <v/>
      </c>
      <c r="M46" s="153">
        <f>IF(OR($H46="",$J46=""),"",$H46*$J46)</f>
        <v/>
      </c>
      <c r="N46" s="153">
        <f>IF(OR($M46="",$L46=""),"",$M46*$L46)</f>
        <v/>
      </c>
      <c r="O46" s="149" t="n"/>
      <c r="P46" s="154">
        <f>IF($O46="","",IFERROR(INDEX(Basis_of_Estimate!$C$5:$C$9,MATCH($O46,Basis_of_Estimate!$A$5:$A$9,0)),""))</f>
        <v/>
      </c>
      <c r="Q46" s="154">
        <f>IF($O46="","",IFERROR(INDEX(Basis_of_Estimate!$D$5:$D$9,MATCH($O46,Basis_of_Estimate!$A$5:$A$9,0)),""))</f>
        <v/>
      </c>
      <c r="R46" s="153">
        <f>IF($N46="","",$N46*(1+$P46))</f>
        <v/>
      </c>
      <c r="S46" s="153">
        <f>IF($N46="","",$N46)</f>
        <v/>
      </c>
      <c r="T46" s="153">
        <f>IF($N46="","",$N46*(1+$Q46))</f>
        <v/>
      </c>
      <c r="U46" s="150">
        <f>IF($D46="","",IFERROR(INDEX(WBS_CBS!$M$5:$M$16,MATCH($D46,WBS_CBS!$A$5:$A$16,0)),"Yes"))</f>
        <v/>
      </c>
      <c r="V46" s="150">
        <f>IF($D46="","",IFERROR(INDEX(WBS_CBS!$N$5:$N$16,MATCH($D46,WBS_CBS!$A$5:$A$16,0)),"Yes"))</f>
        <v/>
      </c>
      <c r="W46" s="150">
        <f>IF($D46="","",IFERROR(INDEX(WBS_CBS!$K$5:$K$16,MATCH($D46,WBS_CBS!$A$5:$A$16,0)),""))</f>
        <v/>
      </c>
      <c r="X46" s="150">
        <f>IF($D46="","",IFERROR(INDEX(WBS_CBS!$F$5:$F$16,MATCH($D46,WBS_CBS!$A$5:$A$16,0)),""))</f>
        <v/>
      </c>
      <c r="Y46" s="149" t="n"/>
      <c r="Z46" s="149" t="n"/>
      <c r="AA46" s="150">
        <f>IF($D46="","",IFERROR(INDEX(WBS_CBS!$L$5:$L$16,MATCH($D46,WBS_CBS!$A$5:$A$16,0)),""))</f>
        <v/>
      </c>
      <c r="AB46" s="149" t="n"/>
    </row>
    <row r="47">
      <c r="A47" s="149" t="n"/>
      <c r="B47" s="149" t="n"/>
      <c r="C47" s="150">
        <f>IF($D47="","",IFERROR(INDEX(WBS_CBS!$E$5:$E$16,MATCH($D47,WBS_CBS!$A$5:$A$16,0)),""))</f>
        <v/>
      </c>
      <c r="D47" s="149" t="n"/>
      <c r="E47" s="150">
        <f>IF($D47="","",IFERROR(INDEX(WBS_CBS!$C$5:$C$16,MATCH($D47,WBS_CBS!$A$5:$A$16,0)),""))</f>
        <v/>
      </c>
      <c r="F47" s="150">
        <f>IF($D47="","",IFERROR(INDEX(WBS_CBS!$J$5:$J$16,MATCH($D47,WBS_CBS!$A$5:$A$16,0)),""))</f>
        <v/>
      </c>
      <c r="G47" s="149" t="n"/>
      <c r="H47" s="151" t="n"/>
      <c r="I47" s="149" t="n"/>
      <c r="J47" s="152" t="n"/>
      <c r="K47" s="149" t="n"/>
      <c r="L47" s="153">
        <f>IF($K47="","",IFERROR(INDEX(FX_Rates!$B$5:$B$14,MATCH($K47,FX_Rates!$A$5:$A$14,0)),""))</f>
        <v/>
      </c>
      <c r="M47" s="153">
        <f>IF(OR($H47="",$J47=""),"",$H47*$J47)</f>
        <v/>
      </c>
      <c r="N47" s="153">
        <f>IF(OR($M47="",$L47=""),"",$M47*$L47)</f>
        <v/>
      </c>
      <c r="O47" s="149" t="n"/>
      <c r="P47" s="154">
        <f>IF($O47="","",IFERROR(INDEX(Basis_of_Estimate!$C$5:$C$9,MATCH($O47,Basis_of_Estimate!$A$5:$A$9,0)),""))</f>
        <v/>
      </c>
      <c r="Q47" s="154">
        <f>IF($O47="","",IFERROR(INDEX(Basis_of_Estimate!$D$5:$D$9,MATCH($O47,Basis_of_Estimate!$A$5:$A$9,0)),""))</f>
        <v/>
      </c>
      <c r="R47" s="153">
        <f>IF($N47="","",$N47*(1+$P47))</f>
        <v/>
      </c>
      <c r="S47" s="153">
        <f>IF($N47="","",$N47)</f>
        <v/>
      </c>
      <c r="T47" s="153">
        <f>IF($N47="","",$N47*(1+$Q47))</f>
        <v/>
      </c>
      <c r="U47" s="150">
        <f>IF($D47="","",IFERROR(INDEX(WBS_CBS!$M$5:$M$16,MATCH($D47,WBS_CBS!$A$5:$A$16,0)),"Yes"))</f>
        <v/>
      </c>
      <c r="V47" s="150">
        <f>IF($D47="","",IFERROR(INDEX(WBS_CBS!$N$5:$N$16,MATCH($D47,WBS_CBS!$A$5:$A$16,0)),"Yes"))</f>
        <v/>
      </c>
      <c r="W47" s="150">
        <f>IF($D47="","",IFERROR(INDEX(WBS_CBS!$K$5:$K$16,MATCH($D47,WBS_CBS!$A$5:$A$16,0)),""))</f>
        <v/>
      </c>
      <c r="X47" s="150">
        <f>IF($D47="","",IFERROR(INDEX(WBS_CBS!$F$5:$F$16,MATCH($D47,WBS_CBS!$A$5:$A$16,0)),""))</f>
        <v/>
      </c>
      <c r="Y47" s="149" t="n"/>
      <c r="Z47" s="149" t="n"/>
      <c r="AA47" s="150">
        <f>IF($D47="","",IFERROR(INDEX(WBS_CBS!$L$5:$L$16,MATCH($D47,WBS_CBS!$A$5:$A$16,0)),""))</f>
        <v/>
      </c>
      <c r="AB47" s="149" t="n"/>
    </row>
    <row r="48">
      <c r="A48" s="149" t="n"/>
      <c r="B48" s="149" t="n"/>
      <c r="C48" s="150">
        <f>IF($D48="","",IFERROR(INDEX(WBS_CBS!$E$5:$E$16,MATCH($D48,WBS_CBS!$A$5:$A$16,0)),""))</f>
        <v/>
      </c>
      <c r="D48" s="149" t="n"/>
      <c r="E48" s="150">
        <f>IF($D48="","",IFERROR(INDEX(WBS_CBS!$C$5:$C$16,MATCH($D48,WBS_CBS!$A$5:$A$16,0)),""))</f>
        <v/>
      </c>
      <c r="F48" s="150">
        <f>IF($D48="","",IFERROR(INDEX(WBS_CBS!$J$5:$J$16,MATCH($D48,WBS_CBS!$A$5:$A$16,0)),""))</f>
        <v/>
      </c>
      <c r="G48" s="149" t="n"/>
      <c r="H48" s="151" t="n"/>
      <c r="I48" s="149" t="n"/>
      <c r="J48" s="152" t="n"/>
      <c r="K48" s="149" t="n"/>
      <c r="L48" s="153">
        <f>IF($K48="","",IFERROR(INDEX(FX_Rates!$B$5:$B$14,MATCH($K48,FX_Rates!$A$5:$A$14,0)),""))</f>
        <v/>
      </c>
      <c r="M48" s="153">
        <f>IF(OR($H48="",$J48=""),"",$H48*$J48)</f>
        <v/>
      </c>
      <c r="N48" s="153">
        <f>IF(OR($M48="",$L48=""),"",$M48*$L48)</f>
        <v/>
      </c>
      <c r="O48" s="149" t="n"/>
      <c r="P48" s="154">
        <f>IF($O48="","",IFERROR(INDEX(Basis_of_Estimate!$C$5:$C$9,MATCH($O48,Basis_of_Estimate!$A$5:$A$9,0)),""))</f>
        <v/>
      </c>
      <c r="Q48" s="154">
        <f>IF($O48="","",IFERROR(INDEX(Basis_of_Estimate!$D$5:$D$9,MATCH($O48,Basis_of_Estimate!$A$5:$A$9,0)),""))</f>
        <v/>
      </c>
      <c r="R48" s="153">
        <f>IF($N48="","",$N48*(1+$P48))</f>
        <v/>
      </c>
      <c r="S48" s="153">
        <f>IF($N48="","",$N48)</f>
        <v/>
      </c>
      <c r="T48" s="153">
        <f>IF($N48="","",$N48*(1+$Q48))</f>
        <v/>
      </c>
      <c r="U48" s="150">
        <f>IF($D48="","",IFERROR(INDEX(WBS_CBS!$M$5:$M$16,MATCH($D48,WBS_CBS!$A$5:$A$16,0)),"Yes"))</f>
        <v/>
      </c>
      <c r="V48" s="150">
        <f>IF($D48="","",IFERROR(INDEX(WBS_CBS!$N$5:$N$16,MATCH($D48,WBS_CBS!$A$5:$A$16,0)),"Yes"))</f>
        <v/>
      </c>
      <c r="W48" s="150">
        <f>IF($D48="","",IFERROR(INDEX(WBS_CBS!$K$5:$K$16,MATCH($D48,WBS_CBS!$A$5:$A$16,0)),""))</f>
        <v/>
      </c>
      <c r="X48" s="150">
        <f>IF($D48="","",IFERROR(INDEX(WBS_CBS!$F$5:$F$16,MATCH($D48,WBS_CBS!$A$5:$A$16,0)),""))</f>
        <v/>
      </c>
      <c r="Y48" s="149" t="n"/>
      <c r="Z48" s="149" t="n"/>
      <c r="AA48" s="150">
        <f>IF($D48="","",IFERROR(INDEX(WBS_CBS!$L$5:$L$16,MATCH($D48,WBS_CBS!$A$5:$A$16,0)),""))</f>
        <v/>
      </c>
      <c r="AB48" s="149" t="n"/>
    </row>
    <row r="49">
      <c r="A49" s="149" t="n"/>
      <c r="B49" s="149" t="n"/>
      <c r="C49" s="150">
        <f>IF($D49="","",IFERROR(INDEX(WBS_CBS!$E$5:$E$16,MATCH($D49,WBS_CBS!$A$5:$A$16,0)),""))</f>
        <v/>
      </c>
      <c r="D49" s="149" t="n"/>
      <c r="E49" s="150">
        <f>IF($D49="","",IFERROR(INDEX(WBS_CBS!$C$5:$C$16,MATCH($D49,WBS_CBS!$A$5:$A$16,0)),""))</f>
        <v/>
      </c>
      <c r="F49" s="150">
        <f>IF($D49="","",IFERROR(INDEX(WBS_CBS!$J$5:$J$16,MATCH($D49,WBS_CBS!$A$5:$A$16,0)),""))</f>
        <v/>
      </c>
      <c r="G49" s="149" t="n"/>
      <c r="H49" s="151" t="n"/>
      <c r="I49" s="149" t="n"/>
      <c r="J49" s="152" t="n"/>
      <c r="K49" s="149" t="n"/>
      <c r="L49" s="153">
        <f>IF($K49="","",IFERROR(INDEX(FX_Rates!$B$5:$B$14,MATCH($K49,FX_Rates!$A$5:$A$14,0)),""))</f>
        <v/>
      </c>
      <c r="M49" s="153">
        <f>IF(OR($H49="",$J49=""),"",$H49*$J49)</f>
        <v/>
      </c>
      <c r="N49" s="153">
        <f>IF(OR($M49="",$L49=""),"",$M49*$L49)</f>
        <v/>
      </c>
      <c r="O49" s="149" t="n"/>
      <c r="P49" s="154">
        <f>IF($O49="","",IFERROR(INDEX(Basis_of_Estimate!$C$5:$C$9,MATCH($O49,Basis_of_Estimate!$A$5:$A$9,0)),""))</f>
        <v/>
      </c>
      <c r="Q49" s="154">
        <f>IF($O49="","",IFERROR(INDEX(Basis_of_Estimate!$D$5:$D$9,MATCH($O49,Basis_of_Estimate!$A$5:$A$9,0)),""))</f>
        <v/>
      </c>
      <c r="R49" s="153">
        <f>IF($N49="","",$N49*(1+$P49))</f>
        <v/>
      </c>
      <c r="S49" s="153">
        <f>IF($N49="","",$N49)</f>
        <v/>
      </c>
      <c r="T49" s="153">
        <f>IF($N49="","",$N49*(1+$Q49))</f>
        <v/>
      </c>
      <c r="U49" s="150">
        <f>IF($D49="","",IFERROR(INDEX(WBS_CBS!$M$5:$M$16,MATCH($D49,WBS_CBS!$A$5:$A$16,0)),"Yes"))</f>
        <v/>
      </c>
      <c r="V49" s="150">
        <f>IF($D49="","",IFERROR(INDEX(WBS_CBS!$N$5:$N$16,MATCH($D49,WBS_CBS!$A$5:$A$16,0)),"Yes"))</f>
        <v/>
      </c>
      <c r="W49" s="150">
        <f>IF($D49="","",IFERROR(INDEX(WBS_CBS!$K$5:$K$16,MATCH($D49,WBS_CBS!$A$5:$A$16,0)),""))</f>
        <v/>
      </c>
      <c r="X49" s="150">
        <f>IF($D49="","",IFERROR(INDEX(WBS_CBS!$F$5:$F$16,MATCH($D49,WBS_CBS!$A$5:$A$16,0)),""))</f>
        <v/>
      </c>
      <c r="Y49" s="149" t="n"/>
      <c r="Z49" s="149" t="n"/>
      <c r="AA49" s="150">
        <f>IF($D49="","",IFERROR(INDEX(WBS_CBS!$L$5:$L$16,MATCH($D49,WBS_CBS!$A$5:$A$16,0)),""))</f>
        <v/>
      </c>
      <c r="AB49" s="149" t="n"/>
    </row>
    <row r="50">
      <c r="A50" s="149" t="n"/>
      <c r="B50" s="149" t="n"/>
      <c r="C50" s="150">
        <f>IF($D50="","",IFERROR(INDEX(WBS_CBS!$E$5:$E$16,MATCH($D50,WBS_CBS!$A$5:$A$16,0)),""))</f>
        <v/>
      </c>
      <c r="D50" s="149" t="n"/>
      <c r="E50" s="150">
        <f>IF($D50="","",IFERROR(INDEX(WBS_CBS!$C$5:$C$16,MATCH($D50,WBS_CBS!$A$5:$A$16,0)),""))</f>
        <v/>
      </c>
      <c r="F50" s="150">
        <f>IF($D50="","",IFERROR(INDEX(WBS_CBS!$J$5:$J$16,MATCH($D50,WBS_CBS!$A$5:$A$16,0)),""))</f>
        <v/>
      </c>
      <c r="G50" s="149" t="n"/>
      <c r="H50" s="151" t="n"/>
      <c r="I50" s="149" t="n"/>
      <c r="J50" s="152" t="n"/>
      <c r="K50" s="149" t="n"/>
      <c r="L50" s="153">
        <f>IF($K50="","",IFERROR(INDEX(FX_Rates!$B$5:$B$14,MATCH($K50,FX_Rates!$A$5:$A$14,0)),""))</f>
        <v/>
      </c>
      <c r="M50" s="153">
        <f>IF(OR($H50="",$J50=""),"",$H50*$J50)</f>
        <v/>
      </c>
      <c r="N50" s="153">
        <f>IF(OR($M50="",$L50=""),"",$M50*$L50)</f>
        <v/>
      </c>
      <c r="O50" s="149" t="n"/>
      <c r="P50" s="154">
        <f>IF($O50="","",IFERROR(INDEX(Basis_of_Estimate!$C$5:$C$9,MATCH($O50,Basis_of_Estimate!$A$5:$A$9,0)),""))</f>
        <v/>
      </c>
      <c r="Q50" s="154">
        <f>IF($O50="","",IFERROR(INDEX(Basis_of_Estimate!$D$5:$D$9,MATCH($O50,Basis_of_Estimate!$A$5:$A$9,0)),""))</f>
        <v/>
      </c>
      <c r="R50" s="153">
        <f>IF($N50="","",$N50*(1+$P50))</f>
        <v/>
      </c>
      <c r="S50" s="153">
        <f>IF($N50="","",$N50)</f>
        <v/>
      </c>
      <c r="T50" s="153">
        <f>IF($N50="","",$N50*(1+$Q50))</f>
        <v/>
      </c>
      <c r="U50" s="150">
        <f>IF($D50="","",IFERROR(INDEX(WBS_CBS!$M$5:$M$16,MATCH($D50,WBS_CBS!$A$5:$A$16,0)),"Yes"))</f>
        <v/>
      </c>
      <c r="V50" s="150">
        <f>IF($D50="","",IFERROR(INDEX(WBS_CBS!$N$5:$N$16,MATCH($D50,WBS_CBS!$A$5:$A$16,0)),"Yes"))</f>
        <v/>
      </c>
      <c r="W50" s="150">
        <f>IF($D50="","",IFERROR(INDEX(WBS_CBS!$K$5:$K$16,MATCH($D50,WBS_CBS!$A$5:$A$16,0)),""))</f>
        <v/>
      </c>
      <c r="X50" s="150">
        <f>IF($D50="","",IFERROR(INDEX(WBS_CBS!$F$5:$F$16,MATCH($D50,WBS_CBS!$A$5:$A$16,0)),""))</f>
        <v/>
      </c>
      <c r="Y50" s="149" t="n"/>
      <c r="Z50" s="149" t="n"/>
      <c r="AA50" s="150">
        <f>IF($D50="","",IFERROR(INDEX(WBS_CBS!$L$5:$L$16,MATCH($D50,WBS_CBS!$A$5:$A$16,0)),""))</f>
        <v/>
      </c>
      <c r="AB50" s="149" t="n"/>
    </row>
    <row r="51">
      <c r="A51" s="149" t="n"/>
      <c r="B51" s="149" t="n"/>
      <c r="C51" s="150">
        <f>IF($D51="","",IFERROR(INDEX(WBS_CBS!$E$5:$E$16,MATCH($D51,WBS_CBS!$A$5:$A$16,0)),""))</f>
        <v/>
      </c>
      <c r="D51" s="149" t="n"/>
      <c r="E51" s="150">
        <f>IF($D51="","",IFERROR(INDEX(WBS_CBS!$C$5:$C$16,MATCH($D51,WBS_CBS!$A$5:$A$16,0)),""))</f>
        <v/>
      </c>
      <c r="F51" s="150">
        <f>IF($D51="","",IFERROR(INDEX(WBS_CBS!$J$5:$J$16,MATCH($D51,WBS_CBS!$A$5:$A$16,0)),""))</f>
        <v/>
      </c>
      <c r="G51" s="149" t="n"/>
      <c r="H51" s="151" t="n"/>
      <c r="I51" s="149" t="n"/>
      <c r="J51" s="152" t="n"/>
      <c r="K51" s="149" t="n"/>
      <c r="L51" s="153">
        <f>IF($K51="","",IFERROR(INDEX(FX_Rates!$B$5:$B$14,MATCH($K51,FX_Rates!$A$5:$A$14,0)),""))</f>
        <v/>
      </c>
      <c r="M51" s="153">
        <f>IF(OR($H51="",$J51=""),"",$H51*$J51)</f>
        <v/>
      </c>
      <c r="N51" s="153">
        <f>IF(OR($M51="",$L51=""),"",$M51*$L51)</f>
        <v/>
      </c>
      <c r="O51" s="149" t="n"/>
      <c r="P51" s="154">
        <f>IF($O51="","",IFERROR(INDEX(Basis_of_Estimate!$C$5:$C$9,MATCH($O51,Basis_of_Estimate!$A$5:$A$9,0)),""))</f>
        <v/>
      </c>
      <c r="Q51" s="154">
        <f>IF($O51="","",IFERROR(INDEX(Basis_of_Estimate!$D$5:$D$9,MATCH($O51,Basis_of_Estimate!$A$5:$A$9,0)),""))</f>
        <v/>
      </c>
      <c r="R51" s="153">
        <f>IF($N51="","",$N51*(1+$P51))</f>
        <v/>
      </c>
      <c r="S51" s="153">
        <f>IF($N51="","",$N51)</f>
        <v/>
      </c>
      <c r="T51" s="153">
        <f>IF($N51="","",$N51*(1+$Q51))</f>
        <v/>
      </c>
      <c r="U51" s="150">
        <f>IF($D51="","",IFERROR(INDEX(WBS_CBS!$M$5:$M$16,MATCH($D51,WBS_CBS!$A$5:$A$16,0)),"Yes"))</f>
        <v/>
      </c>
      <c r="V51" s="150">
        <f>IF($D51="","",IFERROR(INDEX(WBS_CBS!$N$5:$N$16,MATCH($D51,WBS_CBS!$A$5:$A$16,0)),"Yes"))</f>
        <v/>
      </c>
      <c r="W51" s="150">
        <f>IF($D51="","",IFERROR(INDEX(WBS_CBS!$K$5:$K$16,MATCH($D51,WBS_CBS!$A$5:$A$16,0)),""))</f>
        <v/>
      </c>
      <c r="X51" s="150">
        <f>IF($D51="","",IFERROR(INDEX(WBS_CBS!$F$5:$F$16,MATCH($D51,WBS_CBS!$A$5:$A$16,0)),""))</f>
        <v/>
      </c>
      <c r="Y51" s="149" t="n"/>
      <c r="Z51" s="149" t="n"/>
      <c r="AA51" s="150">
        <f>IF($D51="","",IFERROR(INDEX(WBS_CBS!$L$5:$L$16,MATCH($D51,WBS_CBS!$A$5:$A$16,0)),""))</f>
        <v/>
      </c>
      <c r="AB51" s="149" t="n"/>
    </row>
    <row r="52">
      <c r="A52" s="149" t="n"/>
      <c r="B52" s="149" t="n"/>
      <c r="C52" s="150">
        <f>IF($D52="","",IFERROR(INDEX(WBS_CBS!$E$5:$E$16,MATCH($D52,WBS_CBS!$A$5:$A$16,0)),""))</f>
        <v/>
      </c>
      <c r="D52" s="149" t="n"/>
      <c r="E52" s="150">
        <f>IF($D52="","",IFERROR(INDEX(WBS_CBS!$C$5:$C$16,MATCH($D52,WBS_CBS!$A$5:$A$16,0)),""))</f>
        <v/>
      </c>
      <c r="F52" s="150">
        <f>IF($D52="","",IFERROR(INDEX(WBS_CBS!$J$5:$J$16,MATCH($D52,WBS_CBS!$A$5:$A$16,0)),""))</f>
        <v/>
      </c>
      <c r="G52" s="149" t="n"/>
      <c r="H52" s="151" t="n"/>
      <c r="I52" s="149" t="n"/>
      <c r="J52" s="152" t="n"/>
      <c r="K52" s="149" t="n"/>
      <c r="L52" s="153">
        <f>IF($K52="","",IFERROR(INDEX(FX_Rates!$B$5:$B$14,MATCH($K52,FX_Rates!$A$5:$A$14,0)),""))</f>
        <v/>
      </c>
      <c r="M52" s="153">
        <f>IF(OR($H52="",$J52=""),"",$H52*$J52)</f>
        <v/>
      </c>
      <c r="N52" s="153">
        <f>IF(OR($M52="",$L52=""),"",$M52*$L52)</f>
        <v/>
      </c>
      <c r="O52" s="149" t="n"/>
      <c r="P52" s="154">
        <f>IF($O52="","",IFERROR(INDEX(Basis_of_Estimate!$C$5:$C$9,MATCH($O52,Basis_of_Estimate!$A$5:$A$9,0)),""))</f>
        <v/>
      </c>
      <c r="Q52" s="154">
        <f>IF($O52="","",IFERROR(INDEX(Basis_of_Estimate!$D$5:$D$9,MATCH($O52,Basis_of_Estimate!$A$5:$A$9,0)),""))</f>
        <v/>
      </c>
      <c r="R52" s="153">
        <f>IF($N52="","",$N52*(1+$P52))</f>
        <v/>
      </c>
      <c r="S52" s="153">
        <f>IF($N52="","",$N52)</f>
        <v/>
      </c>
      <c r="T52" s="153">
        <f>IF($N52="","",$N52*(1+$Q52))</f>
        <v/>
      </c>
      <c r="U52" s="150">
        <f>IF($D52="","",IFERROR(INDEX(WBS_CBS!$M$5:$M$16,MATCH($D52,WBS_CBS!$A$5:$A$16,0)),"Yes"))</f>
        <v/>
      </c>
      <c r="V52" s="150">
        <f>IF($D52="","",IFERROR(INDEX(WBS_CBS!$N$5:$N$16,MATCH($D52,WBS_CBS!$A$5:$A$16,0)),"Yes"))</f>
        <v/>
      </c>
      <c r="W52" s="150">
        <f>IF($D52="","",IFERROR(INDEX(WBS_CBS!$K$5:$K$16,MATCH($D52,WBS_CBS!$A$5:$A$16,0)),""))</f>
        <v/>
      </c>
      <c r="X52" s="150">
        <f>IF($D52="","",IFERROR(INDEX(WBS_CBS!$F$5:$F$16,MATCH($D52,WBS_CBS!$A$5:$A$16,0)),""))</f>
        <v/>
      </c>
      <c r="Y52" s="149" t="n"/>
      <c r="Z52" s="149" t="n"/>
      <c r="AA52" s="150">
        <f>IF($D52="","",IFERROR(INDEX(WBS_CBS!$L$5:$L$16,MATCH($D52,WBS_CBS!$A$5:$A$16,0)),""))</f>
        <v/>
      </c>
      <c r="AB52" s="149" t="n"/>
    </row>
    <row r="53">
      <c r="A53" s="149" t="n"/>
      <c r="B53" s="149" t="n"/>
      <c r="C53" s="150">
        <f>IF($D53="","",IFERROR(INDEX(WBS_CBS!$E$5:$E$16,MATCH($D53,WBS_CBS!$A$5:$A$16,0)),""))</f>
        <v/>
      </c>
      <c r="D53" s="149" t="n"/>
      <c r="E53" s="150">
        <f>IF($D53="","",IFERROR(INDEX(WBS_CBS!$C$5:$C$16,MATCH($D53,WBS_CBS!$A$5:$A$16,0)),""))</f>
        <v/>
      </c>
      <c r="F53" s="150">
        <f>IF($D53="","",IFERROR(INDEX(WBS_CBS!$J$5:$J$16,MATCH($D53,WBS_CBS!$A$5:$A$16,0)),""))</f>
        <v/>
      </c>
      <c r="G53" s="149" t="n"/>
      <c r="H53" s="151" t="n"/>
      <c r="I53" s="149" t="n"/>
      <c r="J53" s="152" t="n"/>
      <c r="K53" s="149" t="n"/>
      <c r="L53" s="153">
        <f>IF($K53="","",IFERROR(INDEX(FX_Rates!$B$5:$B$14,MATCH($K53,FX_Rates!$A$5:$A$14,0)),""))</f>
        <v/>
      </c>
      <c r="M53" s="153">
        <f>IF(OR($H53="",$J53=""),"",$H53*$J53)</f>
        <v/>
      </c>
      <c r="N53" s="153">
        <f>IF(OR($M53="",$L53=""),"",$M53*$L53)</f>
        <v/>
      </c>
      <c r="O53" s="149" t="n"/>
      <c r="P53" s="154">
        <f>IF($O53="","",IFERROR(INDEX(Basis_of_Estimate!$C$5:$C$9,MATCH($O53,Basis_of_Estimate!$A$5:$A$9,0)),""))</f>
        <v/>
      </c>
      <c r="Q53" s="154">
        <f>IF($O53="","",IFERROR(INDEX(Basis_of_Estimate!$D$5:$D$9,MATCH($O53,Basis_of_Estimate!$A$5:$A$9,0)),""))</f>
        <v/>
      </c>
      <c r="R53" s="153">
        <f>IF($N53="","",$N53*(1+$P53))</f>
        <v/>
      </c>
      <c r="S53" s="153">
        <f>IF($N53="","",$N53)</f>
        <v/>
      </c>
      <c r="T53" s="153">
        <f>IF($N53="","",$N53*(1+$Q53))</f>
        <v/>
      </c>
      <c r="U53" s="150">
        <f>IF($D53="","",IFERROR(INDEX(WBS_CBS!$M$5:$M$16,MATCH($D53,WBS_CBS!$A$5:$A$16,0)),"Yes"))</f>
        <v/>
      </c>
      <c r="V53" s="150">
        <f>IF($D53="","",IFERROR(INDEX(WBS_CBS!$N$5:$N$16,MATCH($D53,WBS_CBS!$A$5:$A$16,0)),"Yes"))</f>
        <v/>
      </c>
      <c r="W53" s="150">
        <f>IF($D53="","",IFERROR(INDEX(WBS_CBS!$K$5:$K$16,MATCH($D53,WBS_CBS!$A$5:$A$16,0)),""))</f>
        <v/>
      </c>
      <c r="X53" s="150">
        <f>IF($D53="","",IFERROR(INDEX(WBS_CBS!$F$5:$F$16,MATCH($D53,WBS_CBS!$A$5:$A$16,0)),""))</f>
        <v/>
      </c>
      <c r="Y53" s="149" t="n"/>
      <c r="Z53" s="149" t="n"/>
      <c r="AA53" s="150">
        <f>IF($D53="","",IFERROR(INDEX(WBS_CBS!$L$5:$L$16,MATCH($D53,WBS_CBS!$A$5:$A$16,0)),""))</f>
        <v/>
      </c>
      <c r="AB53" s="149" t="n"/>
    </row>
    <row r="54">
      <c r="A54" s="149" t="n"/>
      <c r="B54" s="149" t="n"/>
      <c r="C54" s="150">
        <f>IF($D54="","",IFERROR(INDEX(WBS_CBS!$E$5:$E$16,MATCH($D54,WBS_CBS!$A$5:$A$16,0)),""))</f>
        <v/>
      </c>
      <c r="D54" s="149" t="n"/>
      <c r="E54" s="150">
        <f>IF($D54="","",IFERROR(INDEX(WBS_CBS!$C$5:$C$16,MATCH($D54,WBS_CBS!$A$5:$A$16,0)),""))</f>
        <v/>
      </c>
      <c r="F54" s="150">
        <f>IF($D54="","",IFERROR(INDEX(WBS_CBS!$J$5:$J$16,MATCH($D54,WBS_CBS!$A$5:$A$16,0)),""))</f>
        <v/>
      </c>
      <c r="G54" s="149" t="n"/>
      <c r="H54" s="151" t="n"/>
      <c r="I54" s="149" t="n"/>
      <c r="J54" s="152" t="n"/>
      <c r="K54" s="149" t="n"/>
      <c r="L54" s="153">
        <f>IF($K54="","",IFERROR(INDEX(FX_Rates!$B$5:$B$14,MATCH($K54,FX_Rates!$A$5:$A$14,0)),""))</f>
        <v/>
      </c>
      <c r="M54" s="153">
        <f>IF(OR($H54="",$J54=""),"",$H54*$J54)</f>
        <v/>
      </c>
      <c r="N54" s="153">
        <f>IF(OR($M54="",$L54=""),"",$M54*$L54)</f>
        <v/>
      </c>
      <c r="O54" s="149" t="n"/>
      <c r="P54" s="154">
        <f>IF($O54="","",IFERROR(INDEX(Basis_of_Estimate!$C$5:$C$9,MATCH($O54,Basis_of_Estimate!$A$5:$A$9,0)),""))</f>
        <v/>
      </c>
      <c r="Q54" s="154">
        <f>IF($O54="","",IFERROR(INDEX(Basis_of_Estimate!$D$5:$D$9,MATCH($O54,Basis_of_Estimate!$A$5:$A$9,0)),""))</f>
        <v/>
      </c>
      <c r="R54" s="153">
        <f>IF($N54="","",$N54*(1+$P54))</f>
        <v/>
      </c>
      <c r="S54" s="153">
        <f>IF($N54="","",$N54)</f>
        <v/>
      </c>
      <c r="T54" s="153">
        <f>IF($N54="","",$N54*(1+$Q54))</f>
        <v/>
      </c>
      <c r="U54" s="150">
        <f>IF($D54="","",IFERROR(INDEX(WBS_CBS!$M$5:$M$16,MATCH($D54,WBS_CBS!$A$5:$A$16,0)),"Yes"))</f>
        <v/>
      </c>
      <c r="V54" s="150">
        <f>IF($D54="","",IFERROR(INDEX(WBS_CBS!$N$5:$N$16,MATCH($D54,WBS_CBS!$A$5:$A$16,0)),"Yes"))</f>
        <v/>
      </c>
      <c r="W54" s="150">
        <f>IF($D54="","",IFERROR(INDEX(WBS_CBS!$K$5:$K$16,MATCH($D54,WBS_CBS!$A$5:$A$16,0)),""))</f>
        <v/>
      </c>
      <c r="X54" s="150">
        <f>IF($D54="","",IFERROR(INDEX(WBS_CBS!$F$5:$F$16,MATCH($D54,WBS_CBS!$A$5:$A$16,0)),""))</f>
        <v/>
      </c>
      <c r="Y54" s="149" t="n"/>
      <c r="Z54" s="149" t="n"/>
      <c r="AA54" s="150">
        <f>IF($D54="","",IFERROR(INDEX(WBS_CBS!$L$5:$L$16,MATCH($D54,WBS_CBS!$A$5:$A$16,0)),""))</f>
        <v/>
      </c>
      <c r="AB54" s="149" t="n"/>
    </row>
    <row r="55">
      <c r="A55" s="149" t="n"/>
      <c r="B55" s="149" t="n"/>
      <c r="C55" s="150">
        <f>IF($D55="","",IFERROR(INDEX(WBS_CBS!$E$5:$E$16,MATCH($D55,WBS_CBS!$A$5:$A$16,0)),""))</f>
        <v/>
      </c>
      <c r="D55" s="149" t="n"/>
      <c r="E55" s="150">
        <f>IF($D55="","",IFERROR(INDEX(WBS_CBS!$C$5:$C$16,MATCH($D55,WBS_CBS!$A$5:$A$16,0)),""))</f>
        <v/>
      </c>
      <c r="F55" s="150">
        <f>IF($D55="","",IFERROR(INDEX(WBS_CBS!$J$5:$J$16,MATCH($D55,WBS_CBS!$A$5:$A$16,0)),""))</f>
        <v/>
      </c>
      <c r="G55" s="149" t="n"/>
      <c r="H55" s="151" t="n"/>
      <c r="I55" s="149" t="n"/>
      <c r="J55" s="152" t="n"/>
      <c r="K55" s="149" t="n"/>
      <c r="L55" s="153">
        <f>IF($K55="","",IFERROR(INDEX(FX_Rates!$B$5:$B$14,MATCH($K55,FX_Rates!$A$5:$A$14,0)),""))</f>
        <v/>
      </c>
      <c r="M55" s="153">
        <f>IF(OR($H55="",$J55=""),"",$H55*$J55)</f>
        <v/>
      </c>
      <c r="N55" s="153">
        <f>IF(OR($M55="",$L55=""),"",$M55*$L55)</f>
        <v/>
      </c>
      <c r="O55" s="149" t="n"/>
      <c r="P55" s="154">
        <f>IF($O55="","",IFERROR(INDEX(Basis_of_Estimate!$C$5:$C$9,MATCH($O55,Basis_of_Estimate!$A$5:$A$9,0)),""))</f>
        <v/>
      </c>
      <c r="Q55" s="154">
        <f>IF($O55="","",IFERROR(INDEX(Basis_of_Estimate!$D$5:$D$9,MATCH($O55,Basis_of_Estimate!$A$5:$A$9,0)),""))</f>
        <v/>
      </c>
      <c r="R55" s="153">
        <f>IF($N55="","",$N55*(1+$P55))</f>
        <v/>
      </c>
      <c r="S55" s="153">
        <f>IF($N55="","",$N55)</f>
        <v/>
      </c>
      <c r="T55" s="153">
        <f>IF($N55="","",$N55*(1+$Q55))</f>
        <v/>
      </c>
      <c r="U55" s="150">
        <f>IF($D55="","",IFERROR(INDEX(WBS_CBS!$M$5:$M$16,MATCH($D55,WBS_CBS!$A$5:$A$16,0)),"Yes"))</f>
        <v/>
      </c>
      <c r="V55" s="150">
        <f>IF($D55="","",IFERROR(INDEX(WBS_CBS!$N$5:$N$16,MATCH($D55,WBS_CBS!$A$5:$A$16,0)),"Yes"))</f>
        <v/>
      </c>
      <c r="W55" s="150">
        <f>IF($D55="","",IFERROR(INDEX(WBS_CBS!$K$5:$K$16,MATCH($D55,WBS_CBS!$A$5:$A$16,0)),""))</f>
        <v/>
      </c>
      <c r="X55" s="150">
        <f>IF($D55="","",IFERROR(INDEX(WBS_CBS!$F$5:$F$16,MATCH($D55,WBS_CBS!$A$5:$A$16,0)),""))</f>
        <v/>
      </c>
      <c r="Y55" s="149" t="n"/>
      <c r="Z55" s="149" t="n"/>
      <c r="AA55" s="150">
        <f>IF($D55="","",IFERROR(INDEX(WBS_CBS!$L$5:$L$16,MATCH($D55,WBS_CBS!$A$5:$A$16,0)),""))</f>
        <v/>
      </c>
      <c r="AB55" s="149" t="n"/>
    </row>
    <row r="56">
      <c r="A56" s="149" t="n"/>
      <c r="B56" s="149" t="n"/>
      <c r="C56" s="150">
        <f>IF($D56="","",IFERROR(INDEX(WBS_CBS!$E$5:$E$16,MATCH($D56,WBS_CBS!$A$5:$A$16,0)),""))</f>
        <v/>
      </c>
      <c r="D56" s="149" t="n"/>
      <c r="E56" s="150">
        <f>IF($D56="","",IFERROR(INDEX(WBS_CBS!$C$5:$C$16,MATCH($D56,WBS_CBS!$A$5:$A$16,0)),""))</f>
        <v/>
      </c>
      <c r="F56" s="150">
        <f>IF($D56="","",IFERROR(INDEX(WBS_CBS!$J$5:$J$16,MATCH($D56,WBS_CBS!$A$5:$A$16,0)),""))</f>
        <v/>
      </c>
      <c r="G56" s="149" t="n"/>
      <c r="H56" s="151" t="n"/>
      <c r="I56" s="149" t="n"/>
      <c r="J56" s="152" t="n"/>
      <c r="K56" s="149" t="n"/>
      <c r="L56" s="153">
        <f>IF($K56="","",IFERROR(INDEX(FX_Rates!$B$5:$B$14,MATCH($K56,FX_Rates!$A$5:$A$14,0)),""))</f>
        <v/>
      </c>
      <c r="M56" s="153">
        <f>IF(OR($H56="",$J56=""),"",$H56*$J56)</f>
        <v/>
      </c>
      <c r="N56" s="153">
        <f>IF(OR($M56="",$L56=""),"",$M56*$L56)</f>
        <v/>
      </c>
      <c r="O56" s="149" t="n"/>
      <c r="P56" s="154">
        <f>IF($O56="","",IFERROR(INDEX(Basis_of_Estimate!$C$5:$C$9,MATCH($O56,Basis_of_Estimate!$A$5:$A$9,0)),""))</f>
        <v/>
      </c>
      <c r="Q56" s="154">
        <f>IF($O56="","",IFERROR(INDEX(Basis_of_Estimate!$D$5:$D$9,MATCH($O56,Basis_of_Estimate!$A$5:$A$9,0)),""))</f>
        <v/>
      </c>
      <c r="R56" s="153">
        <f>IF($N56="","",$N56*(1+$P56))</f>
        <v/>
      </c>
      <c r="S56" s="153">
        <f>IF($N56="","",$N56)</f>
        <v/>
      </c>
      <c r="T56" s="153">
        <f>IF($N56="","",$N56*(1+$Q56))</f>
        <v/>
      </c>
      <c r="U56" s="150">
        <f>IF($D56="","",IFERROR(INDEX(WBS_CBS!$M$5:$M$16,MATCH($D56,WBS_CBS!$A$5:$A$16,0)),"Yes"))</f>
        <v/>
      </c>
      <c r="V56" s="150">
        <f>IF($D56="","",IFERROR(INDEX(WBS_CBS!$N$5:$N$16,MATCH($D56,WBS_CBS!$A$5:$A$16,0)),"Yes"))</f>
        <v/>
      </c>
      <c r="W56" s="150">
        <f>IF($D56="","",IFERROR(INDEX(WBS_CBS!$K$5:$K$16,MATCH($D56,WBS_CBS!$A$5:$A$16,0)),""))</f>
        <v/>
      </c>
      <c r="X56" s="150">
        <f>IF($D56="","",IFERROR(INDEX(WBS_CBS!$F$5:$F$16,MATCH($D56,WBS_CBS!$A$5:$A$16,0)),""))</f>
        <v/>
      </c>
      <c r="Y56" s="149" t="n"/>
      <c r="Z56" s="149" t="n"/>
      <c r="AA56" s="150">
        <f>IF($D56="","",IFERROR(INDEX(WBS_CBS!$L$5:$L$16,MATCH($D56,WBS_CBS!$A$5:$A$16,0)),""))</f>
        <v/>
      </c>
      <c r="AB56" s="149" t="n"/>
    </row>
    <row r="57">
      <c r="A57" s="149" t="n"/>
      <c r="B57" s="149" t="n"/>
      <c r="C57" s="150">
        <f>IF($D57="","",IFERROR(INDEX(WBS_CBS!$E$5:$E$16,MATCH($D57,WBS_CBS!$A$5:$A$16,0)),""))</f>
        <v/>
      </c>
      <c r="D57" s="149" t="n"/>
      <c r="E57" s="150">
        <f>IF($D57="","",IFERROR(INDEX(WBS_CBS!$C$5:$C$16,MATCH($D57,WBS_CBS!$A$5:$A$16,0)),""))</f>
        <v/>
      </c>
      <c r="F57" s="150">
        <f>IF($D57="","",IFERROR(INDEX(WBS_CBS!$J$5:$J$16,MATCH($D57,WBS_CBS!$A$5:$A$16,0)),""))</f>
        <v/>
      </c>
      <c r="G57" s="149" t="n"/>
      <c r="H57" s="151" t="n"/>
      <c r="I57" s="149" t="n"/>
      <c r="J57" s="152" t="n"/>
      <c r="K57" s="149" t="n"/>
      <c r="L57" s="153">
        <f>IF($K57="","",IFERROR(INDEX(FX_Rates!$B$5:$B$14,MATCH($K57,FX_Rates!$A$5:$A$14,0)),""))</f>
        <v/>
      </c>
      <c r="M57" s="153">
        <f>IF(OR($H57="",$J57=""),"",$H57*$J57)</f>
        <v/>
      </c>
      <c r="N57" s="153">
        <f>IF(OR($M57="",$L57=""),"",$M57*$L57)</f>
        <v/>
      </c>
      <c r="O57" s="149" t="n"/>
      <c r="P57" s="154">
        <f>IF($O57="","",IFERROR(INDEX(Basis_of_Estimate!$C$5:$C$9,MATCH($O57,Basis_of_Estimate!$A$5:$A$9,0)),""))</f>
        <v/>
      </c>
      <c r="Q57" s="154">
        <f>IF($O57="","",IFERROR(INDEX(Basis_of_Estimate!$D$5:$D$9,MATCH($O57,Basis_of_Estimate!$A$5:$A$9,0)),""))</f>
        <v/>
      </c>
      <c r="R57" s="153">
        <f>IF($N57="","",$N57*(1+$P57))</f>
        <v/>
      </c>
      <c r="S57" s="153">
        <f>IF($N57="","",$N57)</f>
        <v/>
      </c>
      <c r="T57" s="153">
        <f>IF($N57="","",$N57*(1+$Q57))</f>
        <v/>
      </c>
      <c r="U57" s="150">
        <f>IF($D57="","",IFERROR(INDEX(WBS_CBS!$M$5:$M$16,MATCH($D57,WBS_CBS!$A$5:$A$16,0)),"Yes"))</f>
        <v/>
      </c>
      <c r="V57" s="150">
        <f>IF($D57="","",IFERROR(INDEX(WBS_CBS!$N$5:$N$16,MATCH($D57,WBS_CBS!$A$5:$A$16,0)),"Yes"))</f>
        <v/>
      </c>
      <c r="W57" s="150">
        <f>IF($D57="","",IFERROR(INDEX(WBS_CBS!$K$5:$K$16,MATCH($D57,WBS_CBS!$A$5:$A$16,0)),""))</f>
        <v/>
      </c>
      <c r="X57" s="150">
        <f>IF($D57="","",IFERROR(INDEX(WBS_CBS!$F$5:$F$16,MATCH($D57,WBS_CBS!$A$5:$A$16,0)),""))</f>
        <v/>
      </c>
      <c r="Y57" s="149" t="n"/>
      <c r="Z57" s="149" t="n"/>
      <c r="AA57" s="150">
        <f>IF($D57="","",IFERROR(INDEX(WBS_CBS!$L$5:$L$16,MATCH($D57,WBS_CBS!$A$5:$A$16,0)),""))</f>
        <v/>
      </c>
      <c r="AB57" s="149" t="n"/>
    </row>
    <row r="58">
      <c r="A58" s="149" t="n"/>
      <c r="B58" s="149" t="n"/>
      <c r="C58" s="150">
        <f>IF($D58="","",IFERROR(INDEX(WBS_CBS!$E$5:$E$16,MATCH($D58,WBS_CBS!$A$5:$A$16,0)),""))</f>
        <v/>
      </c>
      <c r="D58" s="149" t="n"/>
      <c r="E58" s="150">
        <f>IF($D58="","",IFERROR(INDEX(WBS_CBS!$C$5:$C$16,MATCH($D58,WBS_CBS!$A$5:$A$16,0)),""))</f>
        <v/>
      </c>
      <c r="F58" s="150">
        <f>IF($D58="","",IFERROR(INDEX(WBS_CBS!$J$5:$J$16,MATCH($D58,WBS_CBS!$A$5:$A$16,0)),""))</f>
        <v/>
      </c>
      <c r="G58" s="149" t="n"/>
      <c r="H58" s="151" t="n"/>
      <c r="I58" s="149" t="n"/>
      <c r="J58" s="152" t="n"/>
      <c r="K58" s="149" t="n"/>
      <c r="L58" s="153">
        <f>IF($K58="","",IFERROR(INDEX(FX_Rates!$B$5:$B$14,MATCH($K58,FX_Rates!$A$5:$A$14,0)),""))</f>
        <v/>
      </c>
      <c r="M58" s="153">
        <f>IF(OR($H58="",$J58=""),"",$H58*$J58)</f>
        <v/>
      </c>
      <c r="N58" s="153">
        <f>IF(OR($M58="",$L58=""),"",$M58*$L58)</f>
        <v/>
      </c>
      <c r="O58" s="149" t="n"/>
      <c r="P58" s="154">
        <f>IF($O58="","",IFERROR(INDEX(Basis_of_Estimate!$C$5:$C$9,MATCH($O58,Basis_of_Estimate!$A$5:$A$9,0)),""))</f>
        <v/>
      </c>
      <c r="Q58" s="154">
        <f>IF($O58="","",IFERROR(INDEX(Basis_of_Estimate!$D$5:$D$9,MATCH($O58,Basis_of_Estimate!$A$5:$A$9,0)),""))</f>
        <v/>
      </c>
      <c r="R58" s="153">
        <f>IF($N58="","",$N58*(1+$P58))</f>
        <v/>
      </c>
      <c r="S58" s="153">
        <f>IF($N58="","",$N58)</f>
        <v/>
      </c>
      <c r="T58" s="153">
        <f>IF($N58="","",$N58*(1+$Q58))</f>
        <v/>
      </c>
      <c r="U58" s="150">
        <f>IF($D58="","",IFERROR(INDEX(WBS_CBS!$M$5:$M$16,MATCH($D58,WBS_CBS!$A$5:$A$16,0)),"Yes"))</f>
        <v/>
      </c>
      <c r="V58" s="150">
        <f>IF($D58="","",IFERROR(INDEX(WBS_CBS!$N$5:$N$16,MATCH($D58,WBS_CBS!$A$5:$A$16,0)),"Yes"))</f>
        <v/>
      </c>
      <c r="W58" s="150">
        <f>IF($D58="","",IFERROR(INDEX(WBS_CBS!$K$5:$K$16,MATCH($D58,WBS_CBS!$A$5:$A$16,0)),""))</f>
        <v/>
      </c>
      <c r="X58" s="150">
        <f>IF($D58="","",IFERROR(INDEX(WBS_CBS!$F$5:$F$16,MATCH($D58,WBS_CBS!$A$5:$A$16,0)),""))</f>
        <v/>
      </c>
      <c r="Y58" s="149" t="n"/>
      <c r="Z58" s="149" t="n"/>
      <c r="AA58" s="150">
        <f>IF($D58="","",IFERROR(INDEX(WBS_CBS!$L$5:$L$16,MATCH($D58,WBS_CBS!$A$5:$A$16,0)),""))</f>
        <v/>
      </c>
      <c r="AB58" s="149" t="n"/>
    </row>
    <row r="59">
      <c r="A59" s="149" t="n"/>
      <c r="B59" s="149" t="n"/>
      <c r="C59" s="150">
        <f>IF($D59="","",IFERROR(INDEX(WBS_CBS!$E$5:$E$16,MATCH($D59,WBS_CBS!$A$5:$A$16,0)),""))</f>
        <v/>
      </c>
      <c r="D59" s="149" t="n"/>
      <c r="E59" s="150">
        <f>IF($D59="","",IFERROR(INDEX(WBS_CBS!$C$5:$C$16,MATCH($D59,WBS_CBS!$A$5:$A$16,0)),""))</f>
        <v/>
      </c>
      <c r="F59" s="150">
        <f>IF($D59="","",IFERROR(INDEX(WBS_CBS!$J$5:$J$16,MATCH($D59,WBS_CBS!$A$5:$A$16,0)),""))</f>
        <v/>
      </c>
      <c r="G59" s="149" t="n"/>
      <c r="H59" s="151" t="n"/>
      <c r="I59" s="149" t="n"/>
      <c r="J59" s="152" t="n"/>
      <c r="K59" s="149" t="n"/>
      <c r="L59" s="153">
        <f>IF($K59="","",IFERROR(INDEX(FX_Rates!$B$5:$B$14,MATCH($K59,FX_Rates!$A$5:$A$14,0)),""))</f>
        <v/>
      </c>
      <c r="M59" s="153">
        <f>IF(OR($H59="",$J59=""),"",$H59*$J59)</f>
        <v/>
      </c>
      <c r="N59" s="153">
        <f>IF(OR($M59="",$L59=""),"",$M59*$L59)</f>
        <v/>
      </c>
      <c r="O59" s="149" t="n"/>
      <c r="P59" s="154">
        <f>IF($O59="","",IFERROR(INDEX(Basis_of_Estimate!$C$5:$C$9,MATCH($O59,Basis_of_Estimate!$A$5:$A$9,0)),""))</f>
        <v/>
      </c>
      <c r="Q59" s="154">
        <f>IF($O59="","",IFERROR(INDEX(Basis_of_Estimate!$D$5:$D$9,MATCH($O59,Basis_of_Estimate!$A$5:$A$9,0)),""))</f>
        <v/>
      </c>
      <c r="R59" s="153">
        <f>IF($N59="","",$N59*(1+$P59))</f>
        <v/>
      </c>
      <c r="S59" s="153">
        <f>IF($N59="","",$N59)</f>
        <v/>
      </c>
      <c r="T59" s="153">
        <f>IF($N59="","",$N59*(1+$Q59))</f>
        <v/>
      </c>
      <c r="U59" s="150">
        <f>IF($D59="","",IFERROR(INDEX(WBS_CBS!$M$5:$M$16,MATCH($D59,WBS_CBS!$A$5:$A$16,0)),"Yes"))</f>
        <v/>
      </c>
      <c r="V59" s="150">
        <f>IF($D59="","",IFERROR(INDEX(WBS_CBS!$N$5:$N$16,MATCH($D59,WBS_CBS!$A$5:$A$16,0)),"Yes"))</f>
        <v/>
      </c>
      <c r="W59" s="150">
        <f>IF($D59="","",IFERROR(INDEX(WBS_CBS!$K$5:$K$16,MATCH($D59,WBS_CBS!$A$5:$A$16,0)),""))</f>
        <v/>
      </c>
      <c r="X59" s="150">
        <f>IF($D59="","",IFERROR(INDEX(WBS_CBS!$F$5:$F$16,MATCH($D59,WBS_CBS!$A$5:$A$16,0)),""))</f>
        <v/>
      </c>
      <c r="Y59" s="149" t="n"/>
      <c r="Z59" s="149" t="n"/>
      <c r="AA59" s="150">
        <f>IF($D59="","",IFERROR(INDEX(WBS_CBS!$L$5:$L$16,MATCH($D59,WBS_CBS!$A$5:$A$16,0)),""))</f>
        <v/>
      </c>
      <c r="AB59" s="149" t="n"/>
    </row>
    <row r="60">
      <c r="A60" s="149" t="n"/>
      <c r="B60" s="149" t="n"/>
      <c r="C60" s="150">
        <f>IF($D60="","",IFERROR(INDEX(WBS_CBS!$E$5:$E$16,MATCH($D60,WBS_CBS!$A$5:$A$16,0)),""))</f>
        <v/>
      </c>
      <c r="D60" s="149" t="n"/>
      <c r="E60" s="150">
        <f>IF($D60="","",IFERROR(INDEX(WBS_CBS!$C$5:$C$16,MATCH($D60,WBS_CBS!$A$5:$A$16,0)),""))</f>
        <v/>
      </c>
      <c r="F60" s="150">
        <f>IF($D60="","",IFERROR(INDEX(WBS_CBS!$J$5:$J$16,MATCH($D60,WBS_CBS!$A$5:$A$16,0)),""))</f>
        <v/>
      </c>
      <c r="G60" s="149" t="n"/>
      <c r="H60" s="151" t="n"/>
      <c r="I60" s="149" t="n"/>
      <c r="J60" s="152" t="n"/>
      <c r="K60" s="149" t="n"/>
      <c r="L60" s="153">
        <f>IF($K60="","",IFERROR(INDEX(FX_Rates!$B$5:$B$14,MATCH($K60,FX_Rates!$A$5:$A$14,0)),""))</f>
        <v/>
      </c>
      <c r="M60" s="153">
        <f>IF(OR($H60="",$J60=""),"",$H60*$J60)</f>
        <v/>
      </c>
      <c r="N60" s="153">
        <f>IF(OR($M60="",$L60=""),"",$M60*$L60)</f>
        <v/>
      </c>
      <c r="O60" s="149" t="n"/>
      <c r="P60" s="154">
        <f>IF($O60="","",IFERROR(INDEX(Basis_of_Estimate!$C$5:$C$9,MATCH($O60,Basis_of_Estimate!$A$5:$A$9,0)),""))</f>
        <v/>
      </c>
      <c r="Q60" s="154">
        <f>IF($O60="","",IFERROR(INDEX(Basis_of_Estimate!$D$5:$D$9,MATCH($O60,Basis_of_Estimate!$A$5:$A$9,0)),""))</f>
        <v/>
      </c>
      <c r="R60" s="153">
        <f>IF($N60="","",$N60*(1+$P60))</f>
        <v/>
      </c>
      <c r="S60" s="153">
        <f>IF($N60="","",$N60)</f>
        <v/>
      </c>
      <c r="T60" s="153">
        <f>IF($N60="","",$N60*(1+$Q60))</f>
        <v/>
      </c>
      <c r="U60" s="150">
        <f>IF($D60="","",IFERROR(INDEX(WBS_CBS!$M$5:$M$16,MATCH($D60,WBS_CBS!$A$5:$A$16,0)),"Yes"))</f>
        <v/>
      </c>
      <c r="V60" s="150">
        <f>IF($D60="","",IFERROR(INDEX(WBS_CBS!$N$5:$N$16,MATCH($D60,WBS_CBS!$A$5:$A$16,0)),"Yes"))</f>
        <v/>
      </c>
      <c r="W60" s="150">
        <f>IF($D60="","",IFERROR(INDEX(WBS_CBS!$K$5:$K$16,MATCH($D60,WBS_CBS!$A$5:$A$16,0)),""))</f>
        <v/>
      </c>
      <c r="X60" s="150">
        <f>IF($D60="","",IFERROR(INDEX(WBS_CBS!$F$5:$F$16,MATCH($D60,WBS_CBS!$A$5:$A$16,0)),""))</f>
        <v/>
      </c>
      <c r="Y60" s="149" t="n"/>
      <c r="Z60" s="149" t="n"/>
      <c r="AA60" s="150">
        <f>IF($D60="","",IFERROR(INDEX(WBS_CBS!$L$5:$L$16,MATCH($D60,WBS_CBS!$A$5:$A$16,0)),""))</f>
        <v/>
      </c>
      <c r="AB60" s="149" t="n"/>
    </row>
    <row r="61">
      <c r="A61" s="149" t="n"/>
      <c r="B61" s="149" t="n"/>
      <c r="C61" s="150">
        <f>IF($D61="","",IFERROR(INDEX(WBS_CBS!$E$5:$E$16,MATCH($D61,WBS_CBS!$A$5:$A$16,0)),""))</f>
        <v/>
      </c>
      <c r="D61" s="149" t="n"/>
      <c r="E61" s="150">
        <f>IF($D61="","",IFERROR(INDEX(WBS_CBS!$C$5:$C$16,MATCH($D61,WBS_CBS!$A$5:$A$16,0)),""))</f>
        <v/>
      </c>
      <c r="F61" s="150">
        <f>IF($D61="","",IFERROR(INDEX(WBS_CBS!$J$5:$J$16,MATCH($D61,WBS_CBS!$A$5:$A$16,0)),""))</f>
        <v/>
      </c>
      <c r="G61" s="149" t="n"/>
      <c r="H61" s="151" t="n"/>
      <c r="I61" s="149" t="n"/>
      <c r="J61" s="152" t="n"/>
      <c r="K61" s="149" t="n"/>
      <c r="L61" s="153">
        <f>IF($K61="","",IFERROR(INDEX(FX_Rates!$B$5:$B$14,MATCH($K61,FX_Rates!$A$5:$A$14,0)),""))</f>
        <v/>
      </c>
      <c r="M61" s="153">
        <f>IF(OR($H61="",$J61=""),"",$H61*$J61)</f>
        <v/>
      </c>
      <c r="N61" s="153">
        <f>IF(OR($M61="",$L61=""),"",$M61*$L61)</f>
        <v/>
      </c>
      <c r="O61" s="149" t="n"/>
      <c r="P61" s="154">
        <f>IF($O61="","",IFERROR(INDEX(Basis_of_Estimate!$C$5:$C$9,MATCH($O61,Basis_of_Estimate!$A$5:$A$9,0)),""))</f>
        <v/>
      </c>
      <c r="Q61" s="154">
        <f>IF($O61="","",IFERROR(INDEX(Basis_of_Estimate!$D$5:$D$9,MATCH($O61,Basis_of_Estimate!$A$5:$A$9,0)),""))</f>
        <v/>
      </c>
      <c r="R61" s="153">
        <f>IF($N61="","",$N61*(1+$P61))</f>
        <v/>
      </c>
      <c r="S61" s="153">
        <f>IF($N61="","",$N61)</f>
        <v/>
      </c>
      <c r="T61" s="153">
        <f>IF($N61="","",$N61*(1+$Q61))</f>
        <v/>
      </c>
      <c r="U61" s="150">
        <f>IF($D61="","",IFERROR(INDEX(WBS_CBS!$M$5:$M$16,MATCH($D61,WBS_CBS!$A$5:$A$16,0)),"Yes"))</f>
        <v/>
      </c>
      <c r="V61" s="150">
        <f>IF($D61="","",IFERROR(INDEX(WBS_CBS!$N$5:$N$16,MATCH($D61,WBS_CBS!$A$5:$A$16,0)),"Yes"))</f>
        <v/>
      </c>
      <c r="W61" s="150">
        <f>IF($D61="","",IFERROR(INDEX(WBS_CBS!$K$5:$K$16,MATCH($D61,WBS_CBS!$A$5:$A$16,0)),""))</f>
        <v/>
      </c>
      <c r="X61" s="150">
        <f>IF($D61="","",IFERROR(INDEX(WBS_CBS!$F$5:$F$16,MATCH($D61,WBS_CBS!$A$5:$A$16,0)),""))</f>
        <v/>
      </c>
      <c r="Y61" s="149" t="n"/>
      <c r="Z61" s="149" t="n"/>
      <c r="AA61" s="150">
        <f>IF($D61="","",IFERROR(INDEX(WBS_CBS!$L$5:$L$16,MATCH($D61,WBS_CBS!$A$5:$A$16,0)),""))</f>
        <v/>
      </c>
      <c r="AB61" s="149" t="n"/>
    </row>
    <row r="62">
      <c r="A62" s="149" t="n"/>
      <c r="B62" s="149" t="n"/>
      <c r="C62" s="150">
        <f>IF($D62="","",IFERROR(INDEX(WBS_CBS!$E$5:$E$16,MATCH($D62,WBS_CBS!$A$5:$A$16,0)),""))</f>
        <v/>
      </c>
      <c r="D62" s="149" t="n"/>
      <c r="E62" s="150">
        <f>IF($D62="","",IFERROR(INDEX(WBS_CBS!$C$5:$C$16,MATCH($D62,WBS_CBS!$A$5:$A$16,0)),""))</f>
        <v/>
      </c>
      <c r="F62" s="150">
        <f>IF($D62="","",IFERROR(INDEX(WBS_CBS!$J$5:$J$16,MATCH($D62,WBS_CBS!$A$5:$A$16,0)),""))</f>
        <v/>
      </c>
      <c r="G62" s="149" t="n"/>
      <c r="H62" s="151" t="n"/>
      <c r="I62" s="149" t="n"/>
      <c r="J62" s="152" t="n"/>
      <c r="K62" s="149" t="n"/>
      <c r="L62" s="153">
        <f>IF($K62="","",IFERROR(INDEX(FX_Rates!$B$5:$B$14,MATCH($K62,FX_Rates!$A$5:$A$14,0)),""))</f>
        <v/>
      </c>
      <c r="M62" s="153">
        <f>IF(OR($H62="",$J62=""),"",$H62*$J62)</f>
        <v/>
      </c>
      <c r="N62" s="153">
        <f>IF(OR($M62="",$L62=""),"",$M62*$L62)</f>
        <v/>
      </c>
      <c r="O62" s="149" t="n"/>
      <c r="P62" s="154">
        <f>IF($O62="","",IFERROR(INDEX(Basis_of_Estimate!$C$5:$C$9,MATCH($O62,Basis_of_Estimate!$A$5:$A$9,0)),""))</f>
        <v/>
      </c>
      <c r="Q62" s="154">
        <f>IF($O62="","",IFERROR(INDEX(Basis_of_Estimate!$D$5:$D$9,MATCH($O62,Basis_of_Estimate!$A$5:$A$9,0)),""))</f>
        <v/>
      </c>
      <c r="R62" s="153">
        <f>IF($N62="","",$N62*(1+$P62))</f>
        <v/>
      </c>
      <c r="S62" s="153">
        <f>IF($N62="","",$N62)</f>
        <v/>
      </c>
      <c r="T62" s="153">
        <f>IF($N62="","",$N62*(1+$Q62))</f>
        <v/>
      </c>
      <c r="U62" s="150">
        <f>IF($D62="","",IFERROR(INDEX(WBS_CBS!$M$5:$M$16,MATCH($D62,WBS_CBS!$A$5:$A$16,0)),"Yes"))</f>
        <v/>
      </c>
      <c r="V62" s="150">
        <f>IF($D62="","",IFERROR(INDEX(WBS_CBS!$N$5:$N$16,MATCH($D62,WBS_CBS!$A$5:$A$16,0)),"Yes"))</f>
        <v/>
      </c>
      <c r="W62" s="150">
        <f>IF($D62="","",IFERROR(INDEX(WBS_CBS!$K$5:$K$16,MATCH($D62,WBS_CBS!$A$5:$A$16,0)),""))</f>
        <v/>
      </c>
      <c r="X62" s="150">
        <f>IF($D62="","",IFERROR(INDEX(WBS_CBS!$F$5:$F$16,MATCH($D62,WBS_CBS!$A$5:$A$16,0)),""))</f>
        <v/>
      </c>
      <c r="Y62" s="149" t="n"/>
      <c r="Z62" s="149" t="n"/>
      <c r="AA62" s="150">
        <f>IF($D62="","",IFERROR(INDEX(WBS_CBS!$L$5:$L$16,MATCH($D62,WBS_CBS!$A$5:$A$16,0)),""))</f>
        <v/>
      </c>
      <c r="AB62" s="149" t="n"/>
    </row>
    <row r="63">
      <c r="A63" s="149" t="n"/>
      <c r="B63" s="149" t="n"/>
      <c r="C63" s="150">
        <f>IF($D63="","",IFERROR(INDEX(WBS_CBS!$E$5:$E$16,MATCH($D63,WBS_CBS!$A$5:$A$16,0)),""))</f>
        <v/>
      </c>
      <c r="D63" s="149" t="n"/>
      <c r="E63" s="150">
        <f>IF($D63="","",IFERROR(INDEX(WBS_CBS!$C$5:$C$16,MATCH($D63,WBS_CBS!$A$5:$A$16,0)),""))</f>
        <v/>
      </c>
      <c r="F63" s="150">
        <f>IF($D63="","",IFERROR(INDEX(WBS_CBS!$J$5:$J$16,MATCH($D63,WBS_CBS!$A$5:$A$16,0)),""))</f>
        <v/>
      </c>
      <c r="G63" s="149" t="n"/>
      <c r="H63" s="151" t="n"/>
      <c r="I63" s="149" t="n"/>
      <c r="J63" s="152" t="n"/>
      <c r="K63" s="149" t="n"/>
      <c r="L63" s="153">
        <f>IF($K63="","",IFERROR(INDEX(FX_Rates!$B$5:$B$14,MATCH($K63,FX_Rates!$A$5:$A$14,0)),""))</f>
        <v/>
      </c>
      <c r="M63" s="153">
        <f>IF(OR($H63="",$J63=""),"",$H63*$J63)</f>
        <v/>
      </c>
      <c r="N63" s="153">
        <f>IF(OR($M63="",$L63=""),"",$M63*$L63)</f>
        <v/>
      </c>
      <c r="O63" s="149" t="n"/>
      <c r="P63" s="154">
        <f>IF($O63="","",IFERROR(INDEX(Basis_of_Estimate!$C$5:$C$9,MATCH($O63,Basis_of_Estimate!$A$5:$A$9,0)),""))</f>
        <v/>
      </c>
      <c r="Q63" s="154">
        <f>IF($O63="","",IFERROR(INDEX(Basis_of_Estimate!$D$5:$D$9,MATCH($O63,Basis_of_Estimate!$A$5:$A$9,0)),""))</f>
        <v/>
      </c>
      <c r="R63" s="153">
        <f>IF($N63="","",$N63*(1+$P63))</f>
        <v/>
      </c>
      <c r="S63" s="153">
        <f>IF($N63="","",$N63)</f>
        <v/>
      </c>
      <c r="T63" s="153">
        <f>IF($N63="","",$N63*(1+$Q63))</f>
        <v/>
      </c>
      <c r="U63" s="150">
        <f>IF($D63="","",IFERROR(INDEX(WBS_CBS!$M$5:$M$16,MATCH($D63,WBS_CBS!$A$5:$A$16,0)),"Yes"))</f>
        <v/>
      </c>
      <c r="V63" s="150">
        <f>IF($D63="","",IFERROR(INDEX(WBS_CBS!$N$5:$N$16,MATCH($D63,WBS_CBS!$A$5:$A$16,0)),"Yes"))</f>
        <v/>
      </c>
      <c r="W63" s="150">
        <f>IF($D63="","",IFERROR(INDEX(WBS_CBS!$K$5:$K$16,MATCH($D63,WBS_CBS!$A$5:$A$16,0)),""))</f>
        <v/>
      </c>
      <c r="X63" s="150">
        <f>IF($D63="","",IFERROR(INDEX(WBS_CBS!$F$5:$F$16,MATCH($D63,WBS_CBS!$A$5:$A$16,0)),""))</f>
        <v/>
      </c>
      <c r="Y63" s="149" t="n"/>
      <c r="Z63" s="149" t="n"/>
      <c r="AA63" s="150">
        <f>IF($D63="","",IFERROR(INDEX(WBS_CBS!$L$5:$L$16,MATCH($D63,WBS_CBS!$A$5:$A$16,0)),""))</f>
        <v/>
      </c>
      <c r="AB63" s="149" t="n"/>
    </row>
    <row r="64">
      <c r="A64" s="149" t="n"/>
      <c r="B64" s="149" t="n"/>
      <c r="C64" s="150">
        <f>IF($D64="","",IFERROR(INDEX(WBS_CBS!$E$5:$E$16,MATCH($D64,WBS_CBS!$A$5:$A$16,0)),""))</f>
        <v/>
      </c>
      <c r="D64" s="149" t="n"/>
      <c r="E64" s="150">
        <f>IF($D64="","",IFERROR(INDEX(WBS_CBS!$C$5:$C$16,MATCH($D64,WBS_CBS!$A$5:$A$16,0)),""))</f>
        <v/>
      </c>
      <c r="F64" s="150">
        <f>IF($D64="","",IFERROR(INDEX(WBS_CBS!$J$5:$J$16,MATCH($D64,WBS_CBS!$A$5:$A$16,0)),""))</f>
        <v/>
      </c>
      <c r="G64" s="149" t="n"/>
      <c r="H64" s="151" t="n"/>
      <c r="I64" s="149" t="n"/>
      <c r="J64" s="152" t="n"/>
      <c r="K64" s="149" t="n"/>
      <c r="L64" s="153">
        <f>IF($K64="","",IFERROR(INDEX(FX_Rates!$B$5:$B$14,MATCH($K64,FX_Rates!$A$5:$A$14,0)),""))</f>
        <v/>
      </c>
      <c r="M64" s="153">
        <f>IF(OR($H64="",$J64=""),"",$H64*$J64)</f>
        <v/>
      </c>
      <c r="N64" s="153">
        <f>IF(OR($M64="",$L64=""),"",$M64*$L64)</f>
        <v/>
      </c>
      <c r="O64" s="149" t="n"/>
      <c r="P64" s="154">
        <f>IF($O64="","",IFERROR(INDEX(Basis_of_Estimate!$C$5:$C$9,MATCH($O64,Basis_of_Estimate!$A$5:$A$9,0)),""))</f>
        <v/>
      </c>
      <c r="Q64" s="154">
        <f>IF($O64="","",IFERROR(INDEX(Basis_of_Estimate!$D$5:$D$9,MATCH($O64,Basis_of_Estimate!$A$5:$A$9,0)),""))</f>
        <v/>
      </c>
      <c r="R64" s="153">
        <f>IF($N64="","",$N64*(1+$P64))</f>
        <v/>
      </c>
      <c r="S64" s="153">
        <f>IF($N64="","",$N64)</f>
        <v/>
      </c>
      <c r="T64" s="153">
        <f>IF($N64="","",$N64*(1+$Q64))</f>
        <v/>
      </c>
      <c r="U64" s="150">
        <f>IF($D64="","",IFERROR(INDEX(WBS_CBS!$M$5:$M$16,MATCH($D64,WBS_CBS!$A$5:$A$16,0)),"Yes"))</f>
        <v/>
      </c>
      <c r="V64" s="150">
        <f>IF($D64="","",IFERROR(INDEX(WBS_CBS!$N$5:$N$16,MATCH($D64,WBS_CBS!$A$5:$A$16,0)),"Yes"))</f>
        <v/>
      </c>
      <c r="W64" s="150">
        <f>IF($D64="","",IFERROR(INDEX(WBS_CBS!$K$5:$K$16,MATCH($D64,WBS_CBS!$A$5:$A$16,0)),""))</f>
        <v/>
      </c>
      <c r="X64" s="150">
        <f>IF($D64="","",IFERROR(INDEX(WBS_CBS!$F$5:$F$16,MATCH($D64,WBS_CBS!$A$5:$A$16,0)),""))</f>
        <v/>
      </c>
      <c r="Y64" s="149" t="n"/>
      <c r="Z64" s="149" t="n"/>
      <c r="AA64" s="150">
        <f>IF($D64="","",IFERROR(INDEX(WBS_CBS!$L$5:$L$16,MATCH($D64,WBS_CBS!$A$5:$A$16,0)),""))</f>
        <v/>
      </c>
      <c r="AB64" s="149" t="n"/>
    </row>
    <row r="65">
      <c r="A65" s="149" t="n"/>
      <c r="B65" s="149" t="n"/>
      <c r="C65" s="150">
        <f>IF($D65="","",IFERROR(INDEX(WBS_CBS!$E$5:$E$16,MATCH($D65,WBS_CBS!$A$5:$A$16,0)),""))</f>
        <v/>
      </c>
      <c r="D65" s="149" t="n"/>
      <c r="E65" s="150">
        <f>IF($D65="","",IFERROR(INDEX(WBS_CBS!$C$5:$C$16,MATCH($D65,WBS_CBS!$A$5:$A$16,0)),""))</f>
        <v/>
      </c>
      <c r="F65" s="150">
        <f>IF($D65="","",IFERROR(INDEX(WBS_CBS!$J$5:$J$16,MATCH($D65,WBS_CBS!$A$5:$A$16,0)),""))</f>
        <v/>
      </c>
      <c r="G65" s="149" t="n"/>
      <c r="H65" s="151" t="n"/>
      <c r="I65" s="149" t="n"/>
      <c r="J65" s="152" t="n"/>
      <c r="K65" s="149" t="n"/>
      <c r="L65" s="153">
        <f>IF($K65="","",IFERROR(INDEX(FX_Rates!$B$5:$B$14,MATCH($K65,FX_Rates!$A$5:$A$14,0)),""))</f>
        <v/>
      </c>
      <c r="M65" s="153">
        <f>IF(OR($H65="",$J65=""),"",$H65*$J65)</f>
        <v/>
      </c>
      <c r="N65" s="153">
        <f>IF(OR($M65="",$L65=""),"",$M65*$L65)</f>
        <v/>
      </c>
      <c r="O65" s="149" t="n"/>
      <c r="P65" s="154">
        <f>IF($O65="","",IFERROR(INDEX(Basis_of_Estimate!$C$5:$C$9,MATCH($O65,Basis_of_Estimate!$A$5:$A$9,0)),""))</f>
        <v/>
      </c>
      <c r="Q65" s="154">
        <f>IF($O65="","",IFERROR(INDEX(Basis_of_Estimate!$D$5:$D$9,MATCH($O65,Basis_of_Estimate!$A$5:$A$9,0)),""))</f>
        <v/>
      </c>
      <c r="R65" s="153">
        <f>IF($N65="","",$N65*(1+$P65))</f>
        <v/>
      </c>
      <c r="S65" s="153">
        <f>IF($N65="","",$N65)</f>
        <v/>
      </c>
      <c r="T65" s="153">
        <f>IF($N65="","",$N65*(1+$Q65))</f>
        <v/>
      </c>
      <c r="U65" s="150">
        <f>IF($D65="","",IFERROR(INDEX(WBS_CBS!$M$5:$M$16,MATCH($D65,WBS_CBS!$A$5:$A$16,0)),"Yes"))</f>
        <v/>
      </c>
      <c r="V65" s="150">
        <f>IF($D65="","",IFERROR(INDEX(WBS_CBS!$N$5:$N$16,MATCH($D65,WBS_CBS!$A$5:$A$16,0)),"Yes"))</f>
        <v/>
      </c>
      <c r="W65" s="150">
        <f>IF($D65="","",IFERROR(INDEX(WBS_CBS!$K$5:$K$16,MATCH($D65,WBS_CBS!$A$5:$A$16,0)),""))</f>
        <v/>
      </c>
      <c r="X65" s="150">
        <f>IF($D65="","",IFERROR(INDEX(WBS_CBS!$F$5:$F$16,MATCH($D65,WBS_CBS!$A$5:$A$16,0)),""))</f>
        <v/>
      </c>
      <c r="Y65" s="149" t="n"/>
      <c r="Z65" s="149" t="n"/>
      <c r="AA65" s="150">
        <f>IF($D65="","",IFERROR(INDEX(WBS_CBS!$L$5:$L$16,MATCH($D65,WBS_CBS!$A$5:$A$16,0)),""))</f>
        <v/>
      </c>
      <c r="AB65" s="149" t="n"/>
    </row>
    <row r="66">
      <c r="A66" s="149" t="n"/>
      <c r="B66" s="149" t="n"/>
      <c r="C66" s="150">
        <f>IF($D66="","",IFERROR(INDEX(WBS_CBS!$E$5:$E$16,MATCH($D66,WBS_CBS!$A$5:$A$16,0)),""))</f>
        <v/>
      </c>
      <c r="D66" s="149" t="n"/>
      <c r="E66" s="150">
        <f>IF($D66="","",IFERROR(INDEX(WBS_CBS!$C$5:$C$16,MATCH($D66,WBS_CBS!$A$5:$A$16,0)),""))</f>
        <v/>
      </c>
      <c r="F66" s="150">
        <f>IF($D66="","",IFERROR(INDEX(WBS_CBS!$J$5:$J$16,MATCH($D66,WBS_CBS!$A$5:$A$16,0)),""))</f>
        <v/>
      </c>
      <c r="G66" s="149" t="n"/>
      <c r="H66" s="151" t="n"/>
      <c r="I66" s="149" t="n"/>
      <c r="J66" s="152" t="n"/>
      <c r="K66" s="149" t="n"/>
      <c r="L66" s="153">
        <f>IF($K66="","",IFERROR(INDEX(FX_Rates!$B$5:$B$14,MATCH($K66,FX_Rates!$A$5:$A$14,0)),""))</f>
        <v/>
      </c>
      <c r="M66" s="153">
        <f>IF(OR($H66="",$J66=""),"",$H66*$J66)</f>
        <v/>
      </c>
      <c r="N66" s="153">
        <f>IF(OR($M66="",$L66=""),"",$M66*$L66)</f>
        <v/>
      </c>
      <c r="O66" s="149" t="n"/>
      <c r="P66" s="154">
        <f>IF($O66="","",IFERROR(INDEX(Basis_of_Estimate!$C$5:$C$9,MATCH($O66,Basis_of_Estimate!$A$5:$A$9,0)),""))</f>
        <v/>
      </c>
      <c r="Q66" s="154">
        <f>IF($O66="","",IFERROR(INDEX(Basis_of_Estimate!$D$5:$D$9,MATCH($O66,Basis_of_Estimate!$A$5:$A$9,0)),""))</f>
        <v/>
      </c>
      <c r="R66" s="153">
        <f>IF($N66="","",$N66*(1+$P66))</f>
        <v/>
      </c>
      <c r="S66" s="153">
        <f>IF($N66="","",$N66)</f>
        <v/>
      </c>
      <c r="T66" s="153">
        <f>IF($N66="","",$N66*(1+$Q66))</f>
        <v/>
      </c>
      <c r="U66" s="150">
        <f>IF($D66="","",IFERROR(INDEX(WBS_CBS!$M$5:$M$16,MATCH($D66,WBS_CBS!$A$5:$A$16,0)),"Yes"))</f>
        <v/>
      </c>
      <c r="V66" s="150">
        <f>IF($D66="","",IFERROR(INDEX(WBS_CBS!$N$5:$N$16,MATCH($D66,WBS_CBS!$A$5:$A$16,0)),"Yes"))</f>
        <v/>
      </c>
      <c r="W66" s="150">
        <f>IF($D66="","",IFERROR(INDEX(WBS_CBS!$K$5:$K$16,MATCH($D66,WBS_CBS!$A$5:$A$16,0)),""))</f>
        <v/>
      </c>
      <c r="X66" s="150">
        <f>IF($D66="","",IFERROR(INDEX(WBS_CBS!$F$5:$F$16,MATCH($D66,WBS_CBS!$A$5:$A$16,0)),""))</f>
        <v/>
      </c>
      <c r="Y66" s="149" t="n"/>
      <c r="Z66" s="149" t="n"/>
      <c r="AA66" s="150">
        <f>IF($D66="","",IFERROR(INDEX(WBS_CBS!$L$5:$L$16,MATCH($D66,WBS_CBS!$A$5:$A$16,0)),""))</f>
        <v/>
      </c>
      <c r="AB66" s="149" t="n"/>
    </row>
    <row r="67">
      <c r="A67" s="149" t="n"/>
      <c r="B67" s="149" t="n"/>
      <c r="C67" s="150">
        <f>IF($D67="","",IFERROR(INDEX(WBS_CBS!$E$5:$E$16,MATCH($D67,WBS_CBS!$A$5:$A$16,0)),""))</f>
        <v/>
      </c>
      <c r="D67" s="149" t="n"/>
      <c r="E67" s="150">
        <f>IF($D67="","",IFERROR(INDEX(WBS_CBS!$C$5:$C$16,MATCH($D67,WBS_CBS!$A$5:$A$16,0)),""))</f>
        <v/>
      </c>
      <c r="F67" s="150">
        <f>IF($D67="","",IFERROR(INDEX(WBS_CBS!$J$5:$J$16,MATCH($D67,WBS_CBS!$A$5:$A$16,0)),""))</f>
        <v/>
      </c>
      <c r="G67" s="149" t="n"/>
      <c r="H67" s="151" t="n"/>
      <c r="I67" s="149" t="n"/>
      <c r="J67" s="152" t="n"/>
      <c r="K67" s="149" t="n"/>
      <c r="L67" s="153">
        <f>IF($K67="","",IFERROR(INDEX(FX_Rates!$B$5:$B$14,MATCH($K67,FX_Rates!$A$5:$A$14,0)),""))</f>
        <v/>
      </c>
      <c r="M67" s="153">
        <f>IF(OR($H67="",$J67=""),"",$H67*$J67)</f>
        <v/>
      </c>
      <c r="N67" s="153">
        <f>IF(OR($M67="",$L67=""),"",$M67*$L67)</f>
        <v/>
      </c>
      <c r="O67" s="149" t="n"/>
      <c r="P67" s="154">
        <f>IF($O67="","",IFERROR(INDEX(Basis_of_Estimate!$C$5:$C$9,MATCH($O67,Basis_of_Estimate!$A$5:$A$9,0)),""))</f>
        <v/>
      </c>
      <c r="Q67" s="154">
        <f>IF($O67="","",IFERROR(INDEX(Basis_of_Estimate!$D$5:$D$9,MATCH($O67,Basis_of_Estimate!$A$5:$A$9,0)),""))</f>
        <v/>
      </c>
      <c r="R67" s="153">
        <f>IF($N67="","",$N67*(1+$P67))</f>
        <v/>
      </c>
      <c r="S67" s="153">
        <f>IF($N67="","",$N67)</f>
        <v/>
      </c>
      <c r="T67" s="153">
        <f>IF($N67="","",$N67*(1+$Q67))</f>
        <v/>
      </c>
      <c r="U67" s="150">
        <f>IF($D67="","",IFERROR(INDEX(WBS_CBS!$M$5:$M$16,MATCH($D67,WBS_CBS!$A$5:$A$16,0)),"Yes"))</f>
        <v/>
      </c>
      <c r="V67" s="150">
        <f>IF($D67="","",IFERROR(INDEX(WBS_CBS!$N$5:$N$16,MATCH($D67,WBS_CBS!$A$5:$A$16,0)),"Yes"))</f>
        <v/>
      </c>
      <c r="W67" s="150">
        <f>IF($D67="","",IFERROR(INDEX(WBS_CBS!$K$5:$K$16,MATCH($D67,WBS_CBS!$A$5:$A$16,0)),""))</f>
        <v/>
      </c>
      <c r="X67" s="150">
        <f>IF($D67="","",IFERROR(INDEX(WBS_CBS!$F$5:$F$16,MATCH($D67,WBS_CBS!$A$5:$A$16,0)),""))</f>
        <v/>
      </c>
      <c r="Y67" s="149" t="n"/>
      <c r="Z67" s="149" t="n"/>
      <c r="AA67" s="150">
        <f>IF($D67="","",IFERROR(INDEX(WBS_CBS!$L$5:$L$16,MATCH($D67,WBS_CBS!$A$5:$A$16,0)),""))</f>
        <v/>
      </c>
      <c r="AB67" s="149" t="n"/>
    </row>
    <row r="68">
      <c r="A68" s="149" t="n"/>
      <c r="B68" s="149" t="n"/>
      <c r="C68" s="150">
        <f>IF($D68="","",IFERROR(INDEX(WBS_CBS!$E$5:$E$16,MATCH($D68,WBS_CBS!$A$5:$A$16,0)),""))</f>
        <v/>
      </c>
      <c r="D68" s="149" t="n"/>
      <c r="E68" s="150">
        <f>IF($D68="","",IFERROR(INDEX(WBS_CBS!$C$5:$C$16,MATCH($D68,WBS_CBS!$A$5:$A$16,0)),""))</f>
        <v/>
      </c>
      <c r="F68" s="150">
        <f>IF($D68="","",IFERROR(INDEX(WBS_CBS!$J$5:$J$16,MATCH($D68,WBS_CBS!$A$5:$A$16,0)),""))</f>
        <v/>
      </c>
      <c r="G68" s="149" t="n"/>
      <c r="H68" s="151" t="n"/>
      <c r="I68" s="149" t="n"/>
      <c r="J68" s="152" t="n"/>
      <c r="K68" s="149" t="n"/>
      <c r="L68" s="153">
        <f>IF($K68="","",IFERROR(INDEX(FX_Rates!$B$5:$B$14,MATCH($K68,FX_Rates!$A$5:$A$14,0)),""))</f>
        <v/>
      </c>
      <c r="M68" s="153">
        <f>IF(OR($H68="",$J68=""),"",$H68*$J68)</f>
        <v/>
      </c>
      <c r="N68" s="153">
        <f>IF(OR($M68="",$L68=""),"",$M68*$L68)</f>
        <v/>
      </c>
      <c r="O68" s="149" t="n"/>
      <c r="P68" s="154">
        <f>IF($O68="","",IFERROR(INDEX(Basis_of_Estimate!$C$5:$C$9,MATCH($O68,Basis_of_Estimate!$A$5:$A$9,0)),""))</f>
        <v/>
      </c>
      <c r="Q68" s="154">
        <f>IF($O68="","",IFERROR(INDEX(Basis_of_Estimate!$D$5:$D$9,MATCH($O68,Basis_of_Estimate!$A$5:$A$9,0)),""))</f>
        <v/>
      </c>
      <c r="R68" s="153">
        <f>IF($N68="","",$N68*(1+$P68))</f>
        <v/>
      </c>
      <c r="S68" s="153">
        <f>IF($N68="","",$N68)</f>
        <v/>
      </c>
      <c r="T68" s="153">
        <f>IF($N68="","",$N68*(1+$Q68))</f>
        <v/>
      </c>
      <c r="U68" s="150">
        <f>IF($D68="","",IFERROR(INDEX(WBS_CBS!$M$5:$M$16,MATCH($D68,WBS_CBS!$A$5:$A$16,0)),"Yes"))</f>
        <v/>
      </c>
      <c r="V68" s="150">
        <f>IF($D68="","",IFERROR(INDEX(WBS_CBS!$N$5:$N$16,MATCH($D68,WBS_CBS!$A$5:$A$16,0)),"Yes"))</f>
        <v/>
      </c>
      <c r="W68" s="150">
        <f>IF($D68="","",IFERROR(INDEX(WBS_CBS!$K$5:$K$16,MATCH($D68,WBS_CBS!$A$5:$A$16,0)),""))</f>
        <v/>
      </c>
      <c r="X68" s="150">
        <f>IF($D68="","",IFERROR(INDEX(WBS_CBS!$F$5:$F$16,MATCH($D68,WBS_CBS!$A$5:$A$16,0)),""))</f>
        <v/>
      </c>
      <c r="Y68" s="149" t="n"/>
      <c r="Z68" s="149" t="n"/>
      <c r="AA68" s="150">
        <f>IF($D68="","",IFERROR(INDEX(WBS_CBS!$L$5:$L$16,MATCH($D68,WBS_CBS!$A$5:$A$16,0)),""))</f>
        <v/>
      </c>
      <c r="AB68" s="149" t="n"/>
    </row>
    <row r="69">
      <c r="A69" s="149" t="n"/>
      <c r="B69" s="149" t="n"/>
      <c r="C69" s="150">
        <f>IF($D69="","",IFERROR(INDEX(WBS_CBS!$E$5:$E$16,MATCH($D69,WBS_CBS!$A$5:$A$16,0)),""))</f>
        <v/>
      </c>
      <c r="D69" s="149" t="n"/>
      <c r="E69" s="150">
        <f>IF($D69="","",IFERROR(INDEX(WBS_CBS!$C$5:$C$16,MATCH($D69,WBS_CBS!$A$5:$A$16,0)),""))</f>
        <v/>
      </c>
      <c r="F69" s="150">
        <f>IF($D69="","",IFERROR(INDEX(WBS_CBS!$J$5:$J$16,MATCH($D69,WBS_CBS!$A$5:$A$16,0)),""))</f>
        <v/>
      </c>
      <c r="G69" s="149" t="n"/>
      <c r="H69" s="151" t="n"/>
      <c r="I69" s="149" t="n"/>
      <c r="J69" s="152" t="n"/>
      <c r="K69" s="149" t="n"/>
      <c r="L69" s="153">
        <f>IF($K69="","",IFERROR(INDEX(FX_Rates!$B$5:$B$14,MATCH($K69,FX_Rates!$A$5:$A$14,0)),""))</f>
        <v/>
      </c>
      <c r="M69" s="153">
        <f>IF(OR($H69="",$J69=""),"",$H69*$J69)</f>
        <v/>
      </c>
      <c r="N69" s="153">
        <f>IF(OR($M69="",$L69=""),"",$M69*$L69)</f>
        <v/>
      </c>
      <c r="O69" s="149" t="n"/>
      <c r="P69" s="154">
        <f>IF($O69="","",IFERROR(INDEX(Basis_of_Estimate!$C$5:$C$9,MATCH($O69,Basis_of_Estimate!$A$5:$A$9,0)),""))</f>
        <v/>
      </c>
      <c r="Q69" s="154">
        <f>IF($O69="","",IFERROR(INDEX(Basis_of_Estimate!$D$5:$D$9,MATCH($O69,Basis_of_Estimate!$A$5:$A$9,0)),""))</f>
        <v/>
      </c>
      <c r="R69" s="153">
        <f>IF($N69="","",$N69*(1+$P69))</f>
        <v/>
      </c>
      <c r="S69" s="153">
        <f>IF($N69="","",$N69)</f>
        <v/>
      </c>
      <c r="T69" s="153">
        <f>IF($N69="","",$N69*(1+$Q69))</f>
        <v/>
      </c>
      <c r="U69" s="150">
        <f>IF($D69="","",IFERROR(INDEX(WBS_CBS!$M$5:$M$16,MATCH($D69,WBS_CBS!$A$5:$A$16,0)),"Yes"))</f>
        <v/>
      </c>
      <c r="V69" s="150">
        <f>IF($D69="","",IFERROR(INDEX(WBS_CBS!$N$5:$N$16,MATCH($D69,WBS_CBS!$A$5:$A$16,0)),"Yes"))</f>
        <v/>
      </c>
      <c r="W69" s="150">
        <f>IF($D69="","",IFERROR(INDEX(WBS_CBS!$K$5:$K$16,MATCH($D69,WBS_CBS!$A$5:$A$16,0)),""))</f>
        <v/>
      </c>
      <c r="X69" s="150">
        <f>IF($D69="","",IFERROR(INDEX(WBS_CBS!$F$5:$F$16,MATCH($D69,WBS_CBS!$A$5:$A$16,0)),""))</f>
        <v/>
      </c>
      <c r="Y69" s="149" t="n"/>
      <c r="Z69" s="149" t="n"/>
      <c r="AA69" s="150">
        <f>IF($D69="","",IFERROR(INDEX(WBS_CBS!$L$5:$L$16,MATCH($D69,WBS_CBS!$A$5:$A$16,0)),""))</f>
        <v/>
      </c>
      <c r="AB69" s="149" t="n"/>
    </row>
    <row r="70">
      <c r="A70" s="149" t="n"/>
      <c r="B70" s="149" t="n"/>
      <c r="C70" s="150">
        <f>IF($D70="","",IFERROR(INDEX(WBS_CBS!$E$5:$E$16,MATCH($D70,WBS_CBS!$A$5:$A$16,0)),""))</f>
        <v/>
      </c>
      <c r="D70" s="149" t="n"/>
      <c r="E70" s="150">
        <f>IF($D70="","",IFERROR(INDEX(WBS_CBS!$C$5:$C$16,MATCH($D70,WBS_CBS!$A$5:$A$16,0)),""))</f>
        <v/>
      </c>
      <c r="F70" s="150">
        <f>IF($D70="","",IFERROR(INDEX(WBS_CBS!$J$5:$J$16,MATCH($D70,WBS_CBS!$A$5:$A$16,0)),""))</f>
        <v/>
      </c>
      <c r="G70" s="149" t="n"/>
      <c r="H70" s="151" t="n"/>
      <c r="I70" s="149" t="n"/>
      <c r="J70" s="152" t="n"/>
      <c r="K70" s="149" t="n"/>
      <c r="L70" s="153">
        <f>IF($K70="","",IFERROR(INDEX(FX_Rates!$B$5:$B$14,MATCH($K70,FX_Rates!$A$5:$A$14,0)),""))</f>
        <v/>
      </c>
      <c r="M70" s="153">
        <f>IF(OR($H70="",$J70=""),"",$H70*$J70)</f>
        <v/>
      </c>
      <c r="N70" s="153">
        <f>IF(OR($M70="",$L70=""),"",$M70*$L70)</f>
        <v/>
      </c>
      <c r="O70" s="149" t="n"/>
      <c r="P70" s="154">
        <f>IF($O70="","",IFERROR(INDEX(Basis_of_Estimate!$C$5:$C$9,MATCH($O70,Basis_of_Estimate!$A$5:$A$9,0)),""))</f>
        <v/>
      </c>
      <c r="Q70" s="154">
        <f>IF($O70="","",IFERROR(INDEX(Basis_of_Estimate!$D$5:$D$9,MATCH($O70,Basis_of_Estimate!$A$5:$A$9,0)),""))</f>
        <v/>
      </c>
      <c r="R70" s="153">
        <f>IF($N70="","",$N70*(1+$P70))</f>
        <v/>
      </c>
      <c r="S70" s="153">
        <f>IF($N70="","",$N70)</f>
        <v/>
      </c>
      <c r="T70" s="153">
        <f>IF($N70="","",$N70*(1+$Q70))</f>
        <v/>
      </c>
      <c r="U70" s="150">
        <f>IF($D70="","",IFERROR(INDEX(WBS_CBS!$M$5:$M$16,MATCH($D70,WBS_CBS!$A$5:$A$16,0)),"Yes"))</f>
        <v/>
      </c>
      <c r="V70" s="150">
        <f>IF($D70="","",IFERROR(INDEX(WBS_CBS!$N$5:$N$16,MATCH($D70,WBS_CBS!$A$5:$A$16,0)),"Yes"))</f>
        <v/>
      </c>
      <c r="W70" s="150">
        <f>IF($D70="","",IFERROR(INDEX(WBS_CBS!$K$5:$K$16,MATCH($D70,WBS_CBS!$A$5:$A$16,0)),""))</f>
        <v/>
      </c>
      <c r="X70" s="150">
        <f>IF($D70="","",IFERROR(INDEX(WBS_CBS!$F$5:$F$16,MATCH($D70,WBS_CBS!$A$5:$A$16,0)),""))</f>
        <v/>
      </c>
      <c r="Y70" s="149" t="n"/>
      <c r="Z70" s="149" t="n"/>
      <c r="AA70" s="150">
        <f>IF($D70="","",IFERROR(INDEX(WBS_CBS!$L$5:$L$16,MATCH($D70,WBS_CBS!$A$5:$A$16,0)),""))</f>
        <v/>
      </c>
      <c r="AB70" s="149" t="n"/>
    </row>
    <row r="71">
      <c r="A71" s="149" t="n"/>
      <c r="B71" s="149" t="n"/>
      <c r="C71" s="150">
        <f>IF($D71="","",IFERROR(INDEX(WBS_CBS!$E$5:$E$16,MATCH($D71,WBS_CBS!$A$5:$A$16,0)),""))</f>
        <v/>
      </c>
      <c r="D71" s="149" t="n"/>
      <c r="E71" s="150">
        <f>IF($D71="","",IFERROR(INDEX(WBS_CBS!$C$5:$C$16,MATCH($D71,WBS_CBS!$A$5:$A$16,0)),""))</f>
        <v/>
      </c>
      <c r="F71" s="150">
        <f>IF($D71="","",IFERROR(INDEX(WBS_CBS!$J$5:$J$16,MATCH($D71,WBS_CBS!$A$5:$A$16,0)),""))</f>
        <v/>
      </c>
      <c r="G71" s="149" t="n"/>
      <c r="H71" s="151" t="n"/>
      <c r="I71" s="149" t="n"/>
      <c r="J71" s="152" t="n"/>
      <c r="K71" s="149" t="n"/>
      <c r="L71" s="153">
        <f>IF($K71="","",IFERROR(INDEX(FX_Rates!$B$5:$B$14,MATCH($K71,FX_Rates!$A$5:$A$14,0)),""))</f>
        <v/>
      </c>
      <c r="M71" s="153">
        <f>IF(OR($H71="",$J71=""),"",$H71*$J71)</f>
        <v/>
      </c>
      <c r="N71" s="153">
        <f>IF(OR($M71="",$L71=""),"",$M71*$L71)</f>
        <v/>
      </c>
      <c r="O71" s="149" t="n"/>
      <c r="P71" s="154">
        <f>IF($O71="","",IFERROR(INDEX(Basis_of_Estimate!$C$5:$C$9,MATCH($O71,Basis_of_Estimate!$A$5:$A$9,0)),""))</f>
        <v/>
      </c>
      <c r="Q71" s="154">
        <f>IF($O71="","",IFERROR(INDEX(Basis_of_Estimate!$D$5:$D$9,MATCH($O71,Basis_of_Estimate!$A$5:$A$9,0)),""))</f>
        <v/>
      </c>
      <c r="R71" s="153">
        <f>IF($N71="","",$N71*(1+$P71))</f>
        <v/>
      </c>
      <c r="S71" s="153">
        <f>IF($N71="","",$N71)</f>
        <v/>
      </c>
      <c r="T71" s="153">
        <f>IF($N71="","",$N71*(1+$Q71))</f>
        <v/>
      </c>
      <c r="U71" s="150">
        <f>IF($D71="","",IFERROR(INDEX(WBS_CBS!$M$5:$M$16,MATCH($D71,WBS_CBS!$A$5:$A$16,0)),"Yes"))</f>
        <v/>
      </c>
      <c r="V71" s="150">
        <f>IF($D71="","",IFERROR(INDEX(WBS_CBS!$N$5:$N$16,MATCH($D71,WBS_CBS!$A$5:$A$16,0)),"Yes"))</f>
        <v/>
      </c>
      <c r="W71" s="150">
        <f>IF($D71="","",IFERROR(INDEX(WBS_CBS!$K$5:$K$16,MATCH($D71,WBS_CBS!$A$5:$A$16,0)),""))</f>
        <v/>
      </c>
      <c r="X71" s="150">
        <f>IF($D71="","",IFERROR(INDEX(WBS_CBS!$F$5:$F$16,MATCH($D71,WBS_CBS!$A$5:$A$16,0)),""))</f>
        <v/>
      </c>
      <c r="Y71" s="149" t="n"/>
      <c r="Z71" s="149" t="n"/>
      <c r="AA71" s="150">
        <f>IF($D71="","",IFERROR(INDEX(WBS_CBS!$L$5:$L$16,MATCH($D71,WBS_CBS!$A$5:$A$16,0)),""))</f>
        <v/>
      </c>
      <c r="AB71" s="149" t="n"/>
    </row>
    <row r="72">
      <c r="A72" s="149" t="n"/>
      <c r="B72" s="149" t="n"/>
      <c r="C72" s="150">
        <f>IF($D72="","",IFERROR(INDEX(WBS_CBS!$E$5:$E$16,MATCH($D72,WBS_CBS!$A$5:$A$16,0)),""))</f>
        <v/>
      </c>
      <c r="D72" s="149" t="n"/>
      <c r="E72" s="150">
        <f>IF($D72="","",IFERROR(INDEX(WBS_CBS!$C$5:$C$16,MATCH($D72,WBS_CBS!$A$5:$A$16,0)),""))</f>
        <v/>
      </c>
      <c r="F72" s="150">
        <f>IF($D72="","",IFERROR(INDEX(WBS_CBS!$J$5:$J$16,MATCH($D72,WBS_CBS!$A$5:$A$16,0)),""))</f>
        <v/>
      </c>
      <c r="G72" s="149" t="n"/>
      <c r="H72" s="151" t="n"/>
      <c r="I72" s="149" t="n"/>
      <c r="J72" s="152" t="n"/>
      <c r="K72" s="149" t="n"/>
      <c r="L72" s="153">
        <f>IF($K72="","",IFERROR(INDEX(FX_Rates!$B$5:$B$14,MATCH($K72,FX_Rates!$A$5:$A$14,0)),""))</f>
        <v/>
      </c>
      <c r="M72" s="153">
        <f>IF(OR($H72="",$J72=""),"",$H72*$J72)</f>
        <v/>
      </c>
      <c r="N72" s="153">
        <f>IF(OR($M72="",$L72=""),"",$M72*$L72)</f>
        <v/>
      </c>
      <c r="O72" s="149" t="n"/>
      <c r="P72" s="154">
        <f>IF($O72="","",IFERROR(INDEX(Basis_of_Estimate!$C$5:$C$9,MATCH($O72,Basis_of_Estimate!$A$5:$A$9,0)),""))</f>
        <v/>
      </c>
      <c r="Q72" s="154">
        <f>IF($O72="","",IFERROR(INDEX(Basis_of_Estimate!$D$5:$D$9,MATCH($O72,Basis_of_Estimate!$A$5:$A$9,0)),""))</f>
        <v/>
      </c>
      <c r="R72" s="153">
        <f>IF($N72="","",$N72*(1+$P72))</f>
        <v/>
      </c>
      <c r="S72" s="153">
        <f>IF($N72="","",$N72)</f>
        <v/>
      </c>
      <c r="T72" s="153">
        <f>IF($N72="","",$N72*(1+$Q72))</f>
        <v/>
      </c>
      <c r="U72" s="150">
        <f>IF($D72="","",IFERROR(INDEX(WBS_CBS!$M$5:$M$16,MATCH($D72,WBS_CBS!$A$5:$A$16,0)),"Yes"))</f>
        <v/>
      </c>
      <c r="V72" s="150">
        <f>IF($D72="","",IFERROR(INDEX(WBS_CBS!$N$5:$N$16,MATCH($D72,WBS_CBS!$A$5:$A$16,0)),"Yes"))</f>
        <v/>
      </c>
      <c r="W72" s="150">
        <f>IF($D72="","",IFERROR(INDEX(WBS_CBS!$K$5:$K$16,MATCH($D72,WBS_CBS!$A$5:$A$16,0)),""))</f>
        <v/>
      </c>
      <c r="X72" s="150">
        <f>IF($D72="","",IFERROR(INDEX(WBS_CBS!$F$5:$F$16,MATCH($D72,WBS_CBS!$A$5:$A$16,0)),""))</f>
        <v/>
      </c>
      <c r="Y72" s="149" t="n"/>
      <c r="Z72" s="149" t="n"/>
      <c r="AA72" s="150">
        <f>IF($D72="","",IFERROR(INDEX(WBS_CBS!$L$5:$L$16,MATCH($D72,WBS_CBS!$A$5:$A$16,0)),""))</f>
        <v/>
      </c>
      <c r="AB72" s="149" t="n"/>
    </row>
    <row r="73">
      <c r="A73" s="149" t="n"/>
      <c r="B73" s="149" t="n"/>
      <c r="C73" s="150">
        <f>IF($D73="","",IFERROR(INDEX(WBS_CBS!$E$5:$E$16,MATCH($D73,WBS_CBS!$A$5:$A$16,0)),""))</f>
        <v/>
      </c>
      <c r="D73" s="149" t="n"/>
      <c r="E73" s="150">
        <f>IF($D73="","",IFERROR(INDEX(WBS_CBS!$C$5:$C$16,MATCH($D73,WBS_CBS!$A$5:$A$16,0)),""))</f>
        <v/>
      </c>
      <c r="F73" s="150">
        <f>IF($D73="","",IFERROR(INDEX(WBS_CBS!$J$5:$J$16,MATCH($D73,WBS_CBS!$A$5:$A$16,0)),""))</f>
        <v/>
      </c>
      <c r="G73" s="149" t="n"/>
      <c r="H73" s="151" t="n"/>
      <c r="I73" s="149" t="n"/>
      <c r="J73" s="152" t="n"/>
      <c r="K73" s="149" t="n"/>
      <c r="L73" s="153">
        <f>IF($K73="","",IFERROR(INDEX(FX_Rates!$B$5:$B$14,MATCH($K73,FX_Rates!$A$5:$A$14,0)),""))</f>
        <v/>
      </c>
      <c r="M73" s="153">
        <f>IF(OR($H73="",$J73=""),"",$H73*$J73)</f>
        <v/>
      </c>
      <c r="N73" s="153">
        <f>IF(OR($M73="",$L73=""),"",$M73*$L73)</f>
        <v/>
      </c>
      <c r="O73" s="149" t="n"/>
      <c r="P73" s="154">
        <f>IF($O73="","",IFERROR(INDEX(Basis_of_Estimate!$C$5:$C$9,MATCH($O73,Basis_of_Estimate!$A$5:$A$9,0)),""))</f>
        <v/>
      </c>
      <c r="Q73" s="154">
        <f>IF($O73="","",IFERROR(INDEX(Basis_of_Estimate!$D$5:$D$9,MATCH($O73,Basis_of_Estimate!$A$5:$A$9,0)),""))</f>
        <v/>
      </c>
      <c r="R73" s="153">
        <f>IF($N73="","",$N73*(1+$P73))</f>
        <v/>
      </c>
      <c r="S73" s="153">
        <f>IF($N73="","",$N73)</f>
        <v/>
      </c>
      <c r="T73" s="153">
        <f>IF($N73="","",$N73*(1+$Q73))</f>
        <v/>
      </c>
      <c r="U73" s="150">
        <f>IF($D73="","",IFERROR(INDEX(WBS_CBS!$M$5:$M$16,MATCH($D73,WBS_CBS!$A$5:$A$16,0)),"Yes"))</f>
        <v/>
      </c>
      <c r="V73" s="150">
        <f>IF($D73="","",IFERROR(INDEX(WBS_CBS!$N$5:$N$16,MATCH($D73,WBS_CBS!$A$5:$A$16,0)),"Yes"))</f>
        <v/>
      </c>
      <c r="W73" s="150">
        <f>IF($D73="","",IFERROR(INDEX(WBS_CBS!$K$5:$K$16,MATCH($D73,WBS_CBS!$A$5:$A$16,0)),""))</f>
        <v/>
      </c>
      <c r="X73" s="150">
        <f>IF($D73="","",IFERROR(INDEX(WBS_CBS!$F$5:$F$16,MATCH($D73,WBS_CBS!$A$5:$A$16,0)),""))</f>
        <v/>
      </c>
      <c r="Y73" s="149" t="n"/>
      <c r="Z73" s="149" t="n"/>
      <c r="AA73" s="150">
        <f>IF($D73="","",IFERROR(INDEX(WBS_CBS!$L$5:$L$16,MATCH($D73,WBS_CBS!$A$5:$A$16,0)),""))</f>
        <v/>
      </c>
      <c r="AB73" s="149" t="n"/>
    </row>
    <row r="74">
      <c r="A74" s="149" t="n"/>
      <c r="B74" s="149" t="n"/>
      <c r="C74" s="150">
        <f>IF($D74="","",IFERROR(INDEX(WBS_CBS!$E$5:$E$16,MATCH($D74,WBS_CBS!$A$5:$A$16,0)),""))</f>
        <v/>
      </c>
      <c r="D74" s="149" t="n"/>
      <c r="E74" s="150">
        <f>IF($D74="","",IFERROR(INDEX(WBS_CBS!$C$5:$C$16,MATCH($D74,WBS_CBS!$A$5:$A$16,0)),""))</f>
        <v/>
      </c>
      <c r="F74" s="150">
        <f>IF($D74="","",IFERROR(INDEX(WBS_CBS!$J$5:$J$16,MATCH($D74,WBS_CBS!$A$5:$A$16,0)),""))</f>
        <v/>
      </c>
      <c r="G74" s="149" t="n"/>
      <c r="H74" s="151" t="n"/>
      <c r="I74" s="149" t="n"/>
      <c r="J74" s="152" t="n"/>
      <c r="K74" s="149" t="n"/>
      <c r="L74" s="153">
        <f>IF($K74="","",IFERROR(INDEX(FX_Rates!$B$5:$B$14,MATCH($K74,FX_Rates!$A$5:$A$14,0)),""))</f>
        <v/>
      </c>
      <c r="M74" s="153">
        <f>IF(OR($H74="",$J74=""),"",$H74*$J74)</f>
        <v/>
      </c>
      <c r="N74" s="153">
        <f>IF(OR($M74="",$L74=""),"",$M74*$L74)</f>
        <v/>
      </c>
      <c r="O74" s="149" t="n"/>
      <c r="P74" s="154">
        <f>IF($O74="","",IFERROR(INDEX(Basis_of_Estimate!$C$5:$C$9,MATCH($O74,Basis_of_Estimate!$A$5:$A$9,0)),""))</f>
        <v/>
      </c>
      <c r="Q74" s="154">
        <f>IF($O74="","",IFERROR(INDEX(Basis_of_Estimate!$D$5:$D$9,MATCH($O74,Basis_of_Estimate!$A$5:$A$9,0)),""))</f>
        <v/>
      </c>
      <c r="R74" s="153">
        <f>IF($N74="","",$N74*(1+$P74))</f>
        <v/>
      </c>
      <c r="S74" s="153">
        <f>IF($N74="","",$N74)</f>
        <v/>
      </c>
      <c r="T74" s="153">
        <f>IF($N74="","",$N74*(1+$Q74))</f>
        <v/>
      </c>
      <c r="U74" s="150">
        <f>IF($D74="","",IFERROR(INDEX(WBS_CBS!$M$5:$M$16,MATCH($D74,WBS_CBS!$A$5:$A$16,0)),"Yes"))</f>
        <v/>
      </c>
      <c r="V74" s="150">
        <f>IF($D74="","",IFERROR(INDEX(WBS_CBS!$N$5:$N$16,MATCH($D74,WBS_CBS!$A$5:$A$16,0)),"Yes"))</f>
        <v/>
      </c>
      <c r="W74" s="150">
        <f>IF($D74="","",IFERROR(INDEX(WBS_CBS!$K$5:$K$16,MATCH($D74,WBS_CBS!$A$5:$A$16,0)),""))</f>
        <v/>
      </c>
      <c r="X74" s="150">
        <f>IF($D74="","",IFERROR(INDEX(WBS_CBS!$F$5:$F$16,MATCH($D74,WBS_CBS!$A$5:$A$16,0)),""))</f>
        <v/>
      </c>
      <c r="Y74" s="149" t="n"/>
      <c r="Z74" s="149" t="n"/>
      <c r="AA74" s="150">
        <f>IF($D74="","",IFERROR(INDEX(WBS_CBS!$L$5:$L$16,MATCH($D74,WBS_CBS!$A$5:$A$16,0)),""))</f>
        <v/>
      </c>
      <c r="AB74" s="149" t="n"/>
    </row>
    <row r="75">
      <c r="A75" s="149" t="n"/>
      <c r="B75" s="149" t="n"/>
      <c r="C75" s="150">
        <f>IF($D75="","",IFERROR(INDEX(WBS_CBS!$E$5:$E$16,MATCH($D75,WBS_CBS!$A$5:$A$16,0)),""))</f>
        <v/>
      </c>
      <c r="D75" s="149" t="n"/>
      <c r="E75" s="150">
        <f>IF($D75="","",IFERROR(INDEX(WBS_CBS!$C$5:$C$16,MATCH($D75,WBS_CBS!$A$5:$A$16,0)),""))</f>
        <v/>
      </c>
      <c r="F75" s="150">
        <f>IF($D75="","",IFERROR(INDEX(WBS_CBS!$J$5:$J$16,MATCH($D75,WBS_CBS!$A$5:$A$16,0)),""))</f>
        <v/>
      </c>
      <c r="G75" s="149" t="n"/>
      <c r="H75" s="151" t="n"/>
      <c r="I75" s="149" t="n"/>
      <c r="J75" s="152" t="n"/>
      <c r="K75" s="149" t="n"/>
      <c r="L75" s="153">
        <f>IF($K75="","",IFERROR(INDEX(FX_Rates!$B$5:$B$14,MATCH($K75,FX_Rates!$A$5:$A$14,0)),""))</f>
        <v/>
      </c>
      <c r="M75" s="153">
        <f>IF(OR($H75="",$J75=""),"",$H75*$J75)</f>
        <v/>
      </c>
      <c r="N75" s="153">
        <f>IF(OR($M75="",$L75=""),"",$M75*$L75)</f>
        <v/>
      </c>
      <c r="O75" s="149" t="n"/>
      <c r="P75" s="154">
        <f>IF($O75="","",IFERROR(INDEX(Basis_of_Estimate!$C$5:$C$9,MATCH($O75,Basis_of_Estimate!$A$5:$A$9,0)),""))</f>
        <v/>
      </c>
      <c r="Q75" s="154">
        <f>IF($O75="","",IFERROR(INDEX(Basis_of_Estimate!$D$5:$D$9,MATCH($O75,Basis_of_Estimate!$A$5:$A$9,0)),""))</f>
        <v/>
      </c>
      <c r="R75" s="153">
        <f>IF($N75="","",$N75*(1+$P75))</f>
        <v/>
      </c>
      <c r="S75" s="153">
        <f>IF($N75="","",$N75)</f>
        <v/>
      </c>
      <c r="T75" s="153">
        <f>IF($N75="","",$N75*(1+$Q75))</f>
        <v/>
      </c>
      <c r="U75" s="150">
        <f>IF($D75="","",IFERROR(INDEX(WBS_CBS!$M$5:$M$16,MATCH($D75,WBS_CBS!$A$5:$A$16,0)),"Yes"))</f>
        <v/>
      </c>
      <c r="V75" s="150">
        <f>IF($D75="","",IFERROR(INDEX(WBS_CBS!$N$5:$N$16,MATCH($D75,WBS_CBS!$A$5:$A$16,0)),"Yes"))</f>
        <v/>
      </c>
      <c r="W75" s="150">
        <f>IF($D75="","",IFERROR(INDEX(WBS_CBS!$K$5:$K$16,MATCH($D75,WBS_CBS!$A$5:$A$16,0)),""))</f>
        <v/>
      </c>
      <c r="X75" s="150">
        <f>IF($D75="","",IFERROR(INDEX(WBS_CBS!$F$5:$F$16,MATCH($D75,WBS_CBS!$A$5:$A$16,0)),""))</f>
        <v/>
      </c>
      <c r="Y75" s="149" t="n"/>
      <c r="Z75" s="149" t="n"/>
      <c r="AA75" s="150">
        <f>IF($D75="","",IFERROR(INDEX(WBS_CBS!$L$5:$L$16,MATCH($D75,WBS_CBS!$A$5:$A$16,0)),""))</f>
        <v/>
      </c>
      <c r="AB75" s="149" t="n"/>
    </row>
    <row r="76">
      <c r="A76" s="149" t="n"/>
      <c r="B76" s="149" t="n"/>
      <c r="C76" s="150">
        <f>IF($D76="","",IFERROR(INDEX(WBS_CBS!$E$5:$E$16,MATCH($D76,WBS_CBS!$A$5:$A$16,0)),""))</f>
        <v/>
      </c>
      <c r="D76" s="149" t="n"/>
      <c r="E76" s="150">
        <f>IF($D76="","",IFERROR(INDEX(WBS_CBS!$C$5:$C$16,MATCH($D76,WBS_CBS!$A$5:$A$16,0)),""))</f>
        <v/>
      </c>
      <c r="F76" s="150">
        <f>IF($D76="","",IFERROR(INDEX(WBS_CBS!$J$5:$J$16,MATCH($D76,WBS_CBS!$A$5:$A$16,0)),""))</f>
        <v/>
      </c>
      <c r="G76" s="149" t="n"/>
      <c r="H76" s="151" t="n"/>
      <c r="I76" s="149" t="n"/>
      <c r="J76" s="152" t="n"/>
      <c r="K76" s="149" t="n"/>
      <c r="L76" s="153">
        <f>IF($K76="","",IFERROR(INDEX(FX_Rates!$B$5:$B$14,MATCH($K76,FX_Rates!$A$5:$A$14,0)),""))</f>
        <v/>
      </c>
      <c r="M76" s="153">
        <f>IF(OR($H76="",$J76=""),"",$H76*$J76)</f>
        <v/>
      </c>
      <c r="N76" s="153">
        <f>IF(OR($M76="",$L76=""),"",$M76*$L76)</f>
        <v/>
      </c>
      <c r="O76" s="149" t="n"/>
      <c r="P76" s="154">
        <f>IF($O76="","",IFERROR(INDEX(Basis_of_Estimate!$C$5:$C$9,MATCH($O76,Basis_of_Estimate!$A$5:$A$9,0)),""))</f>
        <v/>
      </c>
      <c r="Q76" s="154">
        <f>IF($O76="","",IFERROR(INDEX(Basis_of_Estimate!$D$5:$D$9,MATCH($O76,Basis_of_Estimate!$A$5:$A$9,0)),""))</f>
        <v/>
      </c>
      <c r="R76" s="153">
        <f>IF($N76="","",$N76*(1+$P76))</f>
        <v/>
      </c>
      <c r="S76" s="153">
        <f>IF($N76="","",$N76)</f>
        <v/>
      </c>
      <c r="T76" s="153">
        <f>IF($N76="","",$N76*(1+$Q76))</f>
        <v/>
      </c>
      <c r="U76" s="150">
        <f>IF($D76="","",IFERROR(INDEX(WBS_CBS!$M$5:$M$16,MATCH($D76,WBS_CBS!$A$5:$A$16,0)),"Yes"))</f>
        <v/>
      </c>
      <c r="V76" s="150">
        <f>IF($D76="","",IFERROR(INDEX(WBS_CBS!$N$5:$N$16,MATCH($D76,WBS_CBS!$A$5:$A$16,0)),"Yes"))</f>
        <v/>
      </c>
      <c r="W76" s="150">
        <f>IF($D76="","",IFERROR(INDEX(WBS_CBS!$K$5:$K$16,MATCH($D76,WBS_CBS!$A$5:$A$16,0)),""))</f>
        <v/>
      </c>
      <c r="X76" s="150">
        <f>IF($D76="","",IFERROR(INDEX(WBS_CBS!$F$5:$F$16,MATCH($D76,WBS_CBS!$A$5:$A$16,0)),""))</f>
        <v/>
      </c>
      <c r="Y76" s="149" t="n"/>
      <c r="Z76" s="149" t="n"/>
      <c r="AA76" s="150">
        <f>IF($D76="","",IFERROR(INDEX(WBS_CBS!$L$5:$L$16,MATCH($D76,WBS_CBS!$A$5:$A$16,0)),""))</f>
        <v/>
      </c>
      <c r="AB76" s="149" t="n"/>
    </row>
    <row r="77">
      <c r="A77" s="149" t="n"/>
      <c r="B77" s="149" t="n"/>
      <c r="C77" s="150">
        <f>IF($D77="","",IFERROR(INDEX(WBS_CBS!$E$5:$E$16,MATCH($D77,WBS_CBS!$A$5:$A$16,0)),""))</f>
        <v/>
      </c>
      <c r="D77" s="149" t="n"/>
      <c r="E77" s="150">
        <f>IF($D77="","",IFERROR(INDEX(WBS_CBS!$C$5:$C$16,MATCH($D77,WBS_CBS!$A$5:$A$16,0)),""))</f>
        <v/>
      </c>
      <c r="F77" s="150">
        <f>IF($D77="","",IFERROR(INDEX(WBS_CBS!$J$5:$J$16,MATCH($D77,WBS_CBS!$A$5:$A$16,0)),""))</f>
        <v/>
      </c>
      <c r="G77" s="149" t="n"/>
      <c r="H77" s="151" t="n"/>
      <c r="I77" s="149" t="n"/>
      <c r="J77" s="152" t="n"/>
      <c r="K77" s="149" t="n"/>
      <c r="L77" s="153">
        <f>IF($K77="","",IFERROR(INDEX(FX_Rates!$B$5:$B$14,MATCH($K77,FX_Rates!$A$5:$A$14,0)),""))</f>
        <v/>
      </c>
      <c r="M77" s="153">
        <f>IF(OR($H77="",$J77=""),"",$H77*$J77)</f>
        <v/>
      </c>
      <c r="N77" s="153">
        <f>IF(OR($M77="",$L77=""),"",$M77*$L77)</f>
        <v/>
      </c>
      <c r="O77" s="149" t="n"/>
      <c r="P77" s="154">
        <f>IF($O77="","",IFERROR(INDEX(Basis_of_Estimate!$C$5:$C$9,MATCH($O77,Basis_of_Estimate!$A$5:$A$9,0)),""))</f>
        <v/>
      </c>
      <c r="Q77" s="154">
        <f>IF($O77="","",IFERROR(INDEX(Basis_of_Estimate!$D$5:$D$9,MATCH($O77,Basis_of_Estimate!$A$5:$A$9,0)),""))</f>
        <v/>
      </c>
      <c r="R77" s="153">
        <f>IF($N77="","",$N77*(1+$P77))</f>
        <v/>
      </c>
      <c r="S77" s="153">
        <f>IF($N77="","",$N77)</f>
        <v/>
      </c>
      <c r="T77" s="153">
        <f>IF($N77="","",$N77*(1+$Q77))</f>
        <v/>
      </c>
      <c r="U77" s="150">
        <f>IF($D77="","",IFERROR(INDEX(WBS_CBS!$M$5:$M$16,MATCH($D77,WBS_CBS!$A$5:$A$16,0)),"Yes"))</f>
        <v/>
      </c>
      <c r="V77" s="150">
        <f>IF($D77="","",IFERROR(INDEX(WBS_CBS!$N$5:$N$16,MATCH($D77,WBS_CBS!$A$5:$A$16,0)),"Yes"))</f>
        <v/>
      </c>
      <c r="W77" s="150">
        <f>IF($D77="","",IFERROR(INDEX(WBS_CBS!$K$5:$K$16,MATCH($D77,WBS_CBS!$A$5:$A$16,0)),""))</f>
        <v/>
      </c>
      <c r="X77" s="150">
        <f>IF($D77="","",IFERROR(INDEX(WBS_CBS!$F$5:$F$16,MATCH($D77,WBS_CBS!$A$5:$A$16,0)),""))</f>
        <v/>
      </c>
      <c r="Y77" s="149" t="n"/>
      <c r="Z77" s="149" t="n"/>
      <c r="AA77" s="150">
        <f>IF($D77="","",IFERROR(INDEX(WBS_CBS!$L$5:$L$16,MATCH($D77,WBS_CBS!$A$5:$A$16,0)),""))</f>
        <v/>
      </c>
      <c r="AB77" s="149" t="n"/>
    </row>
    <row r="78">
      <c r="A78" s="149" t="n"/>
      <c r="B78" s="149" t="n"/>
      <c r="C78" s="150">
        <f>IF($D78="","",IFERROR(INDEX(WBS_CBS!$E$5:$E$16,MATCH($D78,WBS_CBS!$A$5:$A$16,0)),""))</f>
        <v/>
      </c>
      <c r="D78" s="149" t="n"/>
      <c r="E78" s="150">
        <f>IF($D78="","",IFERROR(INDEX(WBS_CBS!$C$5:$C$16,MATCH($D78,WBS_CBS!$A$5:$A$16,0)),""))</f>
        <v/>
      </c>
      <c r="F78" s="150">
        <f>IF($D78="","",IFERROR(INDEX(WBS_CBS!$J$5:$J$16,MATCH($D78,WBS_CBS!$A$5:$A$16,0)),""))</f>
        <v/>
      </c>
      <c r="G78" s="149" t="n"/>
      <c r="H78" s="151" t="n"/>
      <c r="I78" s="149" t="n"/>
      <c r="J78" s="152" t="n"/>
      <c r="K78" s="149" t="n"/>
      <c r="L78" s="153">
        <f>IF($K78="","",IFERROR(INDEX(FX_Rates!$B$5:$B$14,MATCH($K78,FX_Rates!$A$5:$A$14,0)),""))</f>
        <v/>
      </c>
      <c r="M78" s="153">
        <f>IF(OR($H78="",$J78=""),"",$H78*$J78)</f>
        <v/>
      </c>
      <c r="N78" s="153">
        <f>IF(OR($M78="",$L78=""),"",$M78*$L78)</f>
        <v/>
      </c>
      <c r="O78" s="149" t="n"/>
      <c r="P78" s="154">
        <f>IF($O78="","",IFERROR(INDEX(Basis_of_Estimate!$C$5:$C$9,MATCH($O78,Basis_of_Estimate!$A$5:$A$9,0)),""))</f>
        <v/>
      </c>
      <c r="Q78" s="154">
        <f>IF($O78="","",IFERROR(INDEX(Basis_of_Estimate!$D$5:$D$9,MATCH($O78,Basis_of_Estimate!$A$5:$A$9,0)),""))</f>
        <v/>
      </c>
      <c r="R78" s="153">
        <f>IF($N78="","",$N78*(1+$P78))</f>
        <v/>
      </c>
      <c r="S78" s="153">
        <f>IF($N78="","",$N78)</f>
        <v/>
      </c>
      <c r="T78" s="153">
        <f>IF($N78="","",$N78*(1+$Q78))</f>
        <v/>
      </c>
      <c r="U78" s="150">
        <f>IF($D78="","",IFERROR(INDEX(WBS_CBS!$M$5:$M$16,MATCH($D78,WBS_CBS!$A$5:$A$16,0)),"Yes"))</f>
        <v/>
      </c>
      <c r="V78" s="150">
        <f>IF($D78="","",IFERROR(INDEX(WBS_CBS!$N$5:$N$16,MATCH($D78,WBS_CBS!$A$5:$A$16,0)),"Yes"))</f>
        <v/>
      </c>
      <c r="W78" s="150">
        <f>IF($D78="","",IFERROR(INDEX(WBS_CBS!$K$5:$K$16,MATCH($D78,WBS_CBS!$A$5:$A$16,0)),""))</f>
        <v/>
      </c>
      <c r="X78" s="150">
        <f>IF($D78="","",IFERROR(INDEX(WBS_CBS!$F$5:$F$16,MATCH($D78,WBS_CBS!$A$5:$A$16,0)),""))</f>
        <v/>
      </c>
      <c r="Y78" s="149" t="n"/>
      <c r="Z78" s="149" t="n"/>
      <c r="AA78" s="150">
        <f>IF($D78="","",IFERROR(INDEX(WBS_CBS!$L$5:$L$16,MATCH($D78,WBS_CBS!$A$5:$A$16,0)),""))</f>
        <v/>
      </c>
      <c r="AB78" s="149" t="n"/>
    </row>
    <row r="79">
      <c r="A79" s="149" t="n"/>
      <c r="B79" s="149" t="n"/>
      <c r="C79" s="150">
        <f>IF($D79="","",IFERROR(INDEX(WBS_CBS!$E$5:$E$16,MATCH($D79,WBS_CBS!$A$5:$A$16,0)),""))</f>
        <v/>
      </c>
      <c r="D79" s="149" t="n"/>
      <c r="E79" s="150">
        <f>IF($D79="","",IFERROR(INDEX(WBS_CBS!$C$5:$C$16,MATCH($D79,WBS_CBS!$A$5:$A$16,0)),""))</f>
        <v/>
      </c>
      <c r="F79" s="150">
        <f>IF($D79="","",IFERROR(INDEX(WBS_CBS!$J$5:$J$16,MATCH($D79,WBS_CBS!$A$5:$A$16,0)),""))</f>
        <v/>
      </c>
      <c r="G79" s="149" t="n"/>
      <c r="H79" s="151" t="n"/>
      <c r="I79" s="149" t="n"/>
      <c r="J79" s="152" t="n"/>
      <c r="K79" s="149" t="n"/>
      <c r="L79" s="153">
        <f>IF($K79="","",IFERROR(INDEX(FX_Rates!$B$5:$B$14,MATCH($K79,FX_Rates!$A$5:$A$14,0)),""))</f>
        <v/>
      </c>
      <c r="M79" s="153">
        <f>IF(OR($H79="",$J79=""),"",$H79*$J79)</f>
        <v/>
      </c>
      <c r="N79" s="153">
        <f>IF(OR($M79="",$L79=""),"",$M79*$L79)</f>
        <v/>
      </c>
      <c r="O79" s="149" t="n"/>
      <c r="P79" s="154">
        <f>IF($O79="","",IFERROR(INDEX(Basis_of_Estimate!$C$5:$C$9,MATCH($O79,Basis_of_Estimate!$A$5:$A$9,0)),""))</f>
        <v/>
      </c>
      <c r="Q79" s="154">
        <f>IF($O79="","",IFERROR(INDEX(Basis_of_Estimate!$D$5:$D$9,MATCH($O79,Basis_of_Estimate!$A$5:$A$9,0)),""))</f>
        <v/>
      </c>
      <c r="R79" s="153">
        <f>IF($N79="","",$N79*(1+$P79))</f>
        <v/>
      </c>
      <c r="S79" s="153">
        <f>IF($N79="","",$N79)</f>
        <v/>
      </c>
      <c r="T79" s="153">
        <f>IF($N79="","",$N79*(1+$Q79))</f>
        <v/>
      </c>
      <c r="U79" s="150">
        <f>IF($D79="","",IFERROR(INDEX(WBS_CBS!$M$5:$M$16,MATCH($D79,WBS_CBS!$A$5:$A$16,0)),"Yes"))</f>
        <v/>
      </c>
      <c r="V79" s="150">
        <f>IF($D79="","",IFERROR(INDEX(WBS_CBS!$N$5:$N$16,MATCH($D79,WBS_CBS!$A$5:$A$16,0)),"Yes"))</f>
        <v/>
      </c>
      <c r="W79" s="150">
        <f>IF($D79="","",IFERROR(INDEX(WBS_CBS!$K$5:$K$16,MATCH($D79,WBS_CBS!$A$5:$A$16,0)),""))</f>
        <v/>
      </c>
      <c r="X79" s="150">
        <f>IF($D79="","",IFERROR(INDEX(WBS_CBS!$F$5:$F$16,MATCH($D79,WBS_CBS!$A$5:$A$16,0)),""))</f>
        <v/>
      </c>
      <c r="Y79" s="149" t="n"/>
      <c r="Z79" s="149" t="n"/>
      <c r="AA79" s="150">
        <f>IF($D79="","",IFERROR(INDEX(WBS_CBS!$L$5:$L$16,MATCH($D79,WBS_CBS!$A$5:$A$16,0)),""))</f>
        <v/>
      </c>
      <c r="AB79" s="149" t="n"/>
    </row>
    <row r="80">
      <c r="A80" s="149" t="n"/>
      <c r="B80" s="149" t="n"/>
      <c r="C80" s="150">
        <f>IF($D80="","",IFERROR(INDEX(WBS_CBS!$E$5:$E$16,MATCH($D80,WBS_CBS!$A$5:$A$16,0)),""))</f>
        <v/>
      </c>
      <c r="D80" s="149" t="n"/>
      <c r="E80" s="150">
        <f>IF($D80="","",IFERROR(INDEX(WBS_CBS!$C$5:$C$16,MATCH($D80,WBS_CBS!$A$5:$A$16,0)),""))</f>
        <v/>
      </c>
      <c r="F80" s="150">
        <f>IF($D80="","",IFERROR(INDEX(WBS_CBS!$J$5:$J$16,MATCH($D80,WBS_CBS!$A$5:$A$16,0)),""))</f>
        <v/>
      </c>
      <c r="G80" s="149" t="n"/>
      <c r="H80" s="151" t="n"/>
      <c r="I80" s="149" t="n"/>
      <c r="J80" s="152" t="n"/>
      <c r="K80" s="149" t="n"/>
      <c r="L80" s="153">
        <f>IF($K80="","",IFERROR(INDEX(FX_Rates!$B$5:$B$14,MATCH($K80,FX_Rates!$A$5:$A$14,0)),""))</f>
        <v/>
      </c>
      <c r="M80" s="153">
        <f>IF(OR($H80="",$J80=""),"",$H80*$J80)</f>
        <v/>
      </c>
      <c r="N80" s="153">
        <f>IF(OR($M80="",$L80=""),"",$M80*$L80)</f>
        <v/>
      </c>
      <c r="O80" s="149" t="n"/>
      <c r="P80" s="154">
        <f>IF($O80="","",IFERROR(INDEX(Basis_of_Estimate!$C$5:$C$9,MATCH($O80,Basis_of_Estimate!$A$5:$A$9,0)),""))</f>
        <v/>
      </c>
      <c r="Q80" s="154">
        <f>IF($O80="","",IFERROR(INDEX(Basis_of_Estimate!$D$5:$D$9,MATCH($O80,Basis_of_Estimate!$A$5:$A$9,0)),""))</f>
        <v/>
      </c>
      <c r="R80" s="153">
        <f>IF($N80="","",$N80*(1+$P80))</f>
        <v/>
      </c>
      <c r="S80" s="153">
        <f>IF($N80="","",$N80)</f>
        <v/>
      </c>
      <c r="T80" s="153">
        <f>IF($N80="","",$N80*(1+$Q80))</f>
        <v/>
      </c>
      <c r="U80" s="150">
        <f>IF($D80="","",IFERROR(INDEX(WBS_CBS!$M$5:$M$16,MATCH($D80,WBS_CBS!$A$5:$A$16,0)),"Yes"))</f>
        <v/>
      </c>
      <c r="V80" s="150">
        <f>IF($D80="","",IFERROR(INDEX(WBS_CBS!$N$5:$N$16,MATCH($D80,WBS_CBS!$A$5:$A$16,0)),"Yes"))</f>
        <v/>
      </c>
      <c r="W80" s="150">
        <f>IF($D80="","",IFERROR(INDEX(WBS_CBS!$K$5:$K$16,MATCH($D80,WBS_CBS!$A$5:$A$16,0)),""))</f>
        <v/>
      </c>
      <c r="X80" s="150">
        <f>IF($D80="","",IFERROR(INDEX(WBS_CBS!$F$5:$F$16,MATCH($D80,WBS_CBS!$A$5:$A$16,0)),""))</f>
        <v/>
      </c>
      <c r="Y80" s="149" t="n"/>
      <c r="Z80" s="149" t="n"/>
      <c r="AA80" s="150">
        <f>IF($D80="","",IFERROR(INDEX(WBS_CBS!$L$5:$L$16,MATCH($D80,WBS_CBS!$A$5:$A$16,0)),""))</f>
        <v/>
      </c>
      <c r="AB80" s="149" t="n"/>
    </row>
    <row r="81">
      <c r="A81" s="149" t="n"/>
      <c r="B81" s="149" t="n"/>
      <c r="C81" s="150">
        <f>IF($D81="","",IFERROR(INDEX(WBS_CBS!$E$5:$E$16,MATCH($D81,WBS_CBS!$A$5:$A$16,0)),""))</f>
        <v/>
      </c>
      <c r="D81" s="149" t="n"/>
      <c r="E81" s="150">
        <f>IF($D81="","",IFERROR(INDEX(WBS_CBS!$C$5:$C$16,MATCH($D81,WBS_CBS!$A$5:$A$16,0)),""))</f>
        <v/>
      </c>
      <c r="F81" s="150">
        <f>IF($D81="","",IFERROR(INDEX(WBS_CBS!$J$5:$J$16,MATCH($D81,WBS_CBS!$A$5:$A$16,0)),""))</f>
        <v/>
      </c>
      <c r="G81" s="149" t="n"/>
      <c r="H81" s="151" t="n"/>
      <c r="I81" s="149" t="n"/>
      <c r="J81" s="152" t="n"/>
      <c r="K81" s="149" t="n"/>
      <c r="L81" s="153">
        <f>IF($K81="","",IFERROR(INDEX(FX_Rates!$B$5:$B$14,MATCH($K81,FX_Rates!$A$5:$A$14,0)),""))</f>
        <v/>
      </c>
      <c r="M81" s="153">
        <f>IF(OR($H81="",$J81=""),"",$H81*$J81)</f>
        <v/>
      </c>
      <c r="N81" s="153">
        <f>IF(OR($M81="",$L81=""),"",$M81*$L81)</f>
        <v/>
      </c>
      <c r="O81" s="149" t="n"/>
      <c r="P81" s="154">
        <f>IF($O81="","",IFERROR(INDEX(Basis_of_Estimate!$C$5:$C$9,MATCH($O81,Basis_of_Estimate!$A$5:$A$9,0)),""))</f>
        <v/>
      </c>
      <c r="Q81" s="154">
        <f>IF($O81="","",IFERROR(INDEX(Basis_of_Estimate!$D$5:$D$9,MATCH($O81,Basis_of_Estimate!$A$5:$A$9,0)),""))</f>
        <v/>
      </c>
      <c r="R81" s="153">
        <f>IF($N81="","",$N81*(1+$P81))</f>
        <v/>
      </c>
      <c r="S81" s="153">
        <f>IF($N81="","",$N81)</f>
        <v/>
      </c>
      <c r="T81" s="153">
        <f>IF($N81="","",$N81*(1+$Q81))</f>
        <v/>
      </c>
      <c r="U81" s="150">
        <f>IF($D81="","",IFERROR(INDEX(WBS_CBS!$M$5:$M$16,MATCH($D81,WBS_CBS!$A$5:$A$16,0)),"Yes"))</f>
        <v/>
      </c>
      <c r="V81" s="150">
        <f>IF($D81="","",IFERROR(INDEX(WBS_CBS!$N$5:$N$16,MATCH($D81,WBS_CBS!$A$5:$A$16,0)),"Yes"))</f>
        <v/>
      </c>
      <c r="W81" s="150">
        <f>IF($D81="","",IFERROR(INDEX(WBS_CBS!$K$5:$K$16,MATCH($D81,WBS_CBS!$A$5:$A$16,0)),""))</f>
        <v/>
      </c>
      <c r="X81" s="150">
        <f>IF($D81="","",IFERROR(INDEX(WBS_CBS!$F$5:$F$16,MATCH($D81,WBS_CBS!$A$5:$A$16,0)),""))</f>
        <v/>
      </c>
      <c r="Y81" s="149" t="n"/>
      <c r="Z81" s="149" t="n"/>
      <c r="AA81" s="150">
        <f>IF($D81="","",IFERROR(INDEX(WBS_CBS!$L$5:$L$16,MATCH($D81,WBS_CBS!$A$5:$A$16,0)),""))</f>
        <v/>
      </c>
      <c r="AB81" s="149" t="n"/>
    </row>
    <row r="82">
      <c r="A82" s="149" t="n"/>
      <c r="B82" s="149" t="n"/>
      <c r="C82" s="150">
        <f>IF($D82="","",IFERROR(INDEX(WBS_CBS!$E$5:$E$16,MATCH($D82,WBS_CBS!$A$5:$A$16,0)),""))</f>
        <v/>
      </c>
      <c r="D82" s="149" t="n"/>
      <c r="E82" s="150">
        <f>IF($D82="","",IFERROR(INDEX(WBS_CBS!$C$5:$C$16,MATCH($D82,WBS_CBS!$A$5:$A$16,0)),""))</f>
        <v/>
      </c>
      <c r="F82" s="150">
        <f>IF($D82="","",IFERROR(INDEX(WBS_CBS!$J$5:$J$16,MATCH($D82,WBS_CBS!$A$5:$A$16,0)),""))</f>
        <v/>
      </c>
      <c r="G82" s="149" t="n"/>
      <c r="H82" s="151" t="n"/>
      <c r="I82" s="149" t="n"/>
      <c r="J82" s="152" t="n"/>
      <c r="K82" s="149" t="n"/>
      <c r="L82" s="153">
        <f>IF($K82="","",IFERROR(INDEX(FX_Rates!$B$5:$B$14,MATCH($K82,FX_Rates!$A$5:$A$14,0)),""))</f>
        <v/>
      </c>
      <c r="M82" s="153">
        <f>IF(OR($H82="",$J82=""),"",$H82*$J82)</f>
        <v/>
      </c>
      <c r="N82" s="153">
        <f>IF(OR($M82="",$L82=""),"",$M82*$L82)</f>
        <v/>
      </c>
      <c r="O82" s="149" t="n"/>
      <c r="P82" s="154">
        <f>IF($O82="","",IFERROR(INDEX(Basis_of_Estimate!$C$5:$C$9,MATCH($O82,Basis_of_Estimate!$A$5:$A$9,0)),""))</f>
        <v/>
      </c>
      <c r="Q82" s="154">
        <f>IF($O82="","",IFERROR(INDEX(Basis_of_Estimate!$D$5:$D$9,MATCH($O82,Basis_of_Estimate!$A$5:$A$9,0)),""))</f>
        <v/>
      </c>
      <c r="R82" s="153">
        <f>IF($N82="","",$N82*(1+$P82))</f>
        <v/>
      </c>
      <c r="S82" s="153">
        <f>IF($N82="","",$N82)</f>
        <v/>
      </c>
      <c r="T82" s="153">
        <f>IF($N82="","",$N82*(1+$Q82))</f>
        <v/>
      </c>
      <c r="U82" s="150">
        <f>IF($D82="","",IFERROR(INDEX(WBS_CBS!$M$5:$M$16,MATCH($D82,WBS_CBS!$A$5:$A$16,0)),"Yes"))</f>
        <v/>
      </c>
      <c r="V82" s="150">
        <f>IF($D82="","",IFERROR(INDEX(WBS_CBS!$N$5:$N$16,MATCH($D82,WBS_CBS!$A$5:$A$16,0)),"Yes"))</f>
        <v/>
      </c>
      <c r="W82" s="150">
        <f>IF($D82="","",IFERROR(INDEX(WBS_CBS!$K$5:$K$16,MATCH($D82,WBS_CBS!$A$5:$A$16,0)),""))</f>
        <v/>
      </c>
      <c r="X82" s="150">
        <f>IF($D82="","",IFERROR(INDEX(WBS_CBS!$F$5:$F$16,MATCH($D82,WBS_CBS!$A$5:$A$16,0)),""))</f>
        <v/>
      </c>
      <c r="Y82" s="149" t="n"/>
      <c r="Z82" s="149" t="n"/>
      <c r="AA82" s="150">
        <f>IF($D82="","",IFERROR(INDEX(WBS_CBS!$L$5:$L$16,MATCH($D82,WBS_CBS!$A$5:$A$16,0)),""))</f>
        <v/>
      </c>
      <c r="AB82" s="149" t="n"/>
    </row>
    <row r="83">
      <c r="A83" s="149" t="n"/>
      <c r="B83" s="149" t="n"/>
      <c r="C83" s="150">
        <f>IF($D83="","",IFERROR(INDEX(WBS_CBS!$E$5:$E$16,MATCH($D83,WBS_CBS!$A$5:$A$16,0)),""))</f>
        <v/>
      </c>
      <c r="D83" s="149" t="n"/>
      <c r="E83" s="150">
        <f>IF($D83="","",IFERROR(INDEX(WBS_CBS!$C$5:$C$16,MATCH($D83,WBS_CBS!$A$5:$A$16,0)),""))</f>
        <v/>
      </c>
      <c r="F83" s="150">
        <f>IF($D83="","",IFERROR(INDEX(WBS_CBS!$J$5:$J$16,MATCH($D83,WBS_CBS!$A$5:$A$16,0)),""))</f>
        <v/>
      </c>
      <c r="G83" s="149" t="n"/>
      <c r="H83" s="151" t="n"/>
      <c r="I83" s="149" t="n"/>
      <c r="J83" s="152" t="n"/>
      <c r="K83" s="149" t="n"/>
      <c r="L83" s="153">
        <f>IF($K83="","",IFERROR(INDEX(FX_Rates!$B$5:$B$14,MATCH($K83,FX_Rates!$A$5:$A$14,0)),""))</f>
        <v/>
      </c>
      <c r="M83" s="153">
        <f>IF(OR($H83="",$J83=""),"",$H83*$J83)</f>
        <v/>
      </c>
      <c r="N83" s="153">
        <f>IF(OR($M83="",$L83=""),"",$M83*$L83)</f>
        <v/>
      </c>
      <c r="O83" s="149" t="n"/>
      <c r="P83" s="154">
        <f>IF($O83="","",IFERROR(INDEX(Basis_of_Estimate!$C$5:$C$9,MATCH($O83,Basis_of_Estimate!$A$5:$A$9,0)),""))</f>
        <v/>
      </c>
      <c r="Q83" s="154">
        <f>IF($O83="","",IFERROR(INDEX(Basis_of_Estimate!$D$5:$D$9,MATCH($O83,Basis_of_Estimate!$A$5:$A$9,0)),""))</f>
        <v/>
      </c>
      <c r="R83" s="153">
        <f>IF($N83="","",$N83*(1+$P83))</f>
        <v/>
      </c>
      <c r="S83" s="153">
        <f>IF($N83="","",$N83)</f>
        <v/>
      </c>
      <c r="T83" s="153">
        <f>IF($N83="","",$N83*(1+$Q83))</f>
        <v/>
      </c>
      <c r="U83" s="150">
        <f>IF($D83="","",IFERROR(INDEX(WBS_CBS!$M$5:$M$16,MATCH($D83,WBS_CBS!$A$5:$A$16,0)),"Yes"))</f>
        <v/>
      </c>
      <c r="V83" s="150">
        <f>IF($D83="","",IFERROR(INDEX(WBS_CBS!$N$5:$N$16,MATCH($D83,WBS_CBS!$A$5:$A$16,0)),"Yes"))</f>
        <v/>
      </c>
      <c r="W83" s="150">
        <f>IF($D83="","",IFERROR(INDEX(WBS_CBS!$K$5:$K$16,MATCH($D83,WBS_CBS!$A$5:$A$16,0)),""))</f>
        <v/>
      </c>
      <c r="X83" s="150">
        <f>IF($D83="","",IFERROR(INDEX(WBS_CBS!$F$5:$F$16,MATCH($D83,WBS_CBS!$A$5:$A$16,0)),""))</f>
        <v/>
      </c>
      <c r="Y83" s="149" t="n"/>
      <c r="Z83" s="149" t="n"/>
      <c r="AA83" s="150">
        <f>IF($D83="","",IFERROR(INDEX(WBS_CBS!$L$5:$L$16,MATCH($D83,WBS_CBS!$A$5:$A$16,0)),""))</f>
        <v/>
      </c>
      <c r="AB83" s="149" t="n"/>
    </row>
    <row r="84">
      <c r="A84" s="149" t="n"/>
      <c r="B84" s="149" t="n"/>
      <c r="C84" s="150">
        <f>IF($D84="","",IFERROR(INDEX(WBS_CBS!$E$5:$E$16,MATCH($D84,WBS_CBS!$A$5:$A$16,0)),""))</f>
        <v/>
      </c>
      <c r="D84" s="149" t="n"/>
      <c r="E84" s="150">
        <f>IF($D84="","",IFERROR(INDEX(WBS_CBS!$C$5:$C$16,MATCH($D84,WBS_CBS!$A$5:$A$16,0)),""))</f>
        <v/>
      </c>
      <c r="F84" s="150">
        <f>IF($D84="","",IFERROR(INDEX(WBS_CBS!$J$5:$J$16,MATCH($D84,WBS_CBS!$A$5:$A$16,0)),""))</f>
        <v/>
      </c>
      <c r="G84" s="149" t="n"/>
      <c r="H84" s="151" t="n"/>
      <c r="I84" s="149" t="n"/>
      <c r="J84" s="152" t="n"/>
      <c r="K84" s="149" t="n"/>
      <c r="L84" s="153">
        <f>IF($K84="","",IFERROR(INDEX(FX_Rates!$B$5:$B$14,MATCH($K84,FX_Rates!$A$5:$A$14,0)),""))</f>
        <v/>
      </c>
      <c r="M84" s="153">
        <f>IF(OR($H84="",$J84=""),"",$H84*$J84)</f>
        <v/>
      </c>
      <c r="N84" s="153">
        <f>IF(OR($M84="",$L84=""),"",$M84*$L84)</f>
        <v/>
      </c>
      <c r="O84" s="149" t="n"/>
      <c r="P84" s="154">
        <f>IF($O84="","",IFERROR(INDEX(Basis_of_Estimate!$C$5:$C$9,MATCH($O84,Basis_of_Estimate!$A$5:$A$9,0)),""))</f>
        <v/>
      </c>
      <c r="Q84" s="154">
        <f>IF($O84="","",IFERROR(INDEX(Basis_of_Estimate!$D$5:$D$9,MATCH($O84,Basis_of_Estimate!$A$5:$A$9,0)),""))</f>
        <v/>
      </c>
      <c r="R84" s="153">
        <f>IF($N84="","",$N84*(1+$P84))</f>
        <v/>
      </c>
      <c r="S84" s="153">
        <f>IF($N84="","",$N84)</f>
        <v/>
      </c>
      <c r="T84" s="153">
        <f>IF($N84="","",$N84*(1+$Q84))</f>
        <v/>
      </c>
      <c r="U84" s="150">
        <f>IF($D84="","",IFERROR(INDEX(WBS_CBS!$M$5:$M$16,MATCH($D84,WBS_CBS!$A$5:$A$16,0)),"Yes"))</f>
        <v/>
      </c>
      <c r="V84" s="150">
        <f>IF($D84="","",IFERROR(INDEX(WBS_CBS!$N$5:$N$16,MATCH($D84,WBS_CBS!$A$5:$A$16,0)),"Yes"))</f>
        <v/>
      </c>
      <c r="W84" s="150">
        <f>IF($D84="","",IFERROR(INDEX(WBS_CBS!$K$5:$K$16,MATCH($D84,WBS_CBS!$A$5:$A$16,0)),""))</f>
        <v/>
      </c>
      <c r="X84" s="150">
        <f>IF($D84="","",IFERROR(INDEX(WBS_CBS!$F$5:$F$16,MATCH($D84,WBS_CBS!$A$5:$A$16,0)),""))</f>
        <v/>
      </c>
      <c r="Y84" s="149" t="n"/>
      <c r="Z84" s="149" t="n"/>
      <c r="AA84" s="150">
        <f>IF($D84="","",IFERROR(INDEX(WBS_CBS!$L$5:$L$16,MATCH($D84,WBS_CBS!$A$5:$A$16,0)),""))</f>
        <v/>
      </c>
      <c r="AB84" s="149" t="n"/>
    </row>
    <row r="85">
      <c r="A85" s="149" t="n"/>
      <c r="B85" s="149" t="n"/>
      <c r="C85" s="150">
        <f>IF($D85="","",IFERROR(INDEX(WBS_CBS!$E$5:$E$16,MATCH($D85,WBS_CBS!$A$5:$A$16,0)),""))</f>
        <v/>
      </c>
      <c r="D85" s="149" t="n"/>
      <c r="E85" s="150">
        <f>IF($D85="","",IFERROR(INDEX(WBS_CBS!$C$5:$C$16,MATCH($D85,WBS_CBS!$A$5:$A$16,0)),""))</f>
        <v/>
      </c>
      <c r="F85" s="150">
        <f>IF($D85="","",IFERROR(INDEX(WBS_CBS!$J$5:$J$16,MATCH($D85,WBS_CBS!$A$5:$A$16,0)),""))</f>
        <v/>
      </c>
      <c r="G85" s="149" t="n"/>
      <c r="H85" s="151" t="n"/>
      <c r="I85" s="149" t="n"/>
      <c r="J85" s="152" t="n"/>
      <c r="K85" s="149" t="n"/>
      <c r="L85" s="153">
        <f>IF($K85="","",IFERROR(INDEX(FX_Rates!$B$5:$B$14,MATCH($K85,FX_Rates!$A$5:$A$14,0)),""))</f>
        <v/>
      </c>
      <c r="M85" s="153">
        <f>IF(OR($H85="",$J85=""),"",$H85*$J85)</f>
        <v/>
      </c>
      <c r="N85" s="153">
        <f>IF(OR($M85="",$L85=""),"",$M85*$L85)</f>
        <v/>
      </c>
      <c r="O85" s="149" t="n"/>
      <c r="P85" s="154">
        <f>IF($O85="","",IFERROR(INDEX(Basis_of_Estimate!$C$5:$C$9,MATCH($O85,Basis_of_Estimate!$A$5:$A$9,0)),""))</f>
        <v/>
      </c>
      <c r="Q85" s="154">
        <f>IF($O85="","",IFERROR(INDEX(Basis_of_Estimate!$D$5:$D$9,MATCH($O85,Basis_of_Estimate!$A$5:$A$9,0)),""))</f>
        <v/>
      </c>
      <c r="R85" s="153">
        <f>IF($N85="","",$N85*(1+$P85))</f>
        <v/>
      </c>
      <c r="S85" s="153">
        <f>IF($N85="","",$N85)</f>
        <v/>
      </c>
      <c r="T85" s="153">
        <f>IF($N85="","",$N85*(1+$Q85))</f>
        <v/>
      </c>
      <c r="U85" s="150">
        <f>IF($D85="","",IFERROR(INDEX(WBS_CBS!$M$5:$M$16,MATCH($D85,WBS_CBS!$A$5:$A$16,0)),"Yes"))</f>
        <v/>
      </c>
      <c r="V85" s="150">
        <f>IF($D85="","",IFERROR(INDEX(WBS_CBS!$N$5:$N$16,MATCH($D85,WBS_CBS!$A$5:$A$16,0)),"Yes"))</f>
        <v/>
      </c>
      <c r="W85" s="150">
        <f>IF($D85="","",IFERROR(INDEX(WBS_CBS!$K$5:$K$16,MATCH($D85,WBS_CBS!$A$5:$A$16,0)),""))</f>
        <v/>
      </c>
      <c r="X85" s="150">
        <f>IF($D85="","",IFERROR(INDEX(WBS_CBS!$F$5:$F$16,MATCH($D85,WBS_CBS!$A$5:$A$16,0)),""))</f>
        <v/>
      </c>
      <c r="Y85" s="149" t="n"/>
      <c r="Z85" s="149" t="n"/>
      <c r="AA85" s="150">
        <f>IF($D85="","",IFERROR(INDEX(WBS_CBS!$L$5:$L$16,MATCH($D85,WBS_CBS!$A$5:$A$16,0)),""))</f>
        <v/>
      </c>
      <c r="AB85" s="149" t="n"/>
    </row>
    <row r="86">
      <c r="A86" s="149" t="n"/>
      <c r="B86" s="149" t="n"/>
      <c r="C86" s="150">
        <f>IF($D86="","",IFERROR(INDEX(WBS_CBS!$E$5:$E$16,MATCH($D86,WBS_CBS!$A$5:$A$16,0)),""))</f>
        <v/>
      </c>
      <c r="D86" s="149" t="n"/>
      <c r="E86" s="150">
        <f>IF($D86="","",IFERROR(INDEX(WBS_CBS!$C$5:$C$16,MATCH($D86,WBS_CBS!$A$5:$A$16,0)),""))</f>
        <v/>
      </c>
      <c r="F86" s="150">
        <f>IF($D86="","",IFERROR(INDEX(WBS_CBS!$J$5:$J$16,MATCH($D86,WBS_CBS!$A$5:$A$16,0)),""))</f>
        <v/>
      </c>
      <c r="G86" s="149" t="n"/>
      <c r="H86" s="151" t="n"/>
      <c r="I86" s="149" t="n"/>
      <c r="J86" s="152" t="n"/>
      <c r="K86" s="149" t="n"/>
      <c r="L86" s="153">
        <f>IF($K86="","",IFERROR(INDEX(FX_Rates!$B$5:$B$14,MATCH($K86,FX_Rates!$A$5:$A$14,0)),""))</f>
        <v/>
      </c>
      <c r="M86" s="153">
        <f>IF(OR($H86="",$J86=""),"",$H86*$J86)</f>
        <v/>
      </c>
      <c r="N86" s="153">
        <f>IF(OR($M86="",$L86=""),"",$M86*$L86)</f>
        <v/>
      </c>
      <c r="O86" s="149" t="n"/>
      <c r="P86" s="154">
        <f>IF($O86="","",IFERROR(INDEX(Basis_of_Estimate!$C$5:$C$9,MATCH($O86,Basis_of_Estimate!$A$5:$A$9,0)),""))</f>
        <v/>
      </c>
      <c r="Q86" s="154">
        <f>IF($O86="","",IFERROR(INDEX(Basis_of_Estimate!$D$5:$D$9,MATCH($O86,Basis_of_Estimate!$A$5:$A$9,0)),""))</f>
        <v/>
      </c>
      <c r="R86" s="153">
        <f>IF($N86="","",$N86*(1+$P86))</f>
        <v/>
      </c>
      <c r="S86" s="153">
        <f>IF($N86="","",$N86)</f>
        <v/>
      </c>
      <c r="T86" s="153">
        <f>IF($N86="","",$N86*(1+$Q86))</f>
        <v/>
      </c>
      <c r="U86" s="150">
        <f>IF($D86="","",IFERROR(INDEX(WBS_CBS!$M$5:$M$16,MATCH($D86,WBS_CBS!$A$5:$A$16,0)),"Yes"))</f>
        <v/>
      </c>
      <c r="V86" s="150">
        <f>IF($D86="","",IFERROR(INDEX(WBS_CBS!$N$5:$N$16,MATCH($D86,WBS_CBS!$A$5:$A$16,0)),"Yes"))</f>
        <v/>
      </c>
      <c r="W86" s="150">
        <f>IF($D86="","",IFERROR(INDEX(WBS_CBS!$K$5:$K$16,MATCH($D86,WBS_CBS!$A$5:$A$16,0)),""))</f>
        <v/>
      </c>
      <c r="X86" s="150">
        <f>IF($D86="","",IFERROR(INDEX(WBS_CBS!$F$5:$F$16,MATCH($D86,WBS_CBS!$A$5:$A$16,0)),""))</f>
        <v/>
      </c>
      <c r="Y86" s="149" t="n"/>
      <c r="Z86" s="149" t="n"/>
      <c r="AA86" s="150">
        <f>IF($D86="","",IFERROR(INDEX(WBS_CBS!$L$5:$L$16,MATCH($D86,WBS_CBS!$A$5:$A$16,0)),""))</f>
        <v/>
      </c>
      <c r="AB86" s="149" t="n"/>
    </row>
    <row r="87">
      <c r="A87" s="149" t="n"/>
      <c r="B87" s="149" t="n"/>
      <c r="C87" s="150">
        <f>IF($D87="","",IFERROR(INDEX(WBS_CBS!$E$5:$E$16,MATCH($D87,WBS_CBS!$A$5:$A$16,0)),""))</f>
        <v/>
      </c>
      <c r="D87" s="149" t="n"/>
      <c r="E87" s="150">
        <f>IF($D87="","",IFERROR(INDEX(WBS_CBS!$C$5:$C$16,MATCH($D87,WBS_CBS!$A$5:$A$16,0)),""))</f>
        <v/>
      </c>
      <c r="F87" s="150">
        <f>IF($D87="","",IFERROR(INDEX(WBS_CBS!$J$5:$J$16,MATCH($D87,WBS_CBS!$A$5:$A$16,0)),""))</f>
        <v/>
      </c>
      <c r="G87" s="149" t="n"/>
      <c r="H87" s="151" t="n"/>
      <c r="I87" s="149" t="n"/>
      <c r="J87" s="152" t="n"/>
      <c r="K87" s="149" t="n"/>
      <c r="L87" s="153">
        <f>IF($K87="","",IFERROR(INDEX(FX_Rates!$B$5:$B$14,MATCH($K87,FX_Rates!$A$5:$A$14,0)),""))</f>
        <v/>
      </c>
      <c r="M87" s="153">
        <f>IF(OR($H87="",$J87=""),"",$H87*$J87)</f>
        <v/>
      </c>
      <c r="N87" s="153">
        <f>IF(OR($M87="",$L87=""),"",$M87*$L87)</f>
        <v/>
      </c>
      <c r="O87" s="149" t="n"/>
      <c r="P87" s="154">
        <f>IF($O87="","",IFERROR(INDEX(Basis_of_Estimate!$C$5:$C$9,MATCH($O87,Basis_of_Estimate!$A$5:$A$9,0)),""))</f>
        <v/>
      </c>
      <c r="Q87" s="154">
        <f>IF($O87="","",IFERROR(INDEX(Basis_of_Estimate!$D$5:$D$9,MATCH($O87,Basis_of_Estimate!$A$5:$A$9,0)),""))</f>
        <v/>
      </c>
      <c r="R87" s="153">
        <f>IF($N87="","",$N87*(1+$P87))</f>
        <v/>
      </c>
      <c r="S87" s="153">
        <f>IF($N87="","",$N87)</f>
        <v/>
      </c>
      <c r="T87" s="153">
        <f>IF($N87="","",$N87*(1+$Q87))</f>
        <v/>
      </c>
      <c r="U87" s="150">
        <f>IF($D87="","",IFERROR(INDEX(WBS_CBS!$M$5:$M$16,MATCH($D87,WBS_CBS!$A$5:$A$16,0)),"Yes"))</f>
        <v/>
      </c>
      <c r="V87" s="150">
        <f>IF($D87="","",IFERROR(INDEX(WBS_CBS!$N$5:$N$16,MATCH($D87,WBS_CBS!$A$5:$A$16,0)),"Yes"))</f>
        <v/>
      </c>
      <c r="W87" s="150">
        <f>IF($D87="","",IFERROR(INDEX(WBS_CBS!$K$5:$K$16,MATCH($D87,WBS_CBS!$A$5:$A$16,0)),""))</f>
        <v/>
      </c>
      <c r="X87" s="150">
        <f>IF($D87="","",IFERROR(INDEX(WBS_CBS!$F$5:$F$16,MATCH($D87,WBS_CBS!$A$5:$A$16,0)),""))</f>
        <v/>
      </c>
      <c r="Y87" s="149" t="n"/>
      <c r="Z87" s="149" t="n"/>
      <c r="AA87" s="150">
        <f>IF($D87="","",IFERROR(INDEX(WBS_CBS!$L$5:$L$16,MATCH($D87,WBS_CBS!$A$5:$A$16,0)),""))</f>
        <v/>
      </c>
      <c r="AB87" s="149" t="n"/>
    </row>
    <row r="88">
      <c r="A88" s="149" t="n"/>
      <c r="B88" s="149" t="n"/>
      <c r="C88" s="150">
        <f>IF($D88="","",IFERROR(INDEX(WBS_CBS!$E$5:$E$16,MATCH($D88,WBS_CBS!$A$5:$A$16,0)),""))</f>
        <v/>
      </c>
      <c r="D88" s="149" t="n"/>
      <c r="E88" s="150">
        <f>IF($D88="","",IFERROR(INDEX(WBS_CBS!$C$5:$C$16,MATCH($D88,WBS_CBS!$A$5:$A$16,0)),""))</f>
        <v/>
      </c>
      <c r="F88" s="150">
        <f>IF($D88="","",IFERROR(INDEX(WBS_CBS!$J$5:$J$16,MATCH($D88,WBS_CBS!$A$5:$A$16,0)),""))</f>
        <v/>
      </c>
      <c r="G88" s="149" t="n"/>
      <c r="H88" s="151" t="n"/>
      <c r="I88" s="149" t="n"/>
      <c r="J88" s="152" t="n"/>
      <c r="K88" s="149" t="n"/>
      <c r="L88" s="153">
        <f>IF($K88="","",IFERROR(INDEX(FX_Rates!$B$5:$B$14,MATCH($K88,FX_Rates!$A$5:$A$14,0)),""))</f>
        <v/>
      </c>
      <c r="M88" s="153">
        <f>IF(OR($H88="",$J88=""),"",$H88*$J88)</f>
        <v/>
      </c>
      <c r="N88" s="153">
        <f>IF(OR($M88="",$L88=""),"",$M88*$L88)</f>
        <v/>
      </c>
      <c r="O88" s="149" t="n"/>
      <c r="P88" s="154">
        <f>IF($O88="","",IFERROR(INDEX(Basis_of_Estimate!$C$5:$C$9,MATCH($O88,Basis_of_Estimate!$A$5:$A$9,0)),""))</f>
        <v/>
      </c>
      <c r="Q88" s="154">
        <f>IF($O88="","",IFERROR(INDEX(Basis_of_Estimate!$D$5:$D$9,MATCH($O88,Basis_of_Estimate!$A$5:$A$9,0)),""))</f>
        <v/>
      </c>
      <c r="R88" s="153">
        <f>IF($N88="","",$N88*(1+$P88))</f>
        <v/>
      </c>
      <c r="S88" s="153">
        <f>IF($N88="","",$N88)</f>
        <v/>
      </c>
      <c r="T88" s="153">
        <f>IF($N88="","",$N88*(1+$Q88))</f>
        <v/>
      </c>
      <c r="U88" s="150">
        <f>IF($D88="","",IFERROR(INDEX(WBS_CBS!$M$5:$M$16,MATCH($D88,WBS_CBS!$A$5:$A$16,0)),"Yes"))</f>
        <v/>
      </c>
      <c r="V88" s="150">
        <f>IF($D88="","",IFERROR(INDEX(WBS_CBS!$N$5:$N$16,MATCH($D88,WBS_CBS!$A$5:$A$16,0)),"Yes"))</f>
        <v/>
      </c>
      <c r="W88" s="150">
        <f>IF($D88="","",IFERROR(INDEX(WBS_CBS!$K$5:$K$16,MATCH($D88,WBS_CBS!$A$5:$A$16,0)),""))</f>
        <v/>
      </c>
      <c r="X88" s="150">
        <f>IF($D88="","",IFERROR(INDEX(WBS_CBS!$F$5:$F$16,MATCH($D88,WBS_CBS!$A$5:$A$16,0)),""))</f>
        <v/>
      </c>
      <c r="Y88" s="149" t="n"/>
      <c r="Z88" s="149" t="n"/>
      <c r="AA88" s="150">
        <f>IF($D88="","",IFERROR(INDEX(WBS_CBS!$L$5:$L$16,MATCH($D88,WBS_CBS!$A$5:$A$16,0)),""))</f>
        <v/>
      </c>
      <c r="AB88" s="149" t="n"/>
    </row>
    <row r="89">
      <c r="A89" s="149" t="n"/>
      <c r="B89" s="149" t="n"/>
      <c r="C89" s="150">
        <f>IF($D89="","",IFERROR(INDEX(WBS_CBS!$E$5:$E$16,MATCH($D89,WBS_CBS!$A$5:$A$16,0)),""))</f>
        <v/>
      </c>
      <c r="D89" s="149" t="n"/>
      <c r="E89" s="150">
        <f>IF($D89="","",IFERROR(INDEX(WBS_CBS!$C$5:$C$16,MATCH($D89,WBS_CBS!$A$5:$A$16,0)),""))</f>
        <v/>
      </c>
      <c r="F89" s="150">
        <f>IF($D89="","",IFERROR(INDEX(WBS_CBS!$J$5:$J$16,MATCH($D89,WBS_CBS!$A$5:$A$16,0)),""))</f>
        <v/>
      </c>
      <c r="G89" s="149" t="n"/>
      <c r="H89" s="151" t="n"/>
      <c r="I89" s="149" t="n"/>
      <c r="J89" s="152" t="n"/>
      <c r="K89" s="149" t="n"/>
      <c r="L89" s="153">
        <f>IF($K89="","",IFERROR(INDEX(FX_Rates!$B$5:$B$14,MATCH($K89,FX_Rates!$A$5:$A$14,0)),""))</f>
        <v/>
      </c>
      <c r="M89" s="153">
        <f>IF(OR($H89="",$J89=""),"",$H89*$J89)</f>
        <v/>
      </c>
      <c r="N89" s="153">
        <f>IF(OR($M89="",$L89=""),"",$M89*$L89)</f>
        <v/>
      </c>
      <c r="O89" s="149" t="n"/>
      <c r="P89" s="154">
        <f>IF($O89="","",IFERROR(INDEX(Basis_of_Estimate!$C$5:$C$9,MATCH($O89,Basis_of_Estimate!$A$5:$A$9,0)),""))</f>
        <v/>
      </c>
      <c r="Q89" s="154">
        <f>IF($O89="","",IFERROR(INDEX(Basis_of_Estimate!$D$5:$D$9,MATCH($O89,Basis_of_Estimate!$A$5:$A$9,0)),""))</f>
        <v/>
      </c>
      <c r="R89" s="153">
        <f>IF($N89="","",$N89*(1+$P89))</f>
        <v/>
      </c>
      <c r="S89" s="153">
        <f>IF($N89="","",$N89)</f>
        <v/>
      </c>
      <c r="T89" s="153">
        <f>IF($N89="","",$N89*(1+$Q89))</f>
        <v/>
      </c>
      <c r="U89" s="150">
        <f>IF($D89="","",IFERROR(INDEX(WBS_CBS!$M$5:$M$16,MATCH($D89,WBS_CBS!$A$5:$A$16,0)),"Yes"))</f>
        <v/>
      </c>
      <c r="V89" s="150">
        <f>IF($D89="","",IFERROR(INDEX(WBS_CBS!$N$5:$N$16,MATCH($D89,WBS_CBS!$A$5:$A$16,0)),"Yes"))</f>
        <v/>
      </c>
      <c r="W89" s="150">
        <f>IF($D89="","",IFERROR(INDEX(WBS_CBS!$K$5:$K$16,MATCH($D89,WBS_CBS!$A$5:$A$16,0)),""))</f>
        <v/>
      </c>
      <c r="X89" s="150">
        <f>IF($D89="","",IFERROR(INDEX(WBS_CBS!$F$5:$F$16,MATCH($D89,WBS_CBS!$A$5:$A$16,0)),""))</f>
        <v/>
      </c>
      <c r="Y89" s="149" t="n"/>
      <c r="Z89" s="149" t="n"/>
      <c r="AA89" s="150">
        <f>IF($D89="","",IFERROR(INDEX(WBS_CBS!$L$5:$L$16,MATCH($D89,WBS_CBS!$A$5:$A$16,0)),""))</f>
        <v/>
      </c>
      <c r="AB89" s="149" t="n"/>
    </row>
    <row r="90">
      <c r="A90" s="149" t="n"/>
      <c r="B90" s="149" t="n"/>
      <c r="C90" s="150">
        <f>IF($D90="","",IFERROR(INDEX(WBS_CBS!$E$5:$E$16,MATCH($D90,WBS_CBS!$A$5:$A$16,0)),""))</f>
        <v/>
      </c>
      <c r="D90" s="149" t="n"/>
      <c r="E90" s="150">
        <f>IF($D90="","",IFERROR(INDEX(WBS_CBS!$C$5:$C$16,MATCH($D90,WBS_CBS!$A$5:$A$16,0)),""))</f>
        <v/>
      </c>
      <c r="F90" s="150">
        <f>IF($D90="","",IFERROR(INDEX(WBS_CBS!$J$5:$J$16,MATCH($D90,WBS_CBS!$A$5:$A$16,0)),""))</f>
        <v/>
      </c>
      <c r="G90" s="149" t="n"/>
      <c r="H90" s="151" t="n"/>
      <c r="I90" s="149" t="n"/>
      <c r="J90" s="152" t="n"/>
      <c r="K90" s="149" t="n"/>
      <c r="L90" s="153">
        <f>IF($K90="","",IFERROR(INDEX(FX_Rates!$B$5:$B$14,MATCH($K90,FX_Rates!$A$5:$A$14,0)),""))</f>
        <v/>
      </c>
      <c r="M90" s="153">
        <f>IF(OR($H90="",$J90=""),"",$H90*$J90)</f>
        <v/>
      </c>
      <c r="N90" s="153">
        <f>IF(OR($M90="",$L90=""),"",$M90*$L90)</f>
        <v/>
      </c>
      <c r="O90" s="149" t="n"/>
      <c r="P90" s="154">
        <f>IF($O90="","",IFERROR(INDEX(Basis_of_Estimate!$C$5:$C$9,MATCH($O90,Basis_of_Estimate!$A$5:$A$9,0)),""))</f>
        <v/>
      </c>
      <c r="Q90" s="154">
        <f>IF($O90="","",IFERROR(INDEX(Basis_of_Estimate!$D$5:$D$9,MATCH($O90,Basis_of_Estimate!$A$5:$A$9,0)),""))</f>
        <v/>
      </c>
      <c r="R90" s="153">
        <f>IF($N90="","",$N90*(1+$P90))</f>
        <v/>
      </c>
      <c r="S90" s="153">
        <f>IF($N90="","",$N90)</f>
        <v/>
      </c>
      <c r="T90" s="153">
        <f>IF($N90="","",$N90*(1+$Q90))</f>
        <v/>
      </c>
      <c r="U90" s="150">
        <f>IF($D90="","",IFERROR(INDEX(WBS_CBS!$M$5:$M$16,MATCH($D90,WBS_CBS!$A$5:$A$16,0)),"Yes"))</f>
        <v/>
      </c>
      <c r="V90" s="150">
        <f>IF($D90="","",IFERROR(INDEX(WBS_CBS!$N$5:$N$16,MATCH($D90,WBS_CBS!$A$5:$A$16,0)),"Yes"))</f>
        <v/>
      </c>
      <c r="W90" s="150">
        <f>IF($D90="","",IFERROR(INDEX(WBS_CBS!$K$5:$K$16,MATCH($D90,WBS_CBS!$A$5:$A$16,0)),""))</f>
        <v/>
      </c>
      <c r="X90" s="150">
        <f>IF($D90="","",IFERROR(INDEX(WBS_CBS!$F$5:$F$16,MATCH($D90,WBS_CBS!$A$5:$A$16,0)),""))</f>
        <v/>
      </c>
      <c r="Y90" s="149" t="n"/>
      <c r="Z90" s="149" t="n"/>
      <c r="AA90" s="150">
        <f>IF($D90="","",IFERROR(INDEX(WBS_CBS!$L$5:$L$16,MATCH($D90,WBS_CBS!$A$5:$A$16,0)),""))</f>
        <v/>
      </c>
      <c r="AB90" s="149" t="n"/>
    </row>
    <row r="91">
      <c r="A91" s="149" t="n"/>
      <c r="B91" s="149" t="n"/>
      <c r="C91" s="150">
        <f>IF($D91="","",IFERROR(INDEX(WBS_CBS!$E$5:$E$16,MATCH($D91,WBS_CBS!$A$5:$A$16,0)),""))</f>
        <v/>
      </c>
      <c r="D91" s="149" t="n"/>
      <c r="E91" s="150">
        <f>IF($D91="","",IFERROR(INDEX(WBS_CBS!$C$5:$C$16,MATCH($D91,WBS_CBS!$A$5:$A$16,0)),""))</f>
        <v/>
      </c>
      <c r="F91" s="150">
        <f>IF($D91="","",IFERROR(INDEX(WBS_CBS!$J$5:$J$16,MATCH($D91,WBS_CBS!$A$5:$A$16,0)),""))</f>
        <v/>
      </c>
      <c r="G91" s="149" t="n"/>
      <c r="H91" s="151" t="n"/>
      <c r="I91" s="149" t="n"/>
      <c r="J91" s="152" t="n"/>
      <c r="K91" s="149" t="n"/>
      <c r="L91" s="153">
        <f>IF($K91="","",IFERROR(INDEX(FX_Rates!$B$5:$B$14,MATCH($K91,FX_Rates!$A$5:$A$14,0)),""))</f>
        <v/>
      </c>
      <c r="M91" s="153">
        <f>IF(OR($H91="",$J91=""),"",$H91*$J91)</f>
        <v/>
      </c>
      <c r="N91" s="153">
        <f>IF(OR($M91="",$L91=""),"",$M91*$L91)</f>
        <v/>
      </c>
      <c r="O91" s="149" t="n"/>
      <c r="P91" s="154">
        <f>IF($O91="","",IFERROR(INDEX(Basis_of_Estimate!$C$5:$C$9,MATCH($O91,Basis_of_Estimate!$A$5:$A$9,0)),""))</f>
        <v/>
      </c>
      <c r="Q91" s="154">
        <f>IF($O91="","",IFERROR(INDEX(Basis_of_Estimate!$D$5:$D$9,MATCH($O91,Basis_of_Estimate!$A$5:$A$9,0)),""))</f>
        <v/>
      </c>
      <c r="R91" s="153">
        <f>IF($N91="","",$N91*(1+$P91))</f>
        <v/>
      </c>
      <c r="S91" s="153">
        <f>IF($N91="","",$N91)</f>
        <v/>
      </c>
      <c r="T91" s="153">
        <f>IF($N91="","",$N91*(1+$Q91))</f>
        <v/>
      </c>
      <c r="U91" s="150">
        <f>IF($D91="","",IFERROR(INDEX(WBS_CBS!$M$5:$M$16,MATCH($D91,WBS_CBS!$A$5:$A$16,0)),"Yes"))</f>
        <v/>
      </c>
      <c r="V91" s="150">
        <f>IF($D91="","",IFERROR(INDEX(WBS_CBS!$N$5:$N$16,MATCH($D91,WBS_CBS!$A$5:$A$16,0)),"Yes"))</f>
        <v/>
      </c>
      <c r="W91" s="150">
        <f>IF($D91="","",IFERROR(INDEX(WBS_CBS!$K$5:$K$16,MATCH($D91,WBS_CBS!$A$5:$A$16,0)),""))</f>
        <v/>
      </c>
      <c r="X91" s="150">
        <f>IF($D91="","",IFERROR(INDEX(WBS_CBS!$F$5:$F$16,MATCH($D91,WBS_CBS!$A$5:$A$16,0)),""))</f>
        <v/>
      </c>
      <c r="Y91" s="149" t="n"/>
      <c r="Z91" s="149" t="n"/>
      <c r="AA91" s="150">
        <f>IF($D91="","",IFERROR(INDEX(WBS_CBS!$L$5:$L$16,MATCH($D91,WBS_CBS!$A$5:$A$16,0)),""))</f>
        <v/>
      </c>
      <c r="AB91" s="149" t="n"/>
    </row>
    <row r="92">
      <c r="A92" s="149" t="n"/>
      <c r="B92" s="149" t="n"/>
      <c r="C92" s="150">
        <f>IF($D92="","",IFERROR(INDEX(WBS_CBS!$E$5:$E$16,MATCH($D92,WBS_CBS!$A$5:$A$16,0)),""))</f>
        <v/>
      </c>
      <c r="D92" s="149" t="n"/>
      <c r="E92" s="150">
        <f>IF($D92="","",IFERROR(INDEX(WBS_CBS!$C$5:$C$16,MATCH($D92,WBS_CBS!$A$5:$A$16,0)),""))</f>
        <v/>
      </c>
      <c r="F92" s="150">
        <f>IF($D92="","",IFERROR(INDEX(WBS_CBS!$J$5:$J$16,MATCH($D92,WBS_CBS!$A$5:$A$16,0)),""))</f>
        <v/>
      </c>
      <c r="G92" s="149" t="n"/>
      <c r="H92" s="151" t="n"/>
      <c r="I92" s="149" t="n"/>
      <c r="J92" s="152" t="n"/>
      <c r="K92" s="149" t="n"/>
      <c r="L92" s="153">
        <f>IF($K92="","",IFERROR(INDEX(FX_Rates!$B$5:$B$14,MATCH($K92,FX_Rates!$A$5:$A$14,0)),""))</f>
        <v/>
      </c>
      <c r="M92" s="153">
        <f>IF(OR($H92="",$J92=""),"",$H92*$J92)</f>
        <v/>
      </c>
      <c r="N92" s="153">
        <f>IF(OR($M92="",$L92=""),"",$M92*$L92)</f>
        <v/>
      </c>
      <c r="O92" s="149" t="n"/>
      <c r="P92" s="154">
        <f>IF($O92="","",IFERROR(INDEX(Basis_of_Estimate!$C$5:$C$9,MATCH($O92,Basis_of_Estimate!$A$5:$A$9,0)),""))</f>
        <v/>
      </c>
      <c r="Q92" s="154">
        <f>IF($O92="","",IFERROR(INDEX(Basis_of_Estimate!$D$5:$D$9,MATCH($O92,Basis_of_Estimate!$A$5:$A$9,0)),""))</f>
        <v/>
      </c>
      <c r="R92" s="153">
        <f>IF($N92="","",$N92*(1+$P92))</f>
        <v/>
      </c>
      <c r="S92" s="153">
        <f>IF($N92="","",$N92)</f>
        <v/>
      </c>
      <c r="T92" s="153">
        <f>IF($N92="","",$N92*(1+$Q92))</f>
        <v/>
      </c>
      <c r="U92" s="150">
        <f>IF($D92="","",IFERROR(INDEX(WBS_CBS!$M$5:$M$16,MATCH($D92,WBS_CBS!$A$5:$A$16,0)),"Yes"))</f>
        <v/>
      </c>
      <c r="V92" s="150">
        <f>IF($D92="","",IFERROR(INDEX(WBS_CBS!$N$5:$N$16,MATCH($D92,WBS_CBS!$A$5:$A$16,0)),"Yes"))</f>
        <v/>
      </c>
      <c r="W92" s="150">
        <f>IF($D92="","",IFERROR(INDEX(WBS_CBS!$K$5:$K$16,MATCH($D92,WBS_CBS!$A$5:$A$16,0)),""))</f>
        <v/>
      </c>
      <c r="X92" s="150">
        <f>IF($D92="","",IFERROR(INDEX(WBS_CBS!$F$5:$F$16,MATCH($D92,WBS_CBS!$A$5:$A$16,0)),""))</f>
        <v/>
      </c>
      <c r="Y92" s="149" t="n"/>
      <c r="Z92" s="149" t="n"/>
      <c r="AA92" s="150">
        <f>IF($D92="","",IFERROR(INDEX(WBS_CBS!$L$5:$L$16,MATCH($D92,WBS_CBS!$A$5:$A$16,0)),""))</f>
        <v/>
      </c>
      <c r="AB92" s="149" t="n"/>
    </row>
    <row r="93">
      <c r="A93" s="149" t="n"/>
      <c r="B93" s="149" t="n"/>
      <c r="C93" s="150">
        <f>IF($D93="","",IFERROR(INDEX(WBS_CBS!$E$5:$E$16,MATCH($D93,WBS_CBS!$A$5:$A$16,0)),""))</f>
        <v/>
      </c>
      <c r="D93" s="149" t="n"/>
      <c r="E93" s="150">
        <f>IF($D93="","",IFERROR(INDEX(WBS_CBS!$C$5:$C$16,MATCH($D93,WBS_CBS!$A$5:$A$16,0)),""))</f>
        <v/>
      </c>
      <c r="F93" s="150">
        <f>IF($D93="","",IFERROR(INDEX(WBS_CBS!$J$5:$J$16,MATCH($D93,WBS_CBS!$A$5:$A$16,0)),""))</f>
        <v/>
      </c>
      <c r="G93" s="149" t="n"/>
      <c r="H93" s="151" t="n"/>
      <c r="I93" s="149" t="n"/>
      <c r="J93" s="152" t="n"/>
      <c r="K93" s="149" t="n"/>
      <c r="L93" s="153">
        <f>IF($K93="","",IFERROR(INDEX(FX_Rates!$B$5:$B$14,MATCH($K93,FX_Rates!$A$5:$A$14,0)),""))</f>
        <v/>
      </c>
      <c r="M93" s="153">
        <f>IF(OR($H93="",$J93=""),"",$H93*$J93)</f>
        <v/>
      </c>
      <c r="N93" s="153">
        <f>IF(OR($M93="",$L93=""),"",$M93*$L93)</f>
        <v/>
      </c>
      <c r="O93" s="149" t="n"/>
      <c r="P93" s="154">
        <f>IF($O93="","",IFERROR(INDEX(Basis_of_Estimate!$C$5:$C$9,MATCH($O93,Basis_of_Estimate!$A$5:$A$9,0)),""))</f>
        <v/>
      </c>
      <c r="Q93" s="154">
        <f>IF($O93="","",IFERROR(INDEX(Basis_of_Estimate!$D$5:$D$9,MATCH($O93,Basis_of_Estimate!$A$5:$A$9,0)),""))</f>
        <v/>
      </c>
      <c r="R93" s="153">
        <f>IF($N93="","",$N93*(1+$P93))</f>
        <v/>
      </c>
      <c r="S93" s="153">
        <f>IF($N93="","",$N93)</f>
        <v/>
      </c>
      <c r="T93" s="153">
        <f>IF($N93="","",$N93*(1+$Q93))</f>
        <v/>
      </c>
      <c r="U93" s="150">
        <f>IF($D93="","",IFERROR(INDEX(WBS_CBS!$M$5:$M$16,MATCH($D93,WBS_CBS!$A$5:$A$16,0)),"Yes"))</f>
        <v/>
      </c>
      <c r="V93" s="150">
        <f>IF($D93="","",IFERROR(INDEX(WBS_CBS!$N$5:$N$16,MATCH($D93,WBS_CBS!$A$5:$A$16,0)),"Yes"))</f>
        <v/>
      </c>
      <c r="W93" s="150">
        <f>IF($D93="","",IFERROR(INDEX(WBS_CBS!$K$5:$K$16,MATCH($D93,WBS_CBS!$A$5:$A$16,0)),""))</f>
        <v/>
      </c>
      <c r="X93" s="150">
        <f>IF($D93="","",IFERROR(INDEX(WBS_CBS!$F$5:$F$16,MATCH($D93,WBS_CBS!$A$5:$A$16,0)),""))</f>
        <v/>
      </c>
      <c r="Y93" s="149" t="n"/>
      <c r="Z93" s="149" t="n"/>
      <c r="AA93" s="150">
        <f>IF($D93="","",IFERROR(INDEX(WBS_CBS!$L$5:$L$16,MATCH($D93,WBS_CBS!$A$5:$A$16,0)),""))</f>
        <v/>
      </c>
      <c r="AB93" s="149" t="n"/>
    </row>
    <row r="94">
      <c r="A94" s="149" t="n"/>
      <c r="B94" s="149" t="n"/>
      <c r="C94" s="150">
        <f>IF($D94="","",IFERROR(INDEX(WBS_CBS!$E$5:$E$16,MATCH($D94,WBS_CBS!$A$5:$A$16,0)),""))</f>
        <v/>
      </c>
      <c r="D94" s="149" t="n"/>
      <c r="E94" s="150">
        <f>IF($D94="","",IFERROR(INDEX(WBS_CBS!$C$5:$C$16,MATCH($D94,WBS_CBS!$A$5:$A$16,0)),""))</f>
        <v/>
      </c>
      <c r="F94" s="150">
        <f>IF($D94="","",IFERROR(INDEX(WBS_CBS!$J$5:$J$16,MATCH($D94,WBS_CBS!$A$5:$A$16,0)),""))</f>
        <v/>
      </c>
      <c r="G94" s="149" t="n"/>
      <c r="H94" s="151" t="n"/>
      <c r="I94" s="149" t="n"/>
      <c r="J94" s="152" t="n"/>
      <c r="K94" s="149" t="n"/>
      <c r="L94" s="153">
        <f>IF($K94="","",IFERROR(INDEX(FX_Rates!$B$5:$B$14,MATCH($K94,FX_Rates!$A$5:$A$14,0)),""))</f>
        <v/>
      </c>
      <c r="M94" s="153">
        <f>IF(OR($H94="",$J94=""),"",$H94*$J94)</f>
        <v/>
      </c>
      <c r="N94" s="153">
        <f>IF(OR($M94="",$L94=""),"",$M94*$L94)</f>
        <v/>
      </c>
      <c r="O94" s="149" t="n"/>
      <c r="P94" s="154">
        <f>IF($O94="","",IFERROR(INDEX(Basis_of_Estimate!$C$5:$C$9,MATCH($O94,Basis_of_Estimate!$A$5:$A$9,0)),""))</f>
        <v/>
      </c>
      <c r="Q94" s="154">
        <f>IF($O94="","",IFERROR(INDEX(Basis_of_Estimate!$D$5:$D$9,MATCH($O94,Basis_of_Estimate!$A$5:$A$9,0)),""))</f>
        <v/>
      </c>
      <c r="R94" s="153">
        <f>IF($N94="","",$N94*(1+$P94))</f>
        <v/>
      </c>
      <c r="S94" s="153">
        <f>IF($N94="","",$N94)</f>
        <v/>
      </c>
      <c r="T94" s="153">
        <f>IF($N94="","",$N94*(1+$Q94))</f>
        <v/>
      </c>
      <c r="U94" s="150">
        <f>IF($D94="","",IFERROR(INDEX(WBS_CBS!$M$5:$M$16,MATCH($D94,WBS_CBS!$A$5:$A$16,0)),"Yes"))</f>
        <v/>
      </c>
      <c r="V94" s="150">
        <f>IF($D94="","",IFERROR(INDEX(WBS_CBS!$N$5:$N$16,MATCH($D94,WBS_CBS!$A$5:$A$16,0)),"Yes"))</f>
        <v/>
      </c>
      <c r="W94" s="150">
        <f>IF($D94="","",IFERROR(INDEX(WBS_CBS!$K$5:$K$16,MATCH($D94,WBS_CBS!$A$5:$A$16,0)),""))</f>
        <v/>
      </c>
      <c r="X94" s="150">
        <f>IF($D94="","",IFERROR(INDEX(WBS_CBS!$F$5:$F$16,MATCH($D94,WBS_CBS!$A$5:$A$16,0)),""))</f>
        <v/>
      </c>
      <c r="Y94" s="149" t="n"/>
      <c r="Z94" s="149" t="n"/>
      <c r="AA94" s="150">
        <f>IF($D94="","",IFERROR(INDEX(WBS_CBS!$L$5:$L$16,MATCH($D94,WBS_CBS!$A$5:$A$16,0)),""))</f>
        <v/>
      </c>
      <c r="AB94" s="149" t="n"/>
    </row>
    <row r="95">
      <c r="A95" s="149" t="n"/>
      <c r="B95" s="149" t="n"/>
      <c r="C95" s="150">
        <f>IF($D95="","",IFERROR(INDEX(WBS_CBS!$E$5:$E$16,MATCH($D95,WBS_CBS!$A$5:$A$16,0)),""))</f>
        <v/>
      </c>
      <c r="D95" s="149" t="n"/>
      <c r="E95" s="150">
        <f>IF($D95="","",IFERROR(INDEX(WBS_CBS!$C$5:$C$16,MATCH($D95,WBS_CBS!$A$5:$A$16,0)),""))</f>
        <v/>
      </c>
      <c r="F95" s="150">
        <f>IF($D95="","",IFERROR(INDEX(WBS_CBS!$J$5:$J$16,MATCH($D95,WBS_CBS!$A$5:$A$16,0)),""))</f>
        <v/>
      </c>
      <c r="G95" s="149" t="n"/>
      <c r="H95" s="151" t="n"/>
      <c r="I95" s="149" t="n"/>
      <c r="J95" s="152" t="n"/>
      <c r="K95" s="149" t="n"/>
      <c r="L95" s="153">
        <f>IF($K95="","",IFERROR(INDEX(FX_Rates!$B$5:$B$14,MATCH($K95,FX_Rates!$A$5:$A$14,0)),""))</f>
        <v/>
      </c>
      <c r="M95" s="153">
        <f>IF(OR($H95="",$J95=""),"",$H95*$J95)</f>
        <v/>
      </c>
      <c r="N95" s="153">
        <f>IF(OR($M95="",$L95=""),"",$M95*$L95)</f>
        <v/>
      </c>
      <c r="O95" s="149" t="n"/>
      <c r="P95" s="154">
        <f>IF($O95="","",IFERROR(INDEX(Basis_of_Estimate!$C$5:$C$9,MATCH($O95,Basis_of_Estimate!$A$5:$A$9,0)),""))</f>
        <v/>
      </c>
      <c r="Q95" s="154">
        <f>IF($O95="","",IFERROR(INDEX(Basis_of_Estimate!$D$5:$D$9,MATCH($O95,Basis_of_Estimate!$A$5:$A$9,0)),""))</f>
        <v/>
      </c>
      <c r="R95" s="153">
        <f>IF($N95="","",$N95*(1+$P95))</f>
        <v/>
      </c>
      <c r="S95" s="153">
        <f>IF($N95="","",$N95)</f>
        <v/>
      </c>
      <c r="T95" s="153">
        <f>IF($N95="","",$N95*(1+$Q95))</f>
        <v/>
      </c>
      <c r="U95" s="150">
        <f>IF($D95="","",IFERROR(INDEX(WBS_CBS!$M$5:$M$16,MATCH($D95,WBS_CBS!$A$5:$A$16,0)),"Yes"))</f>
        <v/>
      </c>
      <c r="V95" s="150">
        <f>IF($D95="","",IFERROR(INDEX(WBS_CBS!$N$5:$N$16,MATCH($D95,WBS_CBS!$A$5:$A$16,0)),"Yes"))</f>
        <v/>
      </c>
      <c r="W95" s="150">
        <f>IF($D95="","",IFERROR(INDEX(WBS_CBS!$K$5:$K$16,MATCH($D95,WBS_CBS!$A$5:$A$16,0)),""))</f>
        <v/>
      </c>
      <c r="X95" s="150">
        <f>IF($D95="","",IFERROR(INDEX(WBS_CBS!$F$5:$F$16,MATCH($D95,WBS_CBS!$A$5:$A$16,0)),""))</f>
        <v/>
      </c>
      <c r="Y95" s="149" t="n"/>
      <c r="Z95" s="149" t="n"/>
      <c r="AA95" s="150">
        <f>IF($D95="","",IFERROR(INDEX(WBS_CBS!$L$5:$L$16,MATCH($D95,WBS_CBS!$A$5:$A$16,0)),""))</f>
        <v/>
      </c>
      <c r="AB95" s="149" t="n"/>
    </row>
    <row r="96">
      <c r="A96" s="149" t="n"/>
      <c r="B96" s="149" t="n"/>
      <c r="C96" s="150">
        <f>IF($D96="","",IFERROR(INDEX(WBS_CBS!$E$5:$E$16,MATCH($D96,WBS_CBS!$A$5:$A$16,0)),""))</f>
        <v/>
      </c>
      <c r="D96" s="149" t="n"/>
      <c r="E96" s="150">
        <f>IF($D96="","",IFERROR(INDEX(WBS_CBS!$C$5:$C$16,MATCH($D96,WBS_CBS!$A$5:$A$16,0)),""))</f>
        <v/>
      </c>
      <c r="F96" s="150">
        <f>IF($D96="","",IFERROR(INDEX(WBS_CBS!$J$5:$J$16,MATCH($D96,WBS_CBS!$A$5:$A$16,0)),""))</f>
        <v/>
      </c>
      <c r="G96" s="149" t="n"/>
      <c r="H96" s="151" t="n"/>
      <c r="I96" s="149" t="n"/>
      <c r="J96" s="152" t="n"/>
      <c r="K96" s="149" t="n"/>
      <c r="L96" s="153">
        <f>IF($K96="","",IFERROR(INDEX(FX_Rates!$B$5:$B$14,MATCH($K96,FX_Rates!$A$5:$A$14,0)),""))</f>
        <v/>
      </c>
      <c r="M96" s="153">
        <f>IF(OR($H96="",$J96=""),"",$H96*$J96)</f>
        <v/>
      </c>
      <c r="N96" s="153">
        <f>IF(OR($M96="",$L96=""),"",$M96*$L96)</f>
        <v/>
      </c>
      <c r="O96" s="149" t="n"/>
      <c r="P96" s="154">
        <f>IF($O96="","",IFERROR(INDEX(Basis_of_Estimate!$C$5:$C$9,MATCH($O96,Basis_of_Estimate!$A$5:$A$9,0)),""))</f>
        <v/>
      </c>
      <c r="Q96" s="154">
        <f>IF($O96="","",IFERROR(INDEX(Basis_of_Estimate!$D$5:$D$9,MATCH($O96,Basis_of_Estimate!$A$5:$A$9,0)),""))</f>
        <v/>
      </c>
      <c r="R96" s="153">
        <f>IF($N96="","",$N96*(1+$P96))</f>
        <v/>
      </c>
      <c r="S96" s="153">
        <f>IF($N96="","",$N96)</f>
        <v/>
      </c>
      <c r="T96" s="153">
        <f>IF($N96="","",$N96*(1+$Q96))</f>
        <v/>
      </c>
      <c r="U96" s="150">
        <f>IF($D96="","",IFERROR(INDEX(WBS_CBS!$M$5:$M$16,MATCH($D96,WBS_CBS!$A$5:$A$16,0)),"Yes"))</f>
        <v/>
      </c>
      <c r="V96" s="150">
        <f>IF($D96="","",IFERROR(INDEX(WBS_CBS!$N$5:$N$16,MATCH($D96,WBS_CBS!$A$5:$A$16,0)),"Yes"))</f>
        <v/>
      </c>
      <c r="W96" s="150">
        <f>IF($D96="","",IFERROR(INDEX(WBS_CBS!$K$5:$K$16,MATCH($D96,WBS_CBS!$A$5:$A$16,0)),""))</f>
        <v/>
      </c>
      <c r="X96" s="150">
        <f>IF($D96="","",IFERROR(INDEX(WBS_CBS!$F$5:$F$16,MATCH($D96,WBS_CBS!$A$5:$A$16,0)),""))</f>
        <v/>
      </c>
      <c r="Y96" s="149" t="n"/>
      <c r="Z96" s="149" t="n"/>
      <c r="AA96" s="150">
        <f>IF($D96="","",IFERROR(INDEX(WBS_CBS!$L$5:$L$16,MATCH($D96,WBS_CBS!$A$5:$A$16,0)),""))</f>
        <v/>
      </c>
      <c r="AB96" s="149" t="n"/>
    </row>
    <row r="97">
      <c r="A97" s="149" t="n"/>
      <c r="B97" s="149" t="n"/>
      <c r="C97" s="150">
        <f>IF($D97="","",IFERROR(INDEX(WBS_CBS!$E$5:$E$16,MATCH($D97,WBS_CBS!$A$5:$A$16,0)),""))</f>
        <v/>
      </c>
      <c r="D97" s="149" t="n"/>
      <c r="E97" s="150">
        <f>IF($D97="","",IFERROR(INDEX(WBS_CBS!$C$5:$C$16,MATCH($D97,WBS_CBS!$A$5:$A$16,0)),""))</f>
        <v/>
      </c>
      <c r="F97" s="150">
        <f>IF($D97="","",IFERROR(INDEX(WBS_CBS!$J$5:$J$16,MATCH($D97,WBS_CBS!$A$5:$A$16,0)),""))</f>
        <v/>
      </c>
      <c r="G97" s="149" t="n"/>
      <c r="H97" s="151" t="n"/>
      <c r="I97" s="149" t="n"/>
      <c r="J97" s="152" t="n"/>
      <c r="K97" s="149" t="n"/>
      <c r="L97" s="153">
        <f>IF($K97="","",IFERROR(INDEX(FX_Rates!$B$5:$B$14,MATCH($K97,FX_Rates!$A$5:$A$14,0)),""))</f>
        <v/>
      </c>
      <c r="M97" s="153">
        <f>IF(OR($H97="",$J97=""),"",$H97*$J97)</f>
        <v/>
      </c>
      <c r="N97" s="153">
        <f>IF(OR($M97="",$L97=""),"",$M97*$L97)</f>
        <v/>
      </c>
      <c r="O97" s="149" t="n"/>
      <c r="P97" s="154">
        <f>IF($O97="","",IFERROR(INDEX(Basis_of_Estimate!$C$5:$C$9,MATCH($O97,Basis_of_Estimate!$A$5:$A$9,0)),""))</f>
        <v/>
      </c>
      <c r="Q97" s="154">
        <f>IF($O97="","",IFERROR(INDEX(Basis_of_Estimate!$D$5:$D$9,MATCH($O97,Basis_of_Estimate!$A$5:$A$9,0)),""))</f>
        <v/>
      </c>
      <c r="R97" s="153">
        <f>IF($N97="","",$N97*(1+$P97))</f>
        <v/>
      </c>
      <c r="S97" s="153">
        <f>IF($N97="","",$N97)</f>
        <v/>
      </c>
      <c r="T97" s="153">
        <f>IF($N97="","",$N97*(1+$Q97))</f>
        <v/>
      </c>
      <c r="U97" s="150">
        <f>IF($D97="","",IFERROR(INDEX(WBS_CBS!$M$5:$M$16,MATCH($D97,WBS_CBS!$A$5:$A$16,0)),"Yes"))</f>
        <v/>
      </c>
      <c r="V97" s="150">
        <f>IF($D97="","",IFERROR(INDEX(WBS_CBS!$N$5:$N$16,MATCH($D97,WBS_CBS!$A$5:$A$16,0)),"Yes"))</f>
        <v/>
      </c>
      <c r="W97" s="150">
        <f>IF($D97="","",IFERROR(INDEX(WBS_CBS!$K$5:$K$16,MATCH($D97,WBS_CBS!$A$5:$A$16,0)),""))</f>
        <v/>
      </c>
      <c r="X97" s="150">
        <f>IF($D97="","",IFERROR(INDEX(WBS_CBS!$F$5:$F$16,MATCH($D97,WBS_CBS!$A$5:$A$16,0)),""))</f>
        <v/>
      </c>
      <c r="Y97" s="149" t="n"/>
      <c r="Z97" s="149" t="n"/>
      <c r="AA97" s="150">
        <f>IF($D97="","",IFERROR(INDEX(WBS_CBS!$L$5:$L$16,MATCH($D97,WBS_CBS!$A$5:$A$16,0)),""))</f>
        <v/>
      </c>
      <c r="AB97" s="149" t="n"/>
    </row>
    <row r="98">
      <c r="A98" s="149" t="n"/>
      <c r="B98" s="149" t="n"/>
      <c r="C98" s="150">
        <f>IF($D98="","",IFERROR(INDEX(WBS_CBS!$E$5:$E$16,MATCH($D98,WBS_CBS!$A$5:$A$16,0)),""))</f>
        <v/>
      </c>
      <c r="D98" s="149" t="n"/>
      <c r="E98" s="150">
        <f>IF($D98="","",IFERROR(INDEX(WBS_CBS!$C$5:$C$16,MATCH($D98,WBS_CBS!$A$5:$A$16,0)),""))</f>
        <v/>
      </c>
      <c r="F98" s="150">
        <f>IF($D98="","",IFERROR(INDEX(WBS_CBS!$J$5:$J$16,MATCH($D98,WBS_CBS!$A$5:$A$16,0)),""))</f>
        <v/>
      </c>
      <c r="G98" s="149" t="n"/>
      <c r="H98" s="151" t="n"/>
      <c r="I98" s="149" t="n"/>
      <c r="J98" s="152" t="n"/>
      <c r="K98" s="149" t="n"/>
      <c r="L98" s="153">
        <f>IF($K98="","",IFERROR(INDEX(FX_Rates!$B$5:$B$14,MATCH($K98,FX_Rates!$A$5:$A$14,0)),""))</f>
        <v/>
      </c>
      <c r="M98" s="153">
        <f>IF(OR($H98="",$J98=""),"",$H98*$J98)</f>
        <v/>
      </c>
      <c r="N98" s="153">
        <f>IF(OR($M98="",$L98=""),"",$M98*$L98)</f>
        <v/>
      </c>
      <c r="O98" s="149" t="n"/>
      <c r="P98" s="154">
        <f>IF($O98="","",IFERROR(INDEX(Basis_of_Estimate!$C$5:$C$9,MATCH($O98,Basis_of_Estimate!$A$5:$A$9,0)),""))</f>
        <v/>
      </c>
      <c r="Q98" s="154">
        <f>IF($O98="","",IFERROR(INDEX(Basis_of_Estimate!$D$5:$D$9,MATCH($O98,Basis_of_Estimate!$A$5:$A$9,0)),""))</f>
        <v/>
      </c>
      <c r="R98" s="153">
        <f>IF($N98="","",$N98*(1+$P98))</f>
        <v/>
      </c>
      <c r="S98" s="153">
        <f>IF($N98="","",$N98)</f>
        <v/>
      </c>
      <c r="T98" s="153">
        <f>IF($N98="","",$N98*(1+$Q98))</f>
        <v/>
      </c>
      <c r="U98" s="150">
        <f>IF($D98="","",IFERROR(INDEX(WBS_CBS!$M$5:$M$16,MATCH($D98,WBS_CBS!$A$5:$A$16,0)),"Yes"))</f>
        <v/>
      </c>
      <c r="V98" s="150">
        <f>IF($D98="","",IFERROR(INDEX(WBS_CBS!$N$5:$N$16,MATCH($D98,WBS_CBS!$A$5:$A$16,0)),"Yes"))</f>
        <v/>
      </c>
      <c r="W98" s="150">
        <f>IF($D98="","",IFERROR(INDEX(WBS_CBS!$K$5:$K$16,MATCH($D98,WBS_CBS!$A$5:$A$16,0)),""))</f>
        <v/>
      </c>
      <c r="X98" s="150">
        <f>IF($D98="","",IFERROR(INDEX(WBS_CBS!$F$5:$F$16,MATCH($D98,WBS_CBS!$A$5:$A$16,0)),""))</f>
        <v/>
      </c>
      <c r="Y98" s="149" t="n"/>
      <c r="Z98" s="149" t="n"/>
      <c r="AA98" s="150">
        <f>IF($D98="","",IFERROR(INDEX(WBS_CBS!$L$5:$L$16,MATCH($D98,WBS_CBS!$A$5:$A$16,0)),""))</f>
        <v/>
      </c>
      <c r="AB98" s="149" t="n"/>
    </row>
    <row r="99">
      <c r="A99" s="149" t="n"/>
      <c r="B99" s="149" t="n"/>
      <c r="C99" s="150">
        <f>IF($D99="","",IFERROR(INDEX(WBS_CBS!$E$5:$E$16,MATCH($D99,WBS_CBS!$A$5:$A$16,0)),""))</f>
        <v/>
      </c>
      <c r="D99" s="149" t="n"/>
      <c r="E99" s="150">
        <f>IF($D99="","",IFERROR(INDEX(WBS_CBS!$C$5:$C$16,MATCH($D99,WBS_CBS!$A$5:$A$16,0)),""))</f>
        <v/>
      </c>
      <c r="F99" s="150">
        <f>IF($D99="","",IFERROR(INDEX(WBS_CBS!$J$5:$J$16,MATCH($D99,WBS_CBS!$A$5:$A$16,0)),""))</f>
        <v/>
      </c>
      <c r="G99" s="149" t="n"/>
      <c r="H99" s="151" t="n"/>
      <c r="I99" s="149" t="n"/>
      <c r="J99" s="152" t="n"/>
      <c r="K99" s="149" t="n"/>
      <c r="L99" s="153">
        <f>IF($K99="","",IFERROR(INDEX(FX_Rates!$B$5:$B$14,MATCH($K99,FX_Rates!$A$5:$A$14,0)),""))</f>
        <v/>
      </c>
      <c r="M99" s="153">
        <f>IF(OR($H99="",$J99=""),"",$H99*$J99)</f>
        <v/>
      </c>
      <c r="N99" s="153">
        <f>IF(OR($M99="",$L99=""),"",$M99*$L99)</f>
        <v/>
      </c>
      <c r="O99" s="149" t="n"/>
      <c r="P99" s="154">
        <f>IF($O99="","",IFERROR(INDEX(Basis_of_Estimate!$C$5:$C$9,MATCH($O99,Basis_of_Estimate!$A$5:$A$9,0)),""))</f>
        <v/>
      </c>
      <c r="Q99" s="154">
        <f>IF($O99="","",IFERROR(INDEX(Basis_of_Estimate!$D$5:$D$9,MATCH($O99,Basis_of_Estimate!$A$5:$A$9,0)),""))</f>
        <v/>
      </c>
      <c r="R99" s="153">
        <f>IF($N99="","",$N99*(1+$P99))</f>
        <v/>
      </c>
      <c r="S99" s="153">
        <f>IF($N99="","",$N99)</f>
        <v/>
      </c>
      <c r="T99" s="153">
        <f>IF($N99="","",$N99*(1+$Q99))</f>
        <v/>
      </c>
      <c r="U99" s="150">
        <f>IF($D99="","",IFERROR(INDEX(WBS_CBS!$M$5:$M$16,MATCH($D99,WBS_CBS!$A$5:$A$16,0)),"Yes"))</f>
        <v/>
      </c>
      <c r="V99" s="150">
        <f>IF($D99="","",IFERROR(INDEX(WBS_CBS!$N$5:$N$16,MATCH($D99,WBS_CBS!$A$5:$A$16,0)),"Yes"))</f>
        <v/>
      </c>
      <c r="W99" s="150">
        <f>IF($D99="","",IFERROR(INDEX(WBS_CBS!$K$5:$K$16,MATCH($D99,WBS_CBS!$A$5:$A$16,0)),""))</f>
        <v/>
      </c>
      <c r="X99" s="150">
        <f>IF($D99="","",IFERROR(INDEX(WBS_CBS!$F$5:$F$16,MATCH($D99,WBS_CBS!$A$5:$A$16,0)),""))</f>
        <v/>
      </c>
      <c r="Y99" s="149" t="n"/>
      <c r="Z99" s="149" t="n"/>
      <c r="AA99" s="150">
        <f>IF($D99="","",IFERROR(INDEX(WBS_CBS!$L$5:$L$16,MATCH($D99,WBS_CBS!$A$5:$A$16,0)),""))</f>
        <v/>
      </c>
      <c r="AB99" s="149" t="n"/>
    </row>
    <row r="100">
      <c r="A100" s="149" t="n"/>
      <c r="B100" s="149" t="n"/>
      <c r="C100" s="150">
        <f>IF($D100="","",IFERROR(INDEX(WBS_CBS!$E$5:$E$16,MATCH($D100,WBS_CBS!$A$5:$A$16,0)),""))</f>
        <v/>
      </c>
      <c r="D100" s="149" t="n"/>
      <c r="E100" s="150">
        <f>IF($D100="","",IFERROR(INDEX(WBS_CBS!$C$5:$C$16,MATCH($D100,WBS_CBS!$A$5:$A$16,0)),""))</f>
        <v/>
      </c>
      <c r="F100" s="150">
        <f>IF($D100="","",IFERROR(INDEX(WBS_CBS!$J$5:$J$16,MATCH($D100,WBS_CBS!$A$5:$A$16,0)),""))</f>
        <v/>
      </c>
      <c r="G100" s="149" t="n"/>
      <c r="H100" s="151" t="n"/>
      <c r="I100" s="149" t="n"/>
      <c r="J100" s="152" t="n"/>
      <c r="K100" s="149" t="n"/>
      <c r="L100" s="153">
        <f>IF($K100="","",IFERROR(INDEX(FX_Rates!$B$5:$B$14,MATCH($K100,FX_Rates!$A$5:$A$14,0)),""))</f>
        <v/>
      </c>
      <c r="M100" s="153">
        <f>IF(OR($H100="",$J100=""),"",$H100*$J100)</f>
        <v/>
      </c>
      <c r="N100" s="153">
        <f>IF(OR($M100="",$L100=""),"",$M100*$L100)</f>
        <v/>
      </c>
      <c r="O100" s="149" t="n"/>
      <c r="P100" s="154">
        <f>IF($O100="","",IFERROR(INDEX(Basis_of_Estimate!$C$5:$C$9,MATCH($O100,Basis_of_Estimate!$A$5:$A$9,0)),""))</f>
        <v/>
      </c>
      <c r="Q100" s="154">
        <f>IF($O100="","",IFERROR(INDEX(Basis_of_Estimate!$D$5:$D$9,MATCH($O100,Basis_of_Estimate!$A$5:$A$9,0)),""))</f>
        <v/>
      </c>
      <c r="R100" s="153">
        <f>IF($N100="","",$N100*(1+$P100))</f>
        <v/>
      </c>
      <c r="S100" s="153">
        <f>IF($N100="","",$N100)</f>
        <v/>
      </c>
      <c r="T100" s="153">
        <f>IF($N100="","",$N100*(1+$Q100))</f>
        <v/>
      </c>
      <c r="U100" s="150">
        <f>IF($D100="","",IFERROR(INDEX(WBS_CBS!$M$5:$M$16,MATCH($D100,WBS_CBS!$A$5:$A$16,0)),"Yes"))</f>
        <v/>
      </c>
      <c r="V100" s="150">
        <f>IF($D100="","",IFERROR(INDEX(WBS_CBS!$N$5:$N$16,MATCH($D100,WBS_CBS!$A$5:$A$16,0)),"Yes"))</f>
        <v/>
      </c>
      <c r="W100" s="150">
        <f>IF($D100="","",IFERROR(INDEX(WBS_CBS!$K$5:$K$16,MATCH($D100,WBS_CBS!$A$5:$A$16,0)),""))</f>
        <v/>
      </c>
      <c r="X100" s="150">
        <f>IF($D100="","",IFERROR(INDEX(WBS_CBS!$F$5:$F$16,MATCH($D100,WBS_CBS!$A$5:$A$16,0)),""))</f>
        <v/>
      </c>
      <c r="Y100" s="149" t="n"/>
      <c r="Z100" s="149" t="n"/>
      <c r="AA100" s="150">
        <f>IF($D100="","",IFERROR(INDEX(WBS_CBS!$L$5:$L$16,MATCH($D100,WBS_CBS!$A$5:$A$16,0)),""))</f>
        <v/>
      </c>
      <c r="AB100" s="149" t="n"/>
    </row>
    <row r="101">
      <c r="A101" s="149" t="n"/>
      <c r="B101" s="149" t="n"/>
      <c r="C101" s="150">
        <f>IF($D101="","",IFERROR(INDEX(WBS_CBS!$E$5:$E$16,MATCH($D101,WBS_CBS!$A$5:$A$16,0)),""))</f>
        <v/>
      </c>
      <c r="D101" s="149" t="n"/>
      <c r="E101" s="150">
        <f>IF($D101="","",IFERROR(INDEX(WBS_CBS!$C$5:$C$16,MATCH($D101,WBS_CBS!$A$5:$A$16,0)),""))</f>
        <v/>
      </c>
      <c r="F101" s="150">
        <f>IF($D101="","",IFERROR(INDEX(WBS_CBS!$J$5:$J$16,MATCH($D101,WBS_CBS!$A$5:$A$16,0)),""))</f>
        <v/>
      </c>
      <c r="G101" s="149" t="n"/>
      <c r="H101" s="151" t="n"/>
      <c r="I101" s="149" t="n"/>
      <c r="J101" s="152" t="n"/>
      <c r="K101" s="149" t="n"/>
      <c r="L101" s="153">
        <f>IF($K101="","",IFERROR(INDEX(FX_Rates!$B$5:$B$14,MATCH($K101,FX_Rates!$A$5:$A$14,0)),""))</f>
        <v/>
      </c>
      <c r="M101" s="153">
        <f>IF(OR($H101="",$J101=""),"",$H101*$J101)</f>
        <v/>
      </c>
      <c r="N101" s="153">
        <f>IF(OR($M101="",$L101=""),"",$M101*$L101)</f>
        <v/>
      </c>
      <c r="O101" s="149" t="n"/>
      <c r="P101" s="154">
        <f>IF($O101="","",IFERROR(INDEX(Basis_of_Estimate!$C$5:$C$9,MATCH($O101,Basis_of_Estimate!$A$5:$A$9,0)),""))</f>
        <v/>
      </c>
      <c r="Q101" s="154">
        <f>IF($O101="","",IFERROR(INDEX(Basis_of_Estimate!$D$5:$D$9,MATCH($O101,Basis_of_Estimate!$A$5:$A$9,0)),""))</f>
        <v/>
      </c>
      <c r="R101" s="153">
        <f>IF($N101="","",$N101*(1+$P101))</f>
        <v/>
      </c>
      <c r="S101" s="153">
        <f>IF($N101="","",$N101)</f>
        <v/>
      </c>
      <c r="T101" s="153">
        <f>IF($N101="","",$N101*(1+$Q101))</f>
        <v/>
      </c>
      <c r="U101" s="150">
        <f>IF($D101="","",IFERROR(INDEX(WBS_CBS!$M$5:$M$16,MATCH($D101,WBS_CBS!$A$5:$A$16,0)),"Yes"))</f>
        <v/>
      </c>
      <c r="V101" s="150">
        <f>IF($D101="","",IFERROR(INDEX(WBS_CBS!$N$5:$N$16,MATCH($D101,WBS_CBS!$A$5:$A$16,0)),"Yes"))</f>
        <v/>
      </c>
      <c r="W101" s="150">
        <f>IF($D101="","",IFERROR(INDEX(WBS_CBS!$K$5:$K$16,MATCH($D101,WBS_CBS!$A$5:$A$16,0)),""))</f>
        <v/>
      </c>
      <c r="X101" s="150">
        <f>IF($D101="","",IFERROR(INDEX(WBS_CBS!$F$5:$F$16,MATCH($D101,WBS_CBS!$A$5:$A$16,0)),""))</f>
        <v/>
      </c>
      <c r="Y101" s="149" t="n"/>
      <c r="Z101" s="149" t="n"/>
      <c r="AA101" s="150">
        <f>IF($D101="","",IFERROR(INDEX(WBS_CBS!$L$5:$L$16,MATCH($D101,WBS_CBS!$A$5:$A$16,0)),""))</f>
        <v/>
      </c>
      <c r="AB101" s="149" t="n"/>
    </row>
    <row r="102">
      <c r="A102" s="149" t="n"/>
      <c r="B102" s="149" t="n"/>
      <c r="C102" s="150">
        <f>IF($D102="","",IFERROR(INDEX(WBS_CBS!$E$5:$E$16,MATCH($D102,WBS_CBS!$A$5:$A$16,0)),""))</f>
        <v/>
      </c>
      <c r="D102" s="149" t="n"/>
      <c r="E102" s="150">
        <f>IF($D102="","",IFERROR(INDEX(WBS_CBS!$C$5:$C$16,MATCH($D102,WBS_CBS!$A$5:$A$16,0)),""))</f>
        <v/>
      </c>
      <c r="F102" s="150">
        <f>IF($D102="","",IFERROR(INDEX(WBS_CBS!$J$5:$J$16,MATCH($D102,WBS_CBS!$A$5:$A$16,0)),""))</f>
        <v/>
      </c>
      <c r="G102" s="149" t="n"/>
      <c r="H102" s="151" t="n"/>
      <c r="I102" s="149" t="n"/>
      <c r="J102" s="152" t="n"/>
      <c r="K102" s="149" t="n"/>
      <c r="L102" s="153">
        <f>IF($K102="","",IFERROR(INDEX(FX_Rates!$B$5:$B$14,MATCH($K102,FX_Rates!$A$5:$A$14,0)),""))</f>
        <v/>
      </c>
      <c r="M102" s="153">
        <f>IF(OR($H102="",$J102=""),"",$H102*$J102)</f>
        <v/>
      </c>
      <c r="N102" s="153">
        <f>IF(OR($M102="",$L102=""),"",$M102*$L102)</f>
        <v/>
      </c>
      <c r="O102" s="149" t="n"/>
      <c r="P102" s="154">
        <f>IF($O102="","",IFERROR(INDEX(Basis_of_Estimate!$C$5:$C$9,MATCH($O102,Basis_of_Estimate!$A$5:$A$9,0)),""))</f>
        <v/>
      </c>
      <c r="Q102" s="154">
        <f>IF($O102="","",IFERROR(INDEX(Basis_of_Estimate!$D$5:$D$9,MATCH($O102,Basis_of_Estimate!$A$5:$A$9,0)),""))</f>
        <v/>
      </c>
      <c r="R102" s="153">
        <f>IF($N102="","",$N102*(1+$P102))</f>
        <v/>
      </c>
      <c r="S102" s="153">
        <f>IF($N102="","",$N102)</f>
        <v/>
      </c>
      <c r="T102" s="153">
        <f>IF($N102="","",$N102*(1+$Q102))</f>
        <v/>
      </c>
      <c r="U102" s="150">
        <f>IF($D102="","",IFERROR(INDEX(WBS_CBS!$M$5:$M$16,MATCH($D102,WBS_CBS!$A$5:$A$16,0)),"Yes"))</f>
        <v/>
      </c>
      <c r="V102" s="150">
        <f>IF($D102="","",IFERROR(INDEX(WBS_CBS!$N$5:$N$16,MATCH($D102,WBS_CBS!$A$5:$A$16,0)),"Yes"))</f>
        <v/>
      </c>
      <c r="W102" s="150">
        <f>IF($D102="","",IFERROR(INDEX(WBS_CBS!$K$5:$K$16,MATCH($D102,WBS_CBS!$A$5:$A$16,0)),""))</f>
        <v/>
      </c>
      <c r="X102" s="150">
        <f>IF($D102="","",IFERROR(INDEX(WBS_CBS!$F$5:$F$16,MATCH($D102,WBS_CBS!$A$5:$A$16,0)),""))</f>
        <v/>
      </c>
      <c r="Y102" s="149" t="n"/>
      <c r="Z102" s="149" t="n"/>
      <c r="AA102" s="150">
        <f>IF($D102="","",IFERROR(INDEX(WBS_CBS!$L$5:$L$16,MATCH($D102,WBS_CBS!$A$5:$A$16,0)),""))</f>
        <v/>
      </c>
      <c r="AB102" s="149" t="n"/>
    </row>
    <row r="103">
      <c r="A103" s="149" t="n"/>
      <c r="B103" s="149" t="n"/>
      <c r="C103" s="150">
        <f>IF($D103="","",IFERROR(INDEX(WBS_CBS!$E$5:$E$16,MATCH($D103,WBS_CBS!$A$5:$A$16,0)),""))</f>
        <v/>
      </c>
      <c r="D103" s="149" t="n"/>
      <c r="E103" s="150">
        <f>IF($D103="","",IFERROR(INDEX(WBS_CBS!$C$5:$C$16,MATCH($D103,WBS_CBS!$A$5:$A$16,0)),""))</f>
        <v/>
      </c>
      <c r="F103" s="150">
        <f>IF($D103="","",IFERROR(INDEX(WBS_CBS!$J$5:$J$16,MATCH($D103,WBS_CBS!$A$5:$A$16,0)),""))</f>
        <v/>
      </c>
      <c r="G103" s="149" t="n"/>
      <c r="H103" s="151" t="n"/>
      <c r="I103" s="149" t="n"/>
      <c r="J103" s="152" t="n"/>
      <c r="K103" s="149" t="n"/>
      <c r="L103" s="153">
        <f>IF($K103="","",IFERROR(INDEX(FX_Rates!$B$5:$B$14,MATCH($K103,FX_Rates!$A$5:$A$14,0)),""))</f>
        <v/>
      </c>
      <c r="M103" s="153">
        <f>IF(OR($H103="",$J103=""),"",$H103*$J103)</f>
        <v/>
      </c>
      <c r="N103" s="153">
        <f>IF(OR($M103="",$L103=""),"",$M103*$L103)</f>
        <v/>
      </c>
      <c r="O103" s="149" t="n"/>
      <c r="P103" s="154">
        <f>IF($O103="","",IFERROR(INDEX(Basis_of_Estimate!$C$5:$C$9,MATCH($O103,Basis_of_Estimate!$A$5:$A$9,0)),""))</f>
        <v/>
      </c>
      <c r="Q103" s="154">
        <f>IF($O103="","",IFERROR(INDEX(Basis_of_Estimate!$D$5:$D$9,MATCH($O103,Basis_of_Estimate!$A$5:$A$9,0)),""))</f>
        <v/>
      </c>
      <c r="R103" s="153">
        <f>IF($N103="","",$N103*(1+$P103))</f>
        <v/>
      </c>
      <c r="S103" s="153">
        <f>IF($N103="","",$N103)</f>
        <v/>
      </c>
      <c r="T103" s="153">
        <f>IF($N103="","",$N103*(1+$Q103))</f>
        <v/>
      </c>
      <c r="U103" s="150">
        <f>IF($D103="","",IFERROR(INDEX(WBS_CBS!$M$5:$M$16,MATCH($D103,WBS_CBS!$A$5:$A$16,0)),"Yes"))</f>
        <v/>
      </c>
      <c r="V103" s="150">
        <f>IF($D103="","",IFERROR(INDEX(WBS_CBS!$N$5:$N$16,MATCH($D103,WBS_CBS!$A$5:$A$16,0)),"Yes"))</f>
        <v/>
      </c>
      <c r="W103" s="150">
        <f>IF($D103="","",IFERROR(INDEX(WBS_CBS!$K$5:$K$16,MATCH($D103,WBS_CBS!$A$5:$A$16,0)),""))</f>
        <v/>
      </c>
      <c r="X103" s="150">
        <f>IF($D103="","",IFERROR(INDEX(WBS_CBS!$F$5:$F$16,MATCH($D103,WBS_CBS!$A$5:$A$16,0)),""))</f>
        <v/>
      </c>
      <c r="Y103" s="149" t="n"/>
      <c r="Z103" s="149" t="n"/>
      <c r="AA103" s="150">
        <f>IF($D103="","",IFERROR(INDEX(WBS_CBS!$L$5:$L$16,MATCH($D103,WBS_CBS!$A$5:$A$16,0)),""))</f>
        <v/>
      </c>
      <c r="AB103" s="149" t="n"/>
    </row>
    <row r="104">
      <c r="A104" s="149" t="n"/>
      <c r="B104" s="149" t="n"/>
      <c r="C104" s="150">
        <f>IF($D104="","",IFERROR(INDEX(WBS_CBS!$E$5:$E$16,MATCH($D104,WBS_CBS!$A$5:$A$16,0)),""))</f>
        <v/>
      </c>
      <c r="D104" s="149" t="n"/>
      <c r="E104" s="150">
        <f>IF($D104="","",IFERROR(INDEX(WBS_CBS!$C$5:$C$16,MATCH($D104,WBS_CBS!$A$5:$A$16,0)),""))</f>
        <v/>
      </c>
      <c r="F104" s="150">
        <f>IF($D104="","",IFERROR(INDEX(WBS_CBS!$J$5:$J$16,MATCH($D104,WBS_CBS!$A$5:$A$16,0)),""))</f>
        <v/>
      </c>
      <c r="G104" s="149" t="n"/>
      <c r="H104" s="151" t="n"/>
      <c r="I104" s="149" t="n"/>
      <c r="J104" s="152" t="n"/>
      <c r="K104" s="149" t="n"/>
      <c r="L104" s="153">
        <f>IF($K104="","",IFERROR(INDEX(FX_Rates!$B$5:$B$14,MATCH($K104,FX_Rates!$A$5:$A$14,0)),""))</f>
        <v/>
      </c>
      <c r="M104" s="153">
        <f>IF(OR($H104="",$J104=""),"",$H104*$J104)</f>
        <v/>
      </c>
      <c r="N104" s="153">
        <f>IF(OR($M104="",$L104=""),"",$M104*$L104)</f>
        <v/>
      </c>
      <c r="O104" s="149" t="n"/>
      <c r="P104" s="154">
        <f>IF($O104="","",IFERROR(INDEX(Basis_of_Estimate!$C$5:$C$9,MATCH($O104,Basis_of_Estimate!$A$5:$A$9,0)),""))</f>
        <v/>
      </c>
      <c r="Q104" s="154">
        <f>IF($O104="","",IFERROR(INDEX(Basis_of_Estimate!$D$5:$D$9,MATCH($O104,Basis_of_Estimate!$A$5:$A$9,0)),""))</f>
        <v/>
      </c>
      <c r="R104" s="153">
        <f>IF($N104="","",$N104*(1+$P104))</f>
        <v/>
      </c>
      <c r="S104" s="153">
        <f>IF($N104="","",$N104)</f>
        <v/>
      </c>
      <c r="T104" s="153">
        <f>IF($N104="","",$N104*(1+$Q104))</f>
        <v/>
      </c>
      <c r="U104" s="150">
        <f>IF($D104="","",IFERROR(INDEX(WBS_CBS!$M$5:$M$16,MATCH($D104,WBS_CBS!$A$5:$A$16,0)),"Yes"))</f>
        <v/>
      </c>
      <c r="V104" s="150">
        <f>IF($D104="","",IFERROR(INDEX(WBS_CBS!$N$5:$N$16,MATCH($D104,WBS_CBS!$A$5:$A$16,0)),"Yes"))</f>
        <v/>
      </c>
      <c r="W104" s="150">
        <f>IF($D104="","",IFERROR(INDEX(WBS_CBS!$K$5:$K$16,MATCH($D104,WBS_CBS!$A$5:$A$16,0)),""))</f>
        <v/>
      </c>
      <c r="X104" s="150">
        <f>IF($D104="","",IFERROR(INDEX(WBS_CBS!$F$5:$F$16,MATCH($D104,WBS_CBS!$A$5:$A$16,0)),""))</f>
        <v/>
      </c>
      <c r="Y104" s="149" t="n"/>
      <c r="Z104" s="149" t="n"/>
      <c r="AA104" s="150">
        <f>IF($D104="","",IFERROR(INDEX(WBS_CBS!$L$5:$L$16,MATCH($D104,WBS_CBS!$A$5:$A$16,0)),""))</f>
        <v/>
      </c>
      <c r="AB104" s="149" t="n"/>
    </row>
  </sheetData>
  <mergeCells count="2">
    <mergeCell ref="A2:AB2"/>
    <mergeCell ref="A1:AB1"/>
  </mergeCells>
  <dataValidations count="19">
    <dataValidation sqref="C5:C104" showDropDown="0" showInputMessage="0" showErrorMessage="0" allowBlank="0" type="list">
      <formula1>"Process,Mechanical,Piping,Civil,Electrical,Instrumentation,Automation,Construction,Project Management,Procurement,HSE,Commissioning,Owner,Other"</formula1>
    </dataValidation>
    <dataValidation sqref="D5:D104" showDropDown="0" showInputMessage="0" showErrorMessage="0" allowBlank="0" type="list">
      <formula1>"1.0,2.0,3.0,4.0,5.0,6.0,7.0,8.0,9.0,10.0,11.0,12.0"</formula1>
    </dataValidation>
    <dataValidation sqref="E5:E104" showDropDown="0" showInputMessage="0" showErrorMessage="0" allowBlank="0" type="list">
      <formula1>"PM,ENG,PROC,EQP,BULK,CIV,ELE,I&amp;A,CON,COM,OWN,OTH"</formula1>
    </dataValidation>
    <dataValidation sqref="F5:F104" showDropDown="0" showInputMessage="0" showErrorMessage="0" allowBlank="0" type="list">
      <formula1>"Direct Cost,Indirect Cost,Owner Cost,Manpower Cost,Other Cost"</formula1>
    </dataValidation>
    <dataValidation sqref="G5:G104" showDropDown="0" showInputMessage="0" showErrorMessage="0" allowBlank="0" type="list">
      <formula1>"Equipment,Bulk Material,Construction,Engineering,EPCM,Owner,Labour,Freight,Spares,Other"</formula1>
    </dataValidation>
    <dataValidation sqref="I5:I104" showDropDown="0" showInputMessage="0" showErrorMessage="0" allowBlank="0" type="list">
      <formula1>"lot,each,m,m2,m3,kg,ton,h,month,FTE-month"</formula1>
    </dataValidation>
    <dataValidation sqref="K5:K104" showDropDown="0" showInputMessage="0" showErrorMessage="0" allowBlank="0" type="list">
      <formula1>"EUR,USD,GBP,CHF,DKK,SEK,NOK,PLN,TRY,MAD"</formula1>
    </dataValidation>
    <dataValidation sqref="O5:O104" showDropDown="0" showInputMessage="0" showErrorMessage="0" allowBlank="0" type="list">
      <formula1>"Class 5,Class 4,Class 3,Class 2,Class 1"</formula1>
    </dataValidation>
    <dataValidation sqref="U5:V104" showDropDown="0" showInputMessage="0" showErrorMessage="0" allowBlank="0" type="list">
      <formula1>"Yes,No"</formula1>
    </dataValidation>
    <dataValidation sqref="W5:X104" showDropDown="0" showInputMessage="0" showErrorMessage="0" allowBlank="0" type="list">
      <formula1>"Engineering,Procurement,Construction,Commissioning,Other"</formula1>
    </dataValidation>
    <dataValidation sqref="AA5:AA104" showDropDown="0" showInputMessage="0" showErrorMessage="0" allowBlank="0" type="list">
      <formula1>"Linear,Front Loaded,Back Loaded,Bell Curve,Manual"</formula1>
    </dataValidation>
    <dataValidation sqref="D5:D104" showDropDown="0" showInputMessage="0" showErrorMessage="0" allowBlank="1" errorTitle="Invalid selection" error="Select a value from the list." type="list">
      <formula1>WBS_CBS!$A$5:$A$16</formula1>
    </dataValidation>
    <dataValidation sqref="K5:K104" showDropDown="0" showInputMessage="0" showErrorMessage="0" allowBlank="1" errorTitle="Invalid selection" error="Select a value from the list." type="list">
      <formula1>FX_Rates!$A$5:$A$14</formula1>
    </dataValidation>
    <dataValidation sqref="O5:O104" showDropDown="0" showInputMessage="0" showErrorMessage="0" allowBlank="1" errorTitle="Invalid selection" error="Select a value from the list." type="list">
      <formula1>Basis_of_Estimate!$A$5:$A$9</formula1>
    </dataValidation>
    <dataValidation sqref="U5:U104" showDropDown="0" showInputMessage="0" showErrorMessage="0" allowBlank="1" errorTitle="Invalid selection" error="Select a value from the list." type="list">
      <formula1>Lists_Config!$E$5:$E$6</formula1>
    </dataValidation>
    <dataValidation sqref="V5:V104" showDropDown="0" showInputMessage="0" showErrorMessage="0" allowBlank="1" errorTitle="Invalid selection" error="Select a value from the list." type="list">
      <formula1>Lists_Config!$E$5:$E$6</formula1>
    </dataValidation>
    <dataValidation sqref="AA5:AA104" showDropDown="0" showInputMessage="0" showErrorMessage="0" allowBlank="1" errorTitle="Invalid selection" error="Select a value from the list." type="list">
      <formula1>Lists_Config!$I$5:$I$8</formula1>
    </dataValidation>
    <dataValidation sqref="I5:I104" showDropDown="0" showInputMessage="0" showErrorMessage="0" allowBlank="1" errorTitle="Invalid selection" error="Select a value from the list." type="list">
      <formula1>Lists_Config!$J$5:$J$14</formula1>
    </dataValidation>
    <dataValidation sqref="G5:G104" showDropDown="0" showInputMessage="0" showErrorMessage="0" allowBlank="1" errorTitle="Invalid selection" error="Select a value from the list." type="list">
      <formula1>Lists_Config!$C$5:$C$13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AD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25"/>
  <cols>
    <col width="12" customWidth="1" style="70" min="1" max="1"/>
    <col width="32" customWidth="1" style="70" min="2" max="2"/>
    <col width="16" customWidth="1" style="70" min="3" max="7"/>
    <col width="10" customWidth="1" style="70" min="4" max="4"/>
    <col width="12" customWidth="1" style="70" min="5" max="5"/>
    <col width="16" customWidth="1" style="70" min="6" max="6"/>
    <col width="14" customWidth="1" style="70" min="7" max="7"/>
    <col width="10" customWidth="1" style="70" min="8" max="8"/>
    <col width="10" customWidth="1" style="70" min="9" max="9"/>
    <col width="14" customWidth="1" style="70" min="10" max="14"/>
    <col width="12" customWidth="1" style="70" min="11" max="11"/>
    <col width="12" customWidth="1" style="70" min="12" max="12"/>
    <col width="14" customWidth="1" style="70" min="13" max="13"/>
    <col width="14" customWidth="1" style="70" min="14" max="14"/>
    <col width="14" customWidth="1" style="70" min="15" max="20"/>
    <col width="12" customWidth="1" style="70" min="16" max="16"/>
    <col width="12" customWidth="1" style="70" min="17" max="17"/>
    <col width="14" customWidth="1" style="70" min="18" max="18"/>
    <col width="14" customWidth="1" style="70" min="19" max="19"/>
    <col width="14" customWidth="1" style="70" min="20" max="20"/>
    <col width="12" customWidth="1" style="70" min="21" max="27"/>
    <col width="12" customWidth="1" style="70" min="22" max="22"/>
    <col width="14" customWidth="1" style="70" min="23" max="23"/>
    <col width="14" customWidth="1" style="70" min="24" max="24"/>
    <col width="12" customWidth="1" style="70" min="25" max="25"/>
    <col width="12" customWidth="1" style="70" min="26" max="26"/>
    <col width="14" customWidth="1" style="70" min="27" max="27"/>
    <col width="24" customWidth="1" style="70" min="28" max="28"/>
  </cols>
  <sheetData>
    <row r="1" ht="24" customHeight="1" s="70">
      <c r="A1" s="144" t="inlineStr">
        <is>
          <t>Instrumentation Automation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100" t="n"/>
      <c r="AD1" s="100" t="n"/>
    </row>
    <row r="2" ht="21.95000076293945" customHeight="1" s="70">
      <c r="A2" s="67" t="inlineStr">
        <is>
          <t>User input layer. Cost_Register must be rebuilt from these sheets via BuildCostRegister.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</row>
    <row r="4" ht="28" customHeight="1" s="70">
      <c r="A4" s="148" t="inlineStr">
        <is>
          <t>Item ID</t>
        </is>
      </c>
      <c r="B4" s="148" t="inlineStr">
        <is>
          <t>Description</t>
        </is>
      </c>
      <c r="C4" s="148" t="inlineStr">
        <is>
          <t>Discipline</t>
        </is>
      </c>
      <c r="D4" s="148" t="inlineStr">
        <is>
          <t>WBS</t>
        </is>
      </c>
      <c r="E4" s="148" t="inlineStr">
        <is>
          <t>CBS</t>
        </is>
      </c>
      <c r="F4" s="148" t="inlineStr">
        <is>
          <t>Cost Category</t>
        </is>
      </c>
      <c r="G4" s="148" t="inlineStr">
        <is>
          <t>Cost Type</t>
        </is>
      </c>
      <c r="H4" s="148" t="inlineStr">
        <is>
          <t>Quantity</t>
        </is>
      </c>
      <c r="I4" s="148" t="inlineStr">
        <is>
          <t>Unit</t>
        </is>
      </c>
      <c r="J4" s="148" t="inlineStr">
        <is>
          <t>Unit Rate</t>
        </is>
      </c>
      <c r="K4" s="148" t="inlineStr">
        <is>
          <t>Currency</t>
        </is>
      </c>
      <c r="L4" s="148" t="inlineStr">
        <is>
          <t>FX Rate</t>
        </is>
      </c>
      <c r="M4" s="148" t="inlineStr">
        <is>
          <t>Base Cost</t>
        </is>
      </c>
      <c r="N4" s="148" t="inlineStr">
        <is>
          <t>Base Cost EUR</t>
        </is>
      </c>
      <c r="O4" s="148" t="inlineStr">
        <is>
          <t>Estimate Basis</t>
        </is>
      </c>
      <c r="P4" s="148" t="inlineStr">
        <is>
          <t>Accuracy Low %</t>
        </is>
      </c>
      <c r="Q4" s="148" t="inlineStr">
        <is>
          <t>Accuracy High %</t>
        </is>
      </c>
      <c r="R4" s="148" t="inlineStr">
        <is>
          <t>Low Cost</t>
        </is>
      </c>
      <c r="S4" s="148" t="inlineStr">
        <is>
          <t>Most Likely Cost</t>
        </is>
      </c>
      <c r="T4" s="148" t="inlineStr">
        <is>
          <t>High Cost</t>
        </is>
      </c>
      <c r="U4" s="148" t="inlineStr">
        <is>
          <t>Contingency Eligible</t>
        </is>
      </c>
      <c r="V4" s="148" t="inlineStr">
        <is>
          <t>Escalation Eligible</t>
        </is>
      </c>
      <c r="W4" s="148" t="inlineStr">
        <is>
          <t>Spend Category</t>
        </is>
      </c>
      <c r="X4" s="148" t="inlineStr">
        <is>
          <t>Phase</t>
        </is>
      </c>
      <c r="Y4" s="148" t="inlineStr">
        <is>
          <t>Start Month</t>
        </is>
      </c>
      <c r="Z4" s="148" t="inlineStr">
        <is>
          <t>End Month</t>
        </is>
      </c>
      <c r="AA4" s="148" t="inlineStr">
        <is>
          <t>Spend Curve</t>
        </is>
      </c>
      <c r="AB4" s="148" t="inlineStr">
        <is>
          <t>Notes</t>
        </is>
      </c>
    </row>
    <row r="5">
      <c r="A5" s="149" t="inlineStr">
        <is>
          <t>IA-001</t>
        </is>
      </c>
      <c r="B5" s="149" t="inlineStr">
        <is>
          <t>PLC/DCS hardware and software</t>
        </is>
      </c>
      <c r="C5" s="150">
        <f>IF($D5="","",IFERROR(INDEX(WBS_CBS!$E$5:$E$16,MATCH($D5,WBS_CBS!$A$5:$A$16,0)),""))</f>
        <v/>
      </c>
      <c r="D5" s="149" t="inlineStr">
        <is>
          <t>8.0</t>
        </is>
      </c>
      <c r="E5" s="150">
        <f>IF($D5="","",IFERROR(INDEX(WBS_CBS!$C$5:$C$16,MATCH($D5,WBS_CBS!$A$5:$A$16,0)),""))</f>
        <v/>
      </c>
      <c r="F5" s="150">
        <f>IF($D5="","",IFERROR(INDEX(WBS_CBS!$J$5:$J$16,MATCH($D5,WBS_CBS!$A$5:$A$16,0)),""))</f>
        <v/>
      </c>
      <c r="G5" s="149" t="inlineStr">
        <is>
          <t>Equipment</t>
        </is>
      </c>
      <c r="H5" s="151" t="n">
        <v>1</v>
      </c>
      <c r="I5" s="149" t="inlineStr">
        <is>
          <t>lot</t>
        </is>
      </c>
      <c r="J5" s="152" t="n">
        <v>1200000</v>
      </c>
      <c r="K5" s="149" t="inlineStr">
        <is>
          <t>EUR</t>
        </is>
      </c>
      <c r="L5" s="153">
        <f>IF($K5="","",IFERROR(INDEX(FX_Rates!$B$5:$B$14,MATCH($K5,FX_Rates!$A$5:$A$14,0)),""))</f>
        <v/>
      </c>
      <c r="M5" s="153">
        <f>IF(OR($H5="",$J5=""),"",$H5*$J5)</f>
        <v/>
      </c>
      <c r="N5" s="153">
        <f>IF(OR($M5="",$L5=""),"",$M5*$L5)</f>
        <v/>
      </c>
      <c r="O5" s="149" t="inlineStr">
        <is>
          <t>Class 3</t>
        </is>
      </c>
      <c r="P5" s="154">
        <f>IF($O5="","",IFERROR(INDEX(Basis_of_Estimate!$C$5:$C$9,MATCH($O5,Basis_of_Estimate!$A$5:$A$9,0)),""))</f>
        <v/>
      </c>
      <c r="Q5" s="154">
        <f>IF($O5="","",IFERROR(INDEX(Basis_of_Estimate!$D$5:$D$9,MATCH($O5,Basis_of_Estimate!$A$5:$A$9,0)),""))</f>
        <v/>
      </c>
      <c r="R5" s="153">
        <f>IF($N5="","",$N5*(1+$P5))</f>
        <v/>
      </c>
      <c r="S5" s="153">
        <f>IF($N5="","",$N5)</f>
        <v/>
      </c>
      <c r="T5" s="153">
        <f>IF($N5="","",$N5*(1+$Q5))</f>
        <v/>
      </c>
      <c r="U5" s="150">
        <f>IF($D5="","",IFERROR(INDEX(WBS_CBS!$M$5:$M$16,MATCH($D5,WBS_CBS!$A$5:$A$16,0)),"Yes"))</f>
        <v/>
      </c>
      <c r="V5" s="150">
        <f>IF($D5="","",IFERROR(INDEX(WBS_CBS!$N$5:$N$16,MATCH($D5,WBS_CBS!$A$5:$A$16,0)),"Yes"))</f>
        <v/>
      </c>
      <c r="W5" s="150">
        <f>IF($D5="","",IFERROR(INDEX(WBS_CBS!$K$5:$K$16,MATCH($D5,WBS_CBS!$A$5:$A$16,0)),""))</f>
        <v/>
      </c>
      <c r="X5" s="150">
        <f>IF($D5="","",IFERROR(INDEX(WBS_CBS!$F$5:$F$16,MATCH($D5,WBS_CBS!$A$5:$A$16,0)),""))</f>
        <v/>
      </c>
      <c r="Y5" s="149" t="n">
        <v>8</v>
      </c>
      <c r="Z5" s="149" t="n">
        <v>22</v>
      </c>
      <c r="AA5" s="150">
        <f>IF($D5="","",IFERROR(INDEX(WBS_CBS!$L$5:$L$16,MATCH($D5,WBS_CBS!$A$5:$A$16,0)),""))</f>
        <v/>
      </c>
      <c r="AB5" s="149" t="n"/>
    </row>
    <row r="6">
      <c r="A6" s="149" t="inlineStr">
        <is>
          <t>IA-002</t>
        </is>
      </c>
      <c r="B6" s="149" t="inlineStr">
        <is>
          <t>Field instrumentation and valves</t>
        </is>
      </c>
      <c r="C6" s="150">
        <f>IF($D6="","",IFERROR(INDEX(WBS_CBS!$E$5:$E$16,MATCH($D6,WBS_CBS!$A$5:$A$16,0)),""))</f>
        <v/>
      </c>
      <c r="D6" s="149" t="inlineStr">
        <is>
          <t>8.0</t>
        </is>
      </c>
      <c r="E6" s="150">
        <f>IF($D6="","",IFERROR(INDEX(WBS_CBS!$C$5:$C$16,MATCH($D6,WBS_CBS!$A$5:$A$16,0)),""))</f>
        <v/>
      </c>
      <c r="F6" s="150">
        <f>IF($D6="","",IFERROR(INDEX(WBS_CBS!$J$5:$J$16,MATCH($D6,WBS_CBS!$A$5:$A$16,0)),""))</f>
        <v/>
      </c>
      <c r="G6" s="149" t="inlineStr">
        <is>
          <t>Equipment</t>
        </is>
      </c>
      <c r="H6" s="151" t="n">
        <v>1</v>
      </c>
      <c r="I6" s="149" t="inlineStr">
        <is>
          <t>lot</t>
        </is>
      </c>
      <c r="J6" s="152" t="n">
        <v>1000000</v>
      </c>
      <c r="K6" s="149" t="inlineStr">
        <is>
          <t>EUR</t>
        </is>
      </c>
      <c r="L6" s="153">
        <f>IF($K6="","",IFERROR(INDEX(FX_Rates!$B$5:$B$14,MATCH($K6,FX_Rates!$A$5:$A$14,0)),""))</f>
        <v/>
      </c>
      <c r="M6" s="153">
        <f>IF(OR($H6="",$J6=""),"",$H6*$J6)</f>
        <v/>
      </c>
      <c r="N6" s="153">
        <f>IF(OR($M6="",$L6=""),"",$M6*$L6)</f>
        <v/>
      </c>
      <c r="O6" s="149" t="inlineStr">
        <is>
          <t>Class 3</t>
        </is>
      </c>
      <c r="P6" s="154">
        <f>IF($O6="","",IFERROR(INDEX(Basis_of_Estimate!$C$5:$C$9,MATCH($O6,Basis_of_Estimate!$A$5:$A$9,0)),""))</f>
        <v/>
      </c>
      <c r="Q6" s="154">
        <f>IF($O6="","",IFERROR(INDEX(Basis_of_Estimate!$D$5:$D$9,MATCH($O6,Basis_of_Estimate!$A$5:$A$9,0)),""))</f>
        <v/>
      </c>
      <c r="R6" s="153">
        <f>IF($N6="","",$N6*(1+$P6))</f>
        <v/>
      </c>
      <c r="S6" s="153">
        <f>IF($N6="","",$N6)</f>
        <v/>
      </c>
      <c r="T6" s="153">
        <f>IF($N6="","",$N6*(1+$Q6))</f>
        <v/>
      </c>
      <c r="U6" s="150">
        <f>IF($D6="","",IFERROR(INDEX(WBS_CBS!$M$5:$M$16,MATCH($D6,WBS_CBS!$A$5:$A$16,0)),"Yes"))</f>
        <v/>
      </c>
      <c r="V6" s="150">
        <f>IF($D6="","",IFERROR(INDEX(WBS_CBS!$N$5:$N$16,MATCH($D6,WBS_CBS!$A$5:$A$16,0)),"Yes"))</f>
        <v/>
      </c>
      <c r="W6" s="150">
        <f>IF($D6="","",IFERROR(INDEX(WBS_CBS!$K$5:$K$16,MATCH($D6,WBS_CBS!$A$5:$A$16,0)),""))</f>
        <v/>
      </c>
      <c r="X6" s="150">
        <f>IF($D6="","",IFERROR(INDEX(WBS_CBS!$F$5:$F$16,MATCH($D6,WBS_CBS!$A$5:$A$16,0)),""))</f>
        <v/>
      </c>
      <c r="Y6" s="149" t="n">
        <v>10</v>
      </c>
      <c r="Z6" s="149" t="n">
        <v>25</v>
      </c>
      <c r="AA6" s="150">
        <f>IF($D6="","",IFERROR(INDEX(WBS_CBS!$L$5:$L$16,MATCH($D6,WBS_CBS!$A$5:$A$16,0)),""))</f>
        <v/>
      </c>
      <c r="AB6" s="149" t="n"/>
    </row>
    <row r="7">
      <c r="A7" s="149" t="inlineStr">
        <is>
          <t>IA-003</t>
        </is>
      </c>
      <c r="B7" s="149" t="inlineStr">
        <is>
          <t>Automation engineering and commissioning</t>
        </is>
      </c>
      <c r="C7" s="150">
        <f>IF($D7="","",IFERROR(INDEX(WBS_CBS!$E$5:$E$16,MATCH($D7,WBS_CBS!$A$5:$A$16,0)),""))</f>
        <v/>
      </c>
      <c r="D7" s="149" t="inlineStr">
        <is>
          <t>8.0</t>
        </is>
      </c>
      <c r="E7" s="150">
        <f>IF($D7="","",IFERROR(INDEX(WBS_CBS!$C$5:$C$16,MATCH($D7,WBS_CBS!$A$5:$A$16,0)),""))</f>
        <v/>
      </c>
      <c r="F7" s="150">
        <f>IF($D7="","",IFERROR(INDEX(WBS_CBS!$J$5:$J$16,MATCH($D7,WBS_CBS!$A$5:$A$16,0)),""))</f>
        <v/>
      </c>
      <c r="G7" s="149" t="inlineStr">
        <is>
          <t>Engineering</t>
        </is>
      </c>
      <c r="H7" s="151" t="n">
        <v>1</v>
      </c>
      <c r="I7" s="149" t="inlineStr">
        <is>
          <t>lot</t>
        </is>
      </c>
      <c r="J7" s="152" t="n">
        <v>800000</v>
      </c>
      <c r="K7" s="149" t="inlineStr">
        <is>
          <t>EUR</t>
        </is>
      </c>
      <c r="L7" s="153">
        <f>IF($K7="","",IFERROR(INDEX(FX_Rates!$B$5:$B$14,MATCH($K7,FX_Rates!$A$5:$A$14,0)),""))</f>
        <v/>
      </c>
      <c r="M7" s="153">
        <f>IF(OR($H7="",$J7=""),"",$H7*$J7)</f>
        <v/>
      </c>
      <c r="N7" s="153">
        <f>IF(OR($M7="",$L7=""),"",$M7*$L7)</f>
        <v/>
      </c>
      <c r="O7" s="149" t="inlineStr">
        <is>
          <t>Class 3</t>
        </is>
      </c>
      <c r="P7" s="154">
        <f>IF($O7="","",IFERROR(INDEX(Basis_of_Estimate!$C$5:$C$9,MATCH($O7,Basis_of_Estimate!$A$5:$A$9,0)),""))</f>
        <v/>
      </c>
      <c r="Q7" s="154">
        <f>IF($O7="","",IFERROR(INDEX(Basis_of_Estimate!$D$5:$D$9,MATCH($O7,Basis_of_Estimate!$A$5:$A$9,0)),""))</f>
        <v/>
      </c>
      <c r="R7" s="153">
        <f>IF($N7="","",$N7*(1+$P7))</f>
        <v/>
      </c>
      <c r="S7" s="153">
        <f>IF($N7="","",$N7)</f>
        <v/>
      </c>
      <c r="T7" s="153">
        <f>IF($N7="","",$N7*(1+$Q7))</f>
        <v/>
      </c>
      <c r="U7" s="150">
        <f>IF($D7="","",IFERROR(INDEX(WBS_CBS!$M$5:$M$16,MATCH($D7,WBS_CBS!$A$5:$A$16,0)),"Yes"))</f>
        <v/>
      </c>
      <c r="V7" s="150">
        <f>IF($D7="","",IFERROR(INDEX(WBS_CBS!$N$5:$N$16,MATCH($D7,WBS_CBS!$A$5:$A$16,0)),"Yes"))</f>
        <v/>
      </c>
      <c r="W7" s="150">
        <f>IF($D7="","",IFERROR(INDEX(WBS_CBS!$K$5:$K$16,MATCH($D7,WBS_CBS!$A$5:$A$16,0)),""))</f>
        <v/>
      </c>
      <c r="X7" s="150">
        <f>IF($D7="","",IFERROR(INDEX(WBS_CBS!$F$5:$F$16,MATCH($D7,WBS_CBS!$A$5:$A$16,0)),""))</f>
        <v/>
      </c>
      <c r="Y7" s="149" t="n">
        <v>4</v>
      </c>
      <c r="Z7" s="149" t="n">
        <v>35</v>
      </c>
      <c r="AA7" s="150">
        <f>IF($D7="","",IFERROR(INDEX(WBS_CBS!$L$5:$L$16,MATCH($D7,WBS_CBS!$A$5:$A$16,0)),""))</f>
        <v/>
      </c>
      <c r="AB7" s="149" t="n"/>
    </row>
    <row r="8">
      <c r="A8" s="149" t="n"/>
      <c r="B8" s="149" t="n"/>
      <c r="C8" s="150">
        <f>IF($D8="","",IFERROR(INDEX(WBS_CBS!$E$5:$E$16,MATCH($D8,WBS_CBS!$A$5:$A$16,0)),""))</f>
        <v/>
      </c>
      <c r="D8" s="149" t="n"/>
      <c r="E8" s="150">
        <f>IF($D8="","",IFERROR(INDEX(WBS_CBS!$C$5:$C$16,MATCH($D8,WBS_CBS!$A$5:$A$16,0)),""))</f>
        <v/>
      </c>
      <c r="F8" s="150">
        <f>IF($D8="","",IFERROR(INDEX(WBS_CBS!$J$5:$J$16,MATCH($D8,WBS_CBS!$A$5:$A$16,0)),""))</f>
        <v/>
      </c>
      <c r="G8" s="149" t="n"/>
      <c r="H8" s="151" t="n"/>
      <c r="I8" s="149" t="n"/>
      <c r="J8" s="152" t="n"/>
      <c r="K8" s="149" t="n"/>
      <c r="L8" s="153">
        <f>IF($K8="","",IFERROR(INDEX(FX_Rates!$B$5:$B$14,MATCH($K8,FX_Rates!$A$5:$A$14,0)),""))</f>
        <v/>
      </c>
      <c r="M8" s="153">
        <f>IF(OR($H8="",$J8=""),"",$H8*$J8)</f>
        <v/>
      </c>
      <c r="N8" s="153">
        <f>IF(OR($M8="",$L8=""),"",$M8*$L8)</f>
        <v/>
      </c>
      <c r="O8" s="149" t="n"/>
      <c r="P8" s="154">
        <f>IF($O8="","",IFERROR(INDEX(Basis_of_Estimate!$C$5:$C$9,MATCH($O8,Basis_of_Estimate!$A$5:$A$9,0)),""))</f>
        <v/>
      </c>
      <c r="Q8" s="154">
        <f>IF($O8="","",IFERROR(INDEX(Basis_of_Estimate!$D$5:$D$9,MATCH($O8,Basis_of_Estimate!$A$5:$A$9,0)),""))</f>
        <v/>
      </c>
      <c r="R8" s="153">
        <f>IF($N8="","",$N8*(1+$P8))</f>
        <v/>
      </c>
      <c r="S8" s="153">
        <f>IF($N8="","",$N8)</f>
        <v/>
      </c>
      <c r="T8" s="153">
        <f>IF($N8="","",$N8*(1+$Q8))</f>
        <v/>
      </c>
      <c r="U8" s="150">
        <f>IF($D8="","",IFERROR(INDEX(WBS_CBS!$M$5:$M$16,MATCH($D8,WBS_CBS!$A$5:$A$16,0)),"Yes"))</f>
        <v/>
      </c>
      <c r="V8" s="150">
        <f>IF($D8="","",IFERROR(INDEX(WBS_CBS!$N$5:$N$16,MATCH($D8,WBS_CBS!$A$5:$A$16,0)),"Yes"))</f>
        <v/>
      </c>
      <c r="W8" s="150">
        <f>IF($D8="","",IFERROR(INDEX(WBS_CBS!$K$5:$K$16,MATCH($D8,WBS_CBS!$A$5:$A$16,0)),""))</f>
        <v/>
      </c>
      <c r="X8" s="150">
        <f>IF($D8="","",IFERROR(INDEX(WBS_CBS!$F$5:$F$16,MATCH($D8,WBS_CBS!$A$5:$A$16,0)),""))</f>
        <v/>
      </c>
      <c r="Y8" s="149" t="n"/>
      <c r="Z8" s="149" t="n"/>
      <c r="AA8" s="150">
        <f>IF($D8="","",IFERROR(INDEX(WBS_CBS!$L$5:$L$16,MATCH($D8,WBS_CBS!$A$5:$A$16,0)),""))</f>
        <v/>
      </c>
      <c r="AB8" s="149" t="n"/>
    </row>
    <row r="9">
      <c r="A9" s="149" t="n"/>
      <c r="B9" s="149" t="n"/>
      <c r="C9" s="150">
        <f>IF($D9="","",IFERROR(INDEX(WBS_CBS!$E$5:$E$16,MATCH($D9,WBS_CBS!$A$5:$A$16,0)),""))</f>
        <v/>
      </c>
      <c r="D9" s="149" t="n"/>
      <c r="E9" s="150">
        <f>IF($D9="","",IFERROR(INDEX(WBS_CBS!$C$5:$C$16,MATCH($D9,WBS_CBS!$A$5:$A$16,0)),""))</f>
        <v/>
      </c>
      <c r="F9" s="150">
        <f>IF($D9="","",IFERROR(INDEX(WBS_CBS!$J$5:$J$16,MATCH($D9,WBS_CBS!$A$5:$A$16,0)),""))</f>
        <v/>
      </c>
      <c r="G9" s="149" t="n"/>
      <c r="H9" s="151" t="n"/>
      <c r="I9" s="149" t="n"/>
      <c r="J9" s="152" t="n"/>
      <c r="K9" s="149" t="n"/>
      <c r="L9" s="153">
        <f>IF($K9="","",IFERROR(INDEX(FX_Rates!$B$5:$B$14,MATCH($K9,FX_Rates!$A$5:$A$14,0)),""))</f>
        <v/>
      </c>
      <c r="M9" s="153">
        <f>IF(OR($H9="",$J9=""),"",$H9*$J9)</f>
        <v/>
      </c>
      <c r="N9" s="153">
        <f>IF(OR($M9="",$L9=""),"",$M9*$L9)</f>
        <v/>
      </c>
      <c r="O9" s="149" t="n"/>
      <c r="P9" s="154">
        <f>IF($O9="","",IFERROR(INDEX(Basis_of_Estimate!$C$5:$C$9,MATCH($O9,Basis_of_Estimate!$A$5:$A$9,0)),""))</f>
        <v/>
      </c>
      <c r="Q9" s="154">
        <f>IF($O9="","",IFERROR(INDEX(Basis_of_Estimate!$D$5:$D$9,MATCH($O9,Basis_of_Estimate!$A$5:$A$9,0)),""))</f>
        <v/>
      </c>
      <c r="R9" s="153">
        <f>IF($N9="","",$N9*(1+$P9))</f>
        <v/>
      </c>
      <c r="S9" s="153">
        <f>IF($N9="","",$N9)</f>
        <v/>
      </c>
      <c r="T9" s="153">
        <f>IF($N9="","",$N9*(1+$Q9))</f>
        <v/>
      </c>
      <c r="U9" s="150">
        <f>IF($D9="","",IFERROR(INDEX(WBS_CBS!$M$5:$M$16,MATCH($D9,WBS_CBS!$A$5:$A$16,0)),"Yes"))</f>
        <v/>
      </c>
      <c r="V9" s="150">
        <f>IF($D9="","",IFERROR(INDEX(WBS_CBS!$N$5:$N$16,MATCH($D9,WBS_CBS!$A$5:$A$16,0)),"Yes"))</f>
        <v/>
      </c>
      <c r="W9" s="150">
        <f>IF($D9="","",IFERROR(INDEX(WBS_CBS!$K$5:$K$16,MATCH($D9,WBS_CBS!$A$5:$A$16,0)),""))</f>
        <v/>
      </c>
      <c r="X9" s="150">
        <f>IF($D9="","",IFERROR(INDEX(WBS_CBS!$F$5:$F$16,MATCH($D9,WBS_CBS!$A$5:$A$16,0)),""))</f>
        <v/>
      </c>
      <c r="Y9" s="149" t="n"/>
      <c r="Z9" s="149" t="n"/>
      <c r="AA9" s="150">
        <f>IF($D9="","",IFERROR(INDEX(WBS_CBS!$L$5:$L$16,MATCH($D9,WBS_CBS!$A$5:$A$16,0)),""))</f>
        <v/>
      </c>
      <c r="AB9" s="149" t="n"/>
    </row>
    <row r="10">
      <c r="A10" s="149" t="n"/>
      <c r="B10" s="149" t="n"/>
      <c r="C10" s="150">
        <f>IF($D10="","",IFERROR(INDEX(WBS_CBS!$E$5:$E$16,MATCH($D10,WBS_CBS!$A$5:$A$16,0)),""))</f>
        <v/>
      </c>
      <c r="D10" s="149" t="n"/>
      <c r="E10" s="150">
        <f>IF($D10="","",IFERROR(INDEX(WBS_CBS!$C$5:$C$16,MATCH($D10,WBS_CBS!$A$5:$A$16,0)),""))</f>
        <v/>
      </c>
      <c r="F10" s="150">
        <f>IF($D10="","",IFERROR(INDEX(WBS_CBS!$J$5:$J$16,MATCH($D10,WBS_CBS!$A$5:$A$16,0)),""))</f>
        <v/>
      </c>
      <c r="G10" s="149" t="n"/>
      <c r="H10" s="151" t="n"/>
      <c r="I10" s="149" t="n"/>
      <c r="J10" s="152" t="n"/>
      <c r="K10" s="149" t="n"/>
      <c r="L10" s="153">
        <f>IF($K10="","",IFERROR(INDEX(FX_Rates!$B$5:$B$14,MATCH($K10,FX_Rates!$A$5:$A$14,0)),""))</f>
        <v/>
      </c>
      <c r="M10" s="153">
        <f>IF(OR($H10="",$J10=""),"",$H10*$J10)</f>
        <v/>
      </c>
      <c r="N10" s="153">
        <f>IF(OR($M10="",$L10=""),"",$M10*$L10)</f>
        <v/>
      </c>
      <c r="O10" s="149" t="n"/>
      <c r="P10" s="154">
        <f>IF($O10="","",IFERROR(INDEX(Basis_of_Estimate!$C$5:$C$9,MATCH($O10,Basis_of_Estimate!$A$5:$A$9,0)),""))</f>
        <v/>
      </c>
      <c r="Q10" s="154">
        <f>IF($O10="","",IFERROR(INDEX(Basis_of_Estimate!$D$5:$D$9,MATCH($O10,Basis_of_Estimate!$A$5:$A$9,0)),""))</f>
        <v/>
      </c>
      <c r="R10" s="153">
        <f>IF($N10="","",$N10*(1+$P10))</f>
        <v/>
      </c>
      <c r="S10" s="153">
        <f>IF($N10="","",$N10)</f>
        <v/>
      </c>
      <c r="T10" s="153">
        <f>IF($N10="","",$N10*(1+$Q10))</f>
        <v/>
      </c>
      <c r="U10" s="150">
        <f>IF($D10="","",IFERROR(INDEX(WBS_CBS!$M$5:$M$16,MATCH($D10,WBS_CBS!$A$5:$A$16,0)),"Yes"))</f>
        <v/>
      </c>
      <c r="V10" s="150">
        <f>IF($D10="","",IFERROR(INDEX(WBS_CBS!$N$5:$N$16,MATCH($D10,WBS_CBS!$A$5:$A$16,0)),"Yes"))</f>
        <v/>
      </c>
      <c r="W10" s="150">
        <f>IF($D10="","",IFERROR(INDEX(WBS_CBS!$K$5:$K$16,MATCH($D10,WBS_CBS!$A$5:$A$16,0)),""))</f>
        <v/>
      </c>
      <c r="X10" s="150">
        <f>IF($D10="","",IFERROR(INDEX(WBS_CBS!$F$5:$F$16,MATCH($D10,WBS_CBS!$A$5:$A$16,0)),""))</f>
        <v/>
      </c>
      <c r="Y10" s="149" t="n"/>
      <c r="Z10" s="149" t="n"/>
      <c r="AA10" s="150">
        <f>IF($D10="","",IFERROR(INDEX(WBS_CBS!$L$5:$L$16,MATCH($D10,WBS_CBS!$A$5:$A$16,0)),""))</f>
        <v/>
      </c>
      <c r="AB10" s="149" t="n"/>
    </row>
    <row r="11">
      <c r="A11" s="149" t="n"/>
      <c r="B11" s="149" t="n"/>
      <c r="C11" s="150">
        <f>IF($D11="","",IFERROR(INDEX(WBS_CBS!$E$5:$E$16,MATCH($D11,WBS_CBS!$A$5:$A$16,0)),""))</f>
        <v/>
      </c>
      <c r="D11" s="149" t="n"/>
      <c r="E11" s="150">
        <f>IF($D11="","",IFERROR(INDEX(WBS_CBS!$C$5:$C$16,MATCH($D11,WBS_CBS!$A$5:$A$16,0)),""))</f>
        <v/>
      </c>
      <c r="F11" s="150">
        <f>IF($D11="","",IFERROR(INDEX(WBS_CBS!$J$5:$J$16,MATCH($D11,WBS_CBS!$A$5:$A$16,0)),""))</f>
        <v/>
      </c>
      <c r="G11" s="149" t="n"/>
      <c r="H11" s="151" t="n"/>
      <c r="I11" s="149" t="n"/>
      <c r="J11" s="152" t="n"/>
      <c r="K11" s="149" t="n"/>
      <c r="L11" s="153">
        <f>IF($K11="","",IFERROR(INDEX(FX_Rates!$B$5:$B$14,MATCH($K11,FX_Rates!$A$5:$A$14,0)),""))</f>
        <v/>
      </c>
      <c r="M11" s="153">
        <f>IF(OR($H11="",$J11=""),"",$H11*$J11)</f>
        <v/>
      </c>
      <c r="N11" s="153">
        <f>IF(OR($M11="",$L11=""),"",$M11*$L11)</f>
        <v/>
      </c>
      <c r="O11" s="149" t="n"/>
      <c r="P11" s="154">
        <f>IF($O11="","",IFERROR(INDEX(Basis_of_Estimate!$C$5:$C$9,MATCH($O11,Basis_of_Estimate!$A$5:$A$9,0)),""))</f>
        <v/>
      </c>
      <c r="Q11" s="154">
        <f>IF($O11="","",IFERROR(INDEX(Basis_of_Estimate!$D$5:$D$9,MATCH($O11,Basis_of_Estimate!$A$5:$A$9,0)),""))</f>
        <v/>
      </c>
      <c r="R11" s="153">
        <f>IF($N11="","",$N11*(1+$P11))</f>
        <v/>
      </c>
      <c r="S11" s="153">
        <f>IF($N11="","",$N11)</f>
        <v/>
      </c>
      <c r="T11" s="153">
        <f>IF($N11="","",$N11*(1+$Q11))</f>
        <v/>
      </c>
      <c r="U11" s="150">
        <f>IF($D11="","",IFERROR(INDEX(WBS_CBS!$M$5:$M$16,MATCH($D11,WBS_CBS!$A$5:$A$16,0)),"Yes"))</f>
        <v/>
      </c>
      <c r="V11" s="150">
        <f>IF($D11="","",IFERROR(INDEX(WBS_CBS!$N$5:$N$16,MATCH($D11,WBS_CBS!$A$5:$A$16,0)),"Yes"))</f>
        <v/>
      </c>
      <c r="W11" s="150">
        <f>IF($D11="","",IFERROR(INDEX(WBS_CBS!$K$5:$K$16,MATCH($D11,WBS_CBS!$A$5:$A$16,0)),""))</f>
        <v/>
      </c>
      <c r="X11" s="150">
        <f>IF($D11="","",IFERROR(INDEX(WBS_CBS!$F$5:$F$16,MATCH($D11,WBS_CBS!$A$5:$A$16,0)),""))</f>
        <v/>
      </c>
      <c r="Y11" s="149" t="n"/>
      <c r="Z11" s="149" t="n"/>
      <c r="AA11" s="150">
        <f>IF($D11="","",IFERROR(INDEX(WBS_CBS!$L$5:$L$16,MATCH($D11,WBS_CBS!$A$5:$A$16,0)),""))</f>
        <v/>
      </c>
      <c r="AB11" s="149" t="n"/>
    </row>
    <row r="12">
      <c r="A12" s="149" t="n"/>
      <c r="B12" s="149" t="n"/>
      <c r="C12" s="150">
        <f>IF($D12="","",IFERROR(INDEX(WBS_CBS!$E$5:$E$16,MATCH($D12,WBS_CBS!$A$5:$A$16,0)),""))</f>
        <v/>
      </c>
      <c r="D12" s="149" t="n"/>
      <c r="E12" s="150">
        <f>IF($D12="","",IFERROR(INDEX(WBS_CBS!$C$5:$C$16,MATCH($D12,WBS_CBS!$A$5:$A$16,0)),""))</f>
        <v/>
      </c>
      <c r="F12" s="150">
        <f>IF($D12="","",IFERROR(INDEX(WBS_CBS!$J$5:$J$16,MATCH($D12,WBS_CBS!$A$5:$A$16,0)),""))</f>
        <v/>
      </c>
      <c r="G12" s="149" t="n"/>
      <c r="H12" s="151" t="n"/>
      <c r="I12" s="149" t="n"/>
      <c r="J12" s="152" t="n"/>
      <c r="K12" s="149" t="n"/>
      <c r="L12" s="153">
        <f>IF($K12="","",IFERROR(INDEX(FX_Rates!$B$5:$B$14,MATCH($K12,FX_Rates!$A$5:$A$14,0)),""))</f>
        <v/>
      </c>
      <c r="M12" s="153">
        <f>IF(OR($H12="",$J12=""),"",$H12*$J12)</f>
        <v/>
      </c>
      <c r="N12" s="153">
        <f>IF(OR($M12="",$L12=""),"",$M12*$L12)</f>
        <v/>
      </c>
      <c r="O12" s="149" t="n"/>
      <c r="P12" s="154">
        <f>IF($O12="","",IFERROR(INDEX(Basis_of_Estimate!$C$5:$C$9,MATCH($O12,Basis_of_Estimate!$A$5:$A$9,0)),""))</f>
        <v/>
      </c>
      <c r="Q12" s="154">
        <f>IF($O12="","",IFERROR(INDEX(Basis_of_Estimate!$D$5:$D$9,MATCH($O12,Basis_of_Estimate!$A$5:$A$9,0)),""))</f>
        <v/>
      </c>
      <c r="R12" s="153">
        <f>IF($N12="","",$N12*(1+$P12))</f>
        <v/>
      </c>
      <c r="S12" s="153">
        <f>IF($N12="","",$N12)</f>
        <v/>
      </c>
      <c r="T12" s="153">
        <f>IF($N12="","",$N12*(1+$Q12))</f>
        <v/>
      </c>
      <c r="U12" s="150">
        <f>IF($D12="","",IFERROR(INDEX(WBS_CBS!$M$5:$M$16,MATCH($D12,WBS_CBS!$A$5:$A$16,0)),"Yes"))</f>
        <v/>
      </c>
      <c r="V12" s="150">
        <f>IF($D12="","",IFERROR(INDEX(WBS_CBS!$N$5:$N$16,MATCH($D12,WBS_CBS!$A$5:$A$16,0)),"Yes"))</f>
        <v/>
      </c>
      <c r="W12" s="150">
        <f>IF($D12="","",IFERROR(INDEX(WBS_CBS!$K$5:$K$16,MATCH($D12,WBS_CBS!$A$5:$A$16,0)),""))</f>
        <v/>
      </c>
      <c r="X12" s="150">
        <f>IF($D12="","",IFERROR(INDEX(WBS_CBS!$F$5:$F$16,MATCH($D12,WBS_CBS!$A$5:$A$16,0)),""))</f>
        <v/>
      </c>
      <c r="Y12" s="149" t="n"/>
      <c r="Z12" s="149" t="n"/>
      <c r="AA12" s="150">
        <f>IF($D12="","",IFERROR(INDEX(WBS_CBS!$L$5:$L$16,MATCH($D12,WBS_CBS!$A$5:$A$16,0)),""))</f>
        <v/>
      </c>
      <c r="AB12" s="149" t="n"/>
    </row>
    <row r="13">
      <c r="A13" s="149" t="n"/>
      <c r="B13" s="149" t="n"/>
      <c r="C13" s="150">
        <f>IF($D13="","",IFERROR(INDEX(WBS_CBS!$E$5:$E$16,MATCH($D13,WBS_CBS!$A$5:$A$16,0)),""))</f>
        <v/>
      </c>
      <c r="D13" s="149" t="n"/>
      <c r="E13" s="150">
        <f>IF($D13="","",IFERROR(INDEX(WBS_CBS!$C$5:$C$16,MATCH($D13,WBS_CBS!$A$5:$A$16,0)),""))</f>
        <v/>
      </c>
      <c r="F13" s="150">
        <f>IF($D13="","",IFERROR(INDEX(WBS_CBS!$J$5:$J$16,MATCH($D13,WBS_CBS!$A$5:$A$16,0)),""))</f>
        <v/>
      </c>
      <c r="G13" s="149" t="n"/>
      <c r="H13" s="151" t="n"/>
      <c r="I13" s="149" t="n"/>
      <c r="J13" s="152" t="n"/>
      <c r="K13" s="149" t="n"/>
      <c r="L13" s="153">
        <f>IF($K13="","",IFERROR(INDEX(FX_Rates!$B$5:$B$14,MATCH($K13,FX_Rates!$A$5:$A$14,0)),""))</f>
        <v/>
      </c>
      <c r="M13" s="153">
        <f>IF(OR($H13="",$J13=""),"",$H13*$J13)</f>
        <v/>
      </c>
      <c r="N13" s="153">
        <f>IF(OR($M13="",$L13=""),"",$M13*$L13)</f>
        <v/>
      </c>
      <c r="O13" s="149" t="n"/>
      <c r="P13" s="154">
        <f>IF($O13="","",IFERROR(INDEX(Basis_of_Estimate!$C$5:$C$9,MATCH($O13,Basis_of_Estimate!$A$5:$A$9,0)),""))</f>
        <v/>
      </c>
      <c r="Q13" s="154">
        <f>IF($O13="","",IFERROR(INDEX(Basis_of_Estimate!$D$5:$D$9,MATCH($O13,Basis_of_Estimate!$A$5:$A$9,0)),""))</f>
        <v/>
      </c>
      <c r="R13" s="153">
        <f>IF($N13="","",$N13*(1+$P13))</f>
        <v/>
      </c>
      <c r="S13" s="153">
        <f>IF($N13="","",$N13)</f>
        <v/>
      </c>
      <c r="T13" s="153">
        <f>IF($N13="","",$N13*(1+$Q13))</f>
        <v/>
      </c>
      <c r="U13" s="150">
        <f>IF($D13="","",IFERROR(INDEX(WBS_CBS!$M$5:$M$16,MATCH($D13,WBS_CBS!$A$5:$A$16,0)),"Yes"))</f>
        <v/>
      </c>
      <c r="V13" s="150">
        <f>IF($D13="","",IFERROR(INDEX(WBS_CBS!$N$5:$N$16,MATCH($D13,WBS_CBS!$A$5:$A$16,0)),"Yes"))</f>
        <v/>
      </c>
      <c r="W13" s="150">
        <f>IF($D13="","",IFERROR(INDEX(WBS_CBS!$K$5:$K$16,MATCH($D13,WBS_CBS!$A$5:$A$16,0)),""))</f>
        <v/>
      </c>
      <c r="X13" s="150">
        <f>IF($D13="","",IFERROR(INDEX(WBS_CBS!$F$5:$F$16,MATCH($D13,WBS_CBS!$A$5:$A$16,0)),""))</f>
        <v/>
      </c>
      <c r="Y13" s="149" t="n"/>
      <c r="Z13" s="149" t="n"/>
      <c r="AA13" s="150">
        <f>IF($D13="","",IFERROR(INDEX(WBS_CBS!$L$5:$L$16,MATCH($D13,WBS_CBS!$A$5:$A$16,0)),""))</f>
        <v/>
      </c>
      <c r="AB13" s="149" t="n"/>
    </row>
    <row r="14">
      <c r="A14" s="149" t="n"/>
      <c r="B14" s="149" t="n"/>
      <c r="C14" s="150">
        <f>IF($D14="","",IFERROR(INDEX(WBS_CBS!$E$5:$E$16,MATCH($D14,WBS_CBS!$A$5:$A$16,0)),""))</f>
        <v/>
      </c>
      <c r="D14" s="149" t="n"/>
      <c r="E14" s="150">
        <f>IF($D14="","",IFERROR(INDEX(WBS_CBS!$C$5:$C$16,MATCH($D14,WBS_CBS!$A$5:$A$16,0)),""))</f>
        <v/>
      </c>
      <c r="F14" s="150">
        <f>IF($D14="","",IFERROR(INDEX(WBS_CBS!$J$5:$J$16,MATCH($D14,WBS_CBS!$A$5:$A$16,0)),""))</f>
        <v/>
      </c>
      <c r="G14" s="149" t="n"/>
      <c r="H14" s="151" t="n"/>
      <c r="I14" s="149" t="n"/>
      <c r="J14" s="152" t="n"/>
      <c r="K14" s="149" t="n"/>
      <c r="L14" s="153">
        <f>IF($K14="","",IFERROR(INDEX(FX_Rates!$B$5:$B$14,MATCH($K14,FX_Rates!$A$5:$A$14,0)),""))</f>
        <v/>
      </c>
      <c r="M14" s="153">
        <f>IF(OR($H14="",$J14=""),"",$H14*$J14)</f>
        <v/>
      </c>
      <c r="N14" s="153">
        <f>IF(OR($M14="",$L14=""),"",$M14*$L14)</f>
        <v/>
      </c>
      <c r="O14" s="149" t="n"/>
      <c r="P14" s="154">
        <f>IF($O14="","",IFERROR(INDEX(Basis_of_Estimate!$C$5:$C$9,MATCH($O14,Basis_of_Estimate!$A$5:$A$9,0)),""))</f>
        <v/>
      </c>
      <c r="Q14" s="154">
        <f>IF($O14="","",IFERROR(INDEX(Basis_of_Estimate!$D$5:$D$9,MATCH($O14,Basis_of_Estimate!$A$5:$A$9,0)),""))</f>
        <v/>
      </c>
      <c r="R14" s="153">
        <f>IF($N14="","",$N14*(1+$P14))</f>
        <v/>
      </c>
      <c r="S14" s="153">
        <f>IF($N14="","",$N14)</f>
        <v/>
      </c>
      <c r="T14" s="153">
        <f>IF($N14="","",$N14*(1+$Q14))</f>
        <v/>
      </c>
      <c r="U14" s="150">
        <f>IF($D14="","",IFERROR(INDEX(WBS_CBS!$M$5:$M$16,MATCH($D14,WBS_CBS!$A$5:$A$16,0)),"Yes"))</f>
        <v/>
      </c>
      <c r="V14" s="150">
        <f>IF($D14="","",IFERROR(INDEX(WBS_CBS!$N$5:$N$16,MATCH($D14,WBS_CBS!$A$5:$A$16,0)),"Yes"))</f>
        <v/>
      </c>
      <c r="W14" s="150">
        <f>IF($D14="","",IFERROR(INDEX(WBS_CBS!$K$5:$K$16,MATCH($D14,WBS_CBS!$A$5:$A$16,0)),""))</f>
        <v/>
      </c>
      <c r="X14" s="150">
        <f>IF($D14="","",IFERROR(INDEX(WBS_CBS!$F$5:$F$16,MATCH($D14,WBS_CBS!$A$5:$A$16,0)),""))</f>
        <v/>
      </c>
      <c r="Y14" s="149" t="n"/>
      <c r="Z14" s="149" t="n"/>
      <c r="AA14" s="150">
        <f>IF($D14="","",IFERROR(INDEX(WBS_CBS!$L$5:$L$16,MATCH($D14,WBS_CBS!$A$5:$A$16,0)),""))</f>
        <v/>
      </c>
      <c r="AB14" s="149" t="n"/>
    </row>
    <row r="15">
      <c r="A15" s="149" t="n"/>
      <c r="B15" s="149" t="n"/>
      <c r="C15" s="150">
        <f>IF($D15="","",IFERROR(INDEX(WBS_CBS!$E$5:$E$16,MATCH($D15,WBS_CBS!$A$5:$A$16,0)),""))</f>
        <v/>
      </c>
      <c r="D15" s="149" t="n"/>
      <c r="E15" s="150">
        <f>IF($D15="","",IFERROR(INDEX(WBS_CBS!$C$5:$C$16,MATCH($D15,WBS_CBS!$A$5:$A$16,0)),""))</f>
        <v/>
      </c>
      <c r="F15" s="150">
        <f>IF($D15="","",IFERROR(INDEX(WBS_CBS!$J$5:$J$16,MATCH($D15,WBS_CBS!$A$5:$A$16,0)),""))</f>
        <v/>
      </c>
      <c r="G15" s="149" t="n"/>
      <c r="H15" s="151" t="n"/>
      <c r="I15" s="149" t="n"/>
      <c r="J15" s="152" t="n"/>
      <c r="K15" s="149" t="n"/>
      <c r="L15" s="153">
        <f>IF($K15="","",IFERROR(INDEX(FX_Rates!$B$5:$B$14,MATCH($K15,FX_Rates!$A$5:$A$14,0)),""))</f>
        <v/>
      </c>
      <c r="M15" s="153">
        <f>IF(OR($H15="",$J15=""),"",$H15*$J15)</f>
        <v/>
      </c>
      <c r="N15" s="153">
        <f>IF(OR($M15="",$L15=""),"",$M15*$L15)</f>
        <v/>
      </c>
      <c r="O15" s="149" t="n"/>
      <c r="P15" s="154">
        <f>IF($O15="","",IFERROR(INDEX(Basis_of_Estimate!$C$5:$C$9,MATCH($O15,Basis_of_Estimate!$A$5:$A$9,0)),""))</f>
        <v/>
      </c>
      <c r="Q15" s="154">
        <f>IF($O15="","",IFERROR(INDEX(Basis_of_Estimate!$D$5:$D$9,MATCH($O15,Basis_of_Estimate!$A$5:$A$9,0)),""))</f>
        <v/>
      </c>
      <c r="R15" s="153">
        <f>IF($N15="","",$N15*(1+$P15))</f>
        <v/>
      </c>
      <c r="S15" s="153">
        <f>IF($N15="","",$N15)</f>
        <v/>
      </c>
      <c r="T15" s="153">
        <f>IF($N15="","",$N15*(1+$Q15))</f>
        <v/>
      </c>
      <c r="U15" s="150">
        <f>IF($D15="","",IFERROR(INDEX(WBS_CBS!$M$5:$M$16,MATCH($D15,WBS_CBS!$A$5:$A$16,0)),"Yes"))</f>
        <v/>
      </c>
      <c r="V15" s="150">
        <f>IF($D15="","",IFERROR(INDEX(WBS_CBS!$N$5:$N$16,MATCH($D15,WBS_CBS!$A$5:$A$16,0)),"Yes"))</f>
        <v/>
      </c>
      <c r="W15" s="150">
        <f>IF($D15="","",IFERROR(INDEX(WBS_CBS!$K$5:$K$16,MATCH($D15,WBS_CBS!$A$5:$A$16,0)),""))</f>
        <v/>
      </c>
      <c r="X15" s="150">
        <f>IF($D15="","",IFERROR(INDEX(WBS_CBS!$F$5:$F$16,MATCH($D15,WBS_CBS!$A$5:$A$16,0)),""))</f>
        <v/>
      </c>
      <c r="Y15" s="149" t="n"/>
      <c r="Z15" s="149" t="n"/>
      <c r="AA15" s="150">
        <f>IF($D15="","",IFERROR(INDEX(WBS_CBS!$L$5:$L$16,MATCH($D15,WBS_CBS!$A$5:$A$16,0)),""))</f>
        <v/>
      </c>
      <c r="AB15" s="149" t="n"/>
    </row>
    <row r="16">
      <c r="A16" s="149" t="n"/>
      <c r="B16" s="149" t="n"/>
      <c r="C16" s="150">
        <f>IF($D16="","",IFERROR(INDEX(WBS_CBS!$E$5:$E$16,MATCH($D16,WBS_CBS!$A$5:$A$16,0)),""))</f>
        <v/>
      </c>
      <c r="D16" s="149" t="n"/>
      <c r="E16" s="150">
        <f>IF($D16="","",IFERROR(INDEX(WBS_CBS!$C$5:$C$16,MATCH($D16,WBS_CBS!$A$5:$A$16,0)),""))</f>
        <v/>
      </c>
      <c r="F16" s="150">
        <f>IF($D16="","",IFERROR(INDEX(WBS_CBS!$J$5:$J$16,MATCH($D16,WBS_CBS!$A$5:$A$16,0)),""))</f>
        <v/>
      </c>
      <c r="G16" s="149" t="n"/>
      <c r="H16" s="151" t="n"/>
      <c r="I16" s="149" t="n"/>
      <c r="J16" s="152" t="n"/>
      <c r="K16" s="149" t="n"/>
      <c r="L16" s="153">
        <f>IF($K16="","",IFERROR(INDEX(FX_Rates!$B$5:$B$14,MATCH($K16,FX_Rates!$A$5:$A$14,0)),""))</f>
        <v/>
      </c>
      <c r="M16" s="153">
        <f>IF(OR($H16="",$J16=""),"",$H16*$J16)</f>
        <v/>
      </c>
      <c r="N16" s="153">
        <f>IF(OR($M16="",$L16=""),"",$M16*$L16)</f>
        <v/>
      </c>
      <c r="O16" s="149" t="n"/>
      <c r="P16" s="154">
        <f>IF($O16="","",IFERROR(INDEX(Basis_of_Estimate!$C$5:$C$9,MATCH($O16,Basis_of_Estimate!$A$5:$A$9,0)),""))</f>
        <v/>
      </c>
      <c r="Q16" s="154">
        <f>IF($O16="","",IFERROR(INDEX(Basis_of_Estimate!$D$5:$D$9,MATCH($O16,Basis_of_Estimate!$A$5:$A$9,0)),""))</f>
        <v/>
      </c>
      <c r="R16" s="153">
        <f>IF($N16="","",$N16*(1+$P16))</f>
        <v/>
      </c>
      <c r="S16" s="153">
        <f>IF($N16="","",$N16)</f>
        <v/>
      </c>
      <c r="T16" s="153">
        <f>IF($N16="","",$N16*(1+$Q16))</f>
        <v/>
      </c>
      <c r="U16" s="150">
        <f>IF($D16="","",IFERROR(INDEX(WBS_CBS!$M$5:$M$16,MATCH($D16,WBS_CBS!$A$5:$A$16,0)),"Yes"))</f>
        <v/>
      </c>
      <c r="V16" s="150">
        <f>IF($D16="","",IFERROR(INDEX(WBS_CBS!$N$5:$N$16,MATCH($D16,WBS_CBS!$A$5:$A$16,0)),"Yes"))</f>
        <v/>
      </c>
      <c r="W16" s="150">
        <f>IF($D16="","",IFERROR(INDEX(WBS_CBS!$K$5:$K$16,MATCH($D16,WBS_CBS!$A$5:$A$16,0)),""))</f>
        <v/>
      </c>
      <c r="X16" s="150">
        <f>IF($D16="","",IFERROR(INDEX(WBS_CBS!$F$5:$F$16,MATCH($D16,WBS_CBS!$A$5:$A$16,0)),""))</f>
        <v/>
      </c>
      <c r="Y16" s="149" t="n"/>
      <c r="Z16" s="149" t="n"/>
      <c r="AA16" s="150">
        <f>IF($D16="","",IFERROR(INDEX(WBS_CBS!$L$5:$L$16,MATCH($D16,WBS_CBS!$A$5:$A$16,0)),""))</f>
        <v/>
      </c>
      <c r="AB16" s="149" t="n"/>
    </row>
    <row r="17">
      <c r="A17" s="149" t="n"/>
      <c r="B17" s="149" t="n"/>
      <c r="C17" s="150">
        <f>IF($D17="","",IFERROR(INDEX(WBS_CBS!$E$5:$E$16,MATCH($D17,WBS_CBS!$A$5:$A$16,0)),""))</f>
        <v/>
      </c>
      <c r="D17" s="149" t="n"/>
      <c r="E17" s="150">
        <f>IF($D17="","",IFERROR(INDEX(WBS_CBS!$C$5:$C$16,MATCH($D17,WBS_CBS!$A$5:$A$16,0)),""))</f>
        <v/>
      </c>
      <c r="F17" s="150">
        <f>IF($D17="","",IFERROR(INDEX(WBS_CBS!$J$5:$J$16,MATCH($D17,WBS_CBS!$A$5:$A$16,0)),""))</f>
        <v/>
      </c>
      <c r="G17" s="149" t="n"/>
      <c r="H17" s="151" t="n"/>
      <c r="I17" s="149" t="n"/>
      <c r="J17" s="152" t="n"/>
      <c r="K17" s="149" t="n"/>
      <c r="L17" s="153">
        <f>IF($K17="","",IFERROR(INDEX(FX_Rates!$B$5:$B$14,MATCH($K17,FX_Rates!$A$5:$A$14,0)),""))</f>
        <v/>
      </c>
      <c r="M17" s="153">
        <f>IF(OR($H17="",$J17=""),"",$H17*$J17)</f>
        <v/>
      </c>
      <c r="N17" s="153">
        <f>IF(OR($M17="",$L17=""),"",$M17*$L17)</f>
        <v/>
      </c>
      <c r="O17" s="149" t="n"/>
      <c r="P17" s="154">
        <f>IF($O17="","",IFERROR(INDEX(Basis_of_Estimate!$C$5:$C$9,MATCH($O17,Basis_of_Estimate!$A$5:$A$9,0)),""))</f>
        <v/>
      </c>
      <c r="Q17" s="154">
        <f>IF($O17="","",IFERROR(INDEX(Basis_of_Estimate!$D$5:$D$9,MATCH($O17,Basis_of_Estimate!$A$5:$A$9,0)),""))</f>
        <v/>
      </c>
      <c r="R17" s="153">
        <f>IF($N17="","",$N17*(1+$P17))</f>
        <v/>
      </c>
      <c r="S17" s="153">
        <f>IF($N17="","",$N17)</f>
        <v/>
      </c>
      <c r="T17" s="153">
        <f>IF($N17="","",$N17*(1+$Q17))</f>
        <v/>
      </c>
      <c r="U17" s="150">
        <f>IF($D17="","",IFERROR(INDEX(WBS_CBS!$M$5:$M$16,MATCH($D17,WBS_CBS!$A$5:$A$16,0)),"Yes"))</f>
        <v/>
      </c>
      <c r="V17" s="150">
        <f>IF($D17="","",IFERROR(INDEX(WBS_CBS!$N$5:$N$16,MATCH($D17,WBS_CBS!$A$5:$A$16,0)),"Yes"))</f>
        <v/>
      </c>
      <c r="W17" s="150">
        <f>IF($D17="","",IFERROR(INDEX(WBS_CBS!$K$5:$K$16,MATCH($D17,WBS_CBS!$A$5:$A$16,0)),""))</f>
        <v/>
      </c>
      <c r="X17" s="150">
        <f>IF($D17="","",IFERROR(INDEX(WBS_CBS!$F$5:$F$16,MATCH($D17,WBS_CBS!$A$5:$A$16,0)),""))</f>
        <v/>
      </c>
      <c r="Y17" s="149" t="n"/>
      <c r="Z17" s="149" t="n"/>
      <c r="AA17" s="150">
        <f>IF($D17="","",IFERROR(INDEX(WBS_CBS!$L$5:$L$16,MATCH($D17,WBS_CBS!$A$5:$A$16,0)),""))</f>
        <v/>
      </c>
      <c r="AB17" s="149" t="n"/>
    </row>
    <row r="18">
      <c r="A18" s="149" t="n"/>
      <c r="B18" s="149" t="n"/>
      <c r="C18" s="150">
        <f>IF($D18="","",IFERROR(INDEX(WBS_CBS!$E$5:$E$16,MATCH($D18,WBS_CBS!$A$5:$A$16,0)),""))</f>
        <v/>
      </c>
      <c r="D18" s="149" t="n"/>
      <c r="E18" s="150">
        <f>IF($D18="","",IFERROR(INDEX(WBS_CBS!$C$5:$C$16,MATCH($D18,WBS_CBS!$A$5:$A$16,0)),""))</f>
        <v/>
      </c>
      <c r="F18" s="150">
        <f>IF($D18="","",IFERROR(INDEX(WBS_CBS!$J$5:$J$16,MATCH($D18,WBS_CBS!$A$5:$A$16,0)),""))</f>
        <v/>
      </c>
      <c r="G18" s="149" t="n"/>
      <c r="H18" s="151" t="n"/>
      <c r="I18" s="149" t="n"/>
      <c r="J18" s="152" t="n"/>
      <c r="K18" s="149" t="n"/>
      <c r="L18" s="153">
        <f>IF($K18="","",IFERROR(INDEX(FX_Rates!$B$5:$B$14,MATCH($K18,FX_Rates!$A$5:$A$14,0)),""))</f>
        <v/>
      </c>
      <c r="M18" s="153">
        <f>IF(OR($H18="",$J18=""),"",$H18*$J18)</f>
        <v/>
      </c>
      <c r="N18" s="153">
        <f>IF(OR($M18="",$L18=""),"",$M18*$L18)</f>
        <v/>
      </c>
      <c r="O18" s="149" t="n"/>
      <c r="P18" s="154">
        <f>IF($O18="","",IFERROR(INDEX(Basis_of_Estimate!$C$5:$C$9,MATCH($O18,Basis_of_Estimate!$A$5:$A$9,0)),""))</f>
        <v/>
      </c>
      <c r="Q18" s="154">
        <f>IF($O18="","",IFERROR(INDEX(Basis_of_Estimate!$D$5:$D$9,MATCH($O18,Basis_of_Estimate!$A$5:$A$9,0)),""))</f>
        <v/>
      </c>
      <c r="R18" s="153">
        <f>IF($N18="","",$N18*(1+$P18))</f>
        <v/>
      </c>
      <c r="S18" s="153">
        <f>IF($N18="","",$N18)</f>
        <v/>
      </c>
      <c r="T18" s="153">
        <f>IF($N18="","",$N18*(1+$Q18))</f>
        <v/>
      </c>
      <c r="U18" s="150">
        <f>IF($D18="","",IFERROR(INDEX(WBS_CBS!$M$5:$M$16,MATCH($D18,WBS_CBS!$A$5:$A$16,0)),"Yes"))</f>
        <v/>
      </c>
      <c r="V18" s="150">
        <f>IF($D18="","",IFERROR(INDEX(WBS_CBS!$N$5:$N$16,MATCH($D18,WBS_CBS!$A$5:$A$16,0)),"Yes"))</f>
        <v/>
      </c>
      <c r="W18" s="150">
        <f>IF($D18="","",IFERROR(INDEX(WBS_CBS!$K$5:$K$16,MATCH($D18,WBS_CBS!$A$5:$A$16,0)),""))</f>
        <v/>
      </c>
      <c r="X18" s="150">
        <f>IF($D18="","",IFERROR(INDEX(WBS_CBS!$F$5:$F$16,MATCH($D18,WBS_CBS!$A$5:$A$16,0)),""))</f>
        <v/>
      </c>
      <c r="Y18" s="149" t="n"/>
      <c r="Z18" s="149" t="n"/>
      <c r="AA18" s="150">
        <f>IF($D18="","",IFERROR(INDEX(WBS_CBS!$L$5:$L$16,MATCH($D18,WBS_CBS!$A$5:$A$16,0)),""))</f>
        <v/>
      </c>
      <c r="AB18" s="149" t="n"/>
    </row>
    <row r="19">
      <c r="A19" s="149" t="n"/>
      <c r="B19" s="149" t="n"/>
      <c r="C19" s="150">
        <f>IF($D19="","",IFERROR(INDEX(WBS_CBS!$E$5:$E$16,MATCH($D19,WBS_CBS!$A$5:$A$16,0)),""))</f>
        <v/>
      </c>
      <c r="D19" s="149" t="n"/>
      <c r="E19" s="150">
        <f>IF($D19="","",IFERROR(INDEX(WBS_CBS!$C$5:$C$16,MATCH($D19,WBS_CBS!$A$5:$A$16,0)),""))</f>
        <v/>
      </c>
      <c r="F19" s="150">
        <f>IF($D19="","",IFERROR(INDEX(WBS_CBS!$J$5:$J$16,MATCH($D19,WBS_CBS!$A$5:$A$16,0)),""))</f>
        <v/>
      </c>
      <c r="G19" s="149" t="n"/>
      <c r="H19" s="151" t="n"/>
      <c r="I19" s="149" t="n"/>
      <c r="J19" s="152" t="n"/>
      <c r="K19" s="149" t="n"/>
      <c r="L19" s="153">
        <f>IF($K19="","",IFERROR(INDEX(FX_Rates!$B$5:$B$14,MATCH($K19,FX_Rates!$A$5:$A$14,0)),""))</f>
        <v/>
      </c>
      <c r="M19" s="153">
        <f>IF(OR($H19="",$J19=""),"",$H19*$J19)</f>
        <v/>
      </c>
      <c r="N19" s="153">
        <f>IF(OR($M19="",$L19=""),"",$M19*$L19)</f>
        <v/>
      </c>
      <c r="O19" s="149" t="n"/>
      <c r="P19" s="154">
        <f>IF($O19="","",IFERROR(INDEX(Basis_of_Estimate!$C$5:$C$9,MATCH($O19,Basis_of_Estimate!$A$5:$A$9,0)),""))</f>
        <v/>
      </c>
      <c r="Q19" s="154">
        <f>IF($O19="","",IFERROR(INDEX(Basis_of_Estimate!$D$5:$D$9,MATCH($O19,Basis_of_Estimate!$A$5:$A$9,0)),""))</f>
        <v/>
      </c>
      <c r="R19" s="153">
        <f>IF($N19="","",$N19*(1+$P19))</f>
        <v/>
      </c>
      <c r="S19" s="153">
        <f>IF($N19="","",$N19)</f>
        <v/>
      </c>
      <c r="T19" s="153">
        <f>IF($N19="","",$N19*(1+$Q19))</f>
        <v/>
      </c>
      <c r="U19" s="150">
        <f>IF($D19="","",IFERROR(INDEX(WBS_CBS!$M$5:$M$16,MATCH($D19,WBS_CBS!$A$5:$A$16,0)),"Yes"))</f>
        <v/>
      </c>
      <c r="V19" s="150">
        <f>IF($D19="","",IFERROR(INDEX(WBS_CBS!$N$5:$N$16,MATCH($D19,WBS_CBS!$A$5:$A$16,0)),"Yes"))</f>
        <v/>
      </c>
      <c r="W19" s="150">
        <f>IF($D19="","",IFERROR(INDEX(WBS_CBS!$K$5:$K$16,MATCH($D19,WBS_CBS!$A$5:$A$16,0)),""))</f>
        <v/>
      </c>
      <c r="X19" s="150">
        <f>IF($D19="","",IFERROR(INDEX(WBS_CBS!$F$5:$F$16,MATCH($D19,WBS_CBS!$A$5:$A$16,0)),""))</f>
        <v/>
      </c>
      <c r="Y19" s="149" t="n"/>
      <c r="Z19" s="149" t="n"/>
      <c r="AA19" s="150">
        <f>IF($D19="","",IFERROR(INDEX(WBS_CBS!$L$5:$L$16,MATCH($D19,WBS_CBS!$A$5:$A$16,0)),""))</f>
        <v/>
      </c>
      <c r="AB19" s="149" t="n"/>
    </row>
    <row r="20">
      <c r="A20" s="149" t="n"/>
      <c r="B20" s="149" t="n"/>
      <c r="C20" s="150">
        <f>IF($D20="","",IFERROR(INDEX(WBS_CBS!$E$5:$E$16,MATCH($D20,WBS_CBS!$A$5:$A$16,0)),""))</f>
        <v/>
      </c>
      <c r="D20" s="149" t="n"/>
      <c r="E20" s="150">
        <f>IF($D20="","",IFERROR(INDEX(WBS_CBS!$C$5:$C$16,MATCH($D20,WBS_CBS!$A$5:$A$16,0)),""))</f>
        <v/>
      </c>
      <c r="F20" s="150">
        <f>IF($D20="","",IFERROR(INDEX(WBS_CBS!$J$5:$J$16,MATCH($D20,WBS_CBS!$A$5:$A$16,0)),""))</f>
        <v/>
      </c>
      <c r="G20" s="149" t="n"/>
      <c r="H20" s="151" t="n"/>
      <c r="I20" s="149" t="n"/>
      <c r="J20" s="152" t="n"/>
      <c r="K20" s="149" t="n"/>
      <c r="L20" s="153">
        <f>IF($K20="","",IFERROR(INDEX(FX_Rates!$B$5:$B$14,MATCH($K20,FX_Rates!$A$5:$A$14,0)),""))</f>
        <v/>
      </c>
      <c r="M20" s="153">
        <f>IF(OR($H20="",$J20=""),"",$H20*$J20)</f>
        <v/>
      </c>
      <c r="N20" s="153">
        <f>IF(OR($M20="",$L20=""),"",$M20*$L20)</f>
        <v/>
      </c>
      <c r="O20" s="149" t="n"/>
      <c r="P20" s="154">
        <f>IF($O20="","",IFERROR(INDEX(Basis_of_Estimate!$C$5:$C$9,MATCH($O20,Basis_of_Estimate!$A$5:$A$9,0)),""))</f>
        <v/>
      </c>
      <c r="Q20" s="154">
        <f>IF($O20="","",IFERROR(INDEX(Basis_of_Estimate!$D$5:$D$9,MATCH($O20,Basis_of_Estimate!$A$5:$A$9,0)),""))</f>
        <v/>
      </c>
      <c r="R20" s="153">
        <f>IF($N20="","",$N20*(1+$P20))</f>
        <v/>
      </c>
      <c r="S20" s="153">
        <f>IF($N20="","",$N20)</f>
        <v/>
      </c>
      <c r="T20" s="153">
        <f>IF($N20="","",$N20*(1+$Q20))</f>
        <v/>
      </c>
      <c r="U20" s="150">
        <f>IF($D20="","",IFERROR(INDEX(WBS_CBS!$M$5:$M$16,MATCH($D20,WBS_CBS!$A$5:$A$16,0)),"Yes"))</f>
        <v/>
      </c>
      <c r="V20" s="150">
        <f>IF($D20="","",IFERROR(INDEX(WBS_CBS!$N$5:$N$16,MATCH($D20,WBS_CBS!$A$5:$A$16,0)),"Yes"))</f>
        <v/>
      </c>
      <c r="W20" s="150">
        <f>IF($D20="","",IFERROR(INDEX(WBS_CBS!$K$5:$K$16,MATCH($D20,WBS_CBS!$A$5:$A$16,0)),""))</f>
        <v/>
      </c>
      <c r="X20" s="150">
        <f>IF($D20="","",IFERROR(INDEX(WBS_CBS!$F$5:$F$16,MATCH($D20,WBS_CBS!$A$5:$A$16,0)),""))</f>
        <v/>
      </c>
      <c r="Y20" s="149" t="n"/>
      <c r="Z20" s="149" t="n"/>
      <c r="AA20" s="150">
        <f>IF($D20="","",IFERROR(INDEX(WBS_CBS!$L$5:$L$16,MATCH($D20,WBS_CBS!$A$5:$A$16,0)),""))</f>
        <v/>
      </c>
      <c r="AB20" s="149" t="n"/>
    </row>
    <row r="21">
      <c r="A21" s="149" t="n"/>
      <c r="B21" s="149" t="n"/>
      <c r="C21" s="150">
        <f>IF($D21="","",IFERROR(INDEX(WBS_CBS!$E$5:$E$16,MATCH($D21,WBS_CBS!$A$5:$A$16,0)),""))</f>
        <v/>
      </c>
      <c r="D21" s="149" t="n"/>
      <c r="E21" s="150">
        <f>IF($D21="","",IFERROR(INDEX(WBS_CBS!$C$5:$C$16,MATCH($D21,WBS_CBS!$A$5:$A$16,0)),""))</f>
        <v/>
      </c>
      <c r="F21" s="150">
        <f>IF($D21="","",IFERROR(INDEX(WBS_CBS!$J$5:$J$16,MATCH($D21,WBS_CBS!$A$5:$A$16,0)),""))</f>
        <v/>
      </c>
      <c r="G21" s="149" t="n"/>
      <c r="H21" s="151" t="n"/>
      <c r="I21" s="149" t="n"/>
      <c r="J21" s="152" t="n"/>
      <c r="K21" s="149" t="n"/>
      <c r="L21" s="153">
        <f>IF($K21="","",IFERROR(INDEX(FX_Rates!$B$5:$B$14,MATCH($K21,FX_Rates!$A$5:$A$14,0)),""))</f>
        <v/>
      </c>
      <c r="M21" s="153">
        <f>IF(OR($H21="",$J21=""),"",$H21*$J21)</f>
        <v/>
      </c>
      <c r="N21" s="153">
        <f>IF(OR($M21="",$L21=""),"",$M21*$L21)</f>
        <v/>
      </c>
      <c r="O21" s="149" t="n"/>
      <c r="P21" s="154">
        <f>IF($O21="","",IFERROR(INDEX(Basis_of_Estimate!$C$5:$C$9,MATCH($O21,Basis_of_Estimate!$A$5:$A$9,0)),""))</f>
        <v/>
      </c>
      <c r="Q21" s="154">
        <f>IF($O21="","",IFERROR(INDEX(Basis_of_Estimate!$D$5:$D$9,MATCH($O21,Basis_of_Estimate!$A$5:$A$9,0)),""))</f>
        <v/>
      </c>
      <c r="R21" s="153">
        <f>IF($N21="","",$N21*(1+$P21))</f>
        <v/>
      </c>
      <c r="S21" s="153">
        <f>IF($N21="","",$N21)</f>
        <v/>
      </c>
      <c r="T21" s="153">
        <f>IF($N21="","",$N21*(1+$Q21))</f>
        <v/>
      </c>
      <c r="U21" s="150">
        <f>IF($D21="","",IFERROR(INDEX(WBS_CBS!$M$5:$M$16,MATCH($D21,WBS_CBS!$A$5:$A$16,0)),"Yes"))</f>
        <v/>
      </c>
      <c r="V21" s="150">
        <f>IF($D21="","",IFERROR(INDEX(WBS_CBS!$N$5:$N$16,MATCH($D21,WBS_CBS!$A$5:$A$16,0)),"Yes"))</f>
        <v/>
      </c>
      <c r="W21" s="150">
        <f>IF($D21="","",IFERROR(INDEX(WBS_CBS!$K$5:$K$16,MATCH($D21,WBS_CBS!$A$5:$A$16,0)),""))</f>
        <v/>
      </c>
      <c r="X21" s="150">
        <f>IF($D21="","",IFERROR(INDEX(WBS_CBS!$F$5:$F$16,MATCH($D21,WBS_CBS!$A$5:$A$16,0)),""))</f>
        <v/>
      </c>
      <c r="Y21" s="149" t="n"/>
      <c r="Z21" s="149" t="n"/>
      <c r="AA21" s="150">
        <f>IF($D21="","",IFERROR(INDEX(WBS_CBS!$L$5:$L$16,MATCH($D21,WBS_CBS!$A$5:$A$16,0)),""))</f>
        <v/>
      </c>
      <c r="AB21" s="149" t="n"/>
    </row>
    <row r="22">
      <c r="A22" s="149" t="n"/>
      <c r="B22" s="149" t="n"/>
      <c r="C22" s="150">
        <f>IF($D22="","",IFERROR(INDEX(WBS_CBS!$E$5:$E$16,MATCH($D22,WBS_CBS!$A$5:$A$16,0)),""))</f>
        <v/>
      </c>
      <c r="D22" s="149" t="n"/>
      <c r="E22" s="150">
        <f>IF($D22="","",IFERROR(INDEX(WBS_CBS!$C$5:$C$16,MATCH($D22,WBS_CBS!$A$5:$A$16,0)),""))</f>
        <v/>
      </c>
      <c r="F22" s="150">
        <f>IF($D22="","",IFERROR(INDEX(WBS_CBS!$J$5:$J$16,MATCH($D22,WBS_CBS!$A$5:$A$16,0)),""))</f>
        <v/>
      </c>
      <c r="G22" s="149" t="n"/>
      <c r="H22" s="151" t="n"/>
      <c r="I22" s="149" t="n"/>
      <c r="J22" s="152" t="n"/>
      <c r="K22" s="149" t="n"/>
      <c r="L22" s="153">
        <f>IF($K22="","",IFERROR(INDEX(FX_Rates!$B$5:$B$14,MATCH($K22,FX_Rates!$A$5:$A$14,0)),""))</f>
        <v/>
      </c>
      <c r="M22" s="153">
        <f>IF(OR($H22="",$J22=""),"",$H22*$J22)</f>
        <v/>
      </c>
      <c r="N22" s="153">
        <f>IF(OR($M22="",$L22=""),"",$M22*$L22)</f>
        <v/>
      </c>
      <c r="O22" s="149" t="n"/>
      <c r="P22" s="154">
        <f>IF($O22="","",IFERROR(INDEX(Basis_of_Estimate!$C$5:$C$9,MATCH($O22,Basis_of_Estimate!$A$5:$A$9,0)),""))</f>
        <v/>
      </c>
      <c r="Q22" s="154">
        <f>IF($O22="","",IFERROR(INDEX(Basis_of_Estimate!$D$5:$D$9,MATCH($O22,Basis_of_Estimate!$A$5:$A$9,0)),""))</f>
        <v/>
      </c>
      <c r="R22" s="153">
        <f>IF($N22="","",$N22*(1+$P22))</f>
        <v/>
      </c>
      <c r="S22" s="153">
        <f>IF($N22="","",$N22)</f>
        <v/>
      </c>
      <c r="T22" s="153">
        <f>IF($N22="","",$N22*(1+$Q22))</f>
        <v/>
      </c>
      <c r="U22" s="150">
        <f>IF($D22="","",IFERROR(INDEX(WBS_CBS!$M$5:$M$16,MATCH($D22,WBS_CBS!$A$5:$A$16,0)),"Yes"))</f>
        <v/>
      </c>
      <c r="V22" s="150">
        <f>IF($D22="","",IFERROR(INDEX(WBS_CBS!$N$5:$N$16,MATCH($D22,WBS_CBS!$A$5:$A$16,0)),"Yes"))</f>
        <v/>
      </c>
      <c r="W22" s="150">
        <f>IF($D22="","",IFERROR(INDEX(WBS_CBS!$K$5:$K$16,MATCH($D22,WBS_CBS!$A$5:$A$16,0)),""))</f>
        <v/>
      </c>
      <c r="X22" s="150">
        <f>IF($D22="","",IFERROR(INDEX(WBS_CBS!$F$5:$F$16,MATCH($D22,WBS_CBS!$A$5:$A$16,0)),""))</f>
        <v/>
      </c>
      <c r="Y22" s="149" t="n"/>
      <c r="Z22" s="149" t="n"/>
      <c r="AA22" s="150">
        <f>IF($D22="","",IFERROR(INDEX(WBS_CBS!$L$5:$L$16,MATCH($D22,WBS_CBS!$A$5:$A$16,0)),""))</f>
        <v/>
      </c>
      <c r="AB22" s="149" t="n"/>
    </row>
    <row r="23">
      <c r="A23" s="149" t="n"/>
      <c r="B23" s="149" t="n"/>
      <c r="C23" s="150">
        <f>IF($D23="","",IFERROR(INDEX(WBS_CBS!$E$5:$E$16,MATCH($D23,WBS_CBS!$A$5:$A$16,0)),""))</f>
        <v/>
      </c>
      <c r="D23" s="149" t="n"/>
      <c r="E23" s="150">
        <f>IF($D23="","",IFERROR(INDEX(WBS_CBS!$C$5:$C$16,MATCH($D23,WBS_CBS!$A$5:$A$16,0)),""))</f>
        <v/>
      </c>
      <c r="F23" s="150">
        <f>IF($D23="","",IFERROR(INDEX(WBS_CBS!$J$5:$J$16,MATCH($D23,WBS_CBS!$A$5:$A$16,0)),""))</f>
        <v/>
      </c>
      <c r="G23" s="149" t="n"/>
      <c r="H23" s="151" t="n"/>
      <c r="I23" s="149" t="n"/>
      <c r="J23" s="152" t="n"/>
      <c r="K23" s="149" t="n"/>
      <c r="L23" s="153">
        <f>IF($K23="","",IFERROR(INDEX(FX_Rates!$B$5:$B$14,MATCH($K23,FX_Rates!$A$5:$A$14,0)),""))</f>
        <v/>
      </c>
      <c r="M23" s="153">
        <f>IF(OR($H23="",$J23=""),"",$H23*$J23)</f>
        <v/>
      </c>
      <c r="N23" s="153">
        <f>IF(OR($M23="",$L23=""),"",$M23*$L23)</f>
        <v/>
      </c>
      <c r="O23" s="149" t="n"/>
      <c r="P23" s="154">
        <f>IF($O23="","",IFERROR(INDEX(Basis_of_Estimate!$C$5:$C$9,MATCH($O23,Basis_of_Estimate!$A$5:$A$9,0)),""))</f>
        <v/>
      </c>
      <c r="Q23" s="154">
        <f>IF($O23="","",IFERROR(INDEX(Basis_of_Estimate!$D$5:$D$9,MATCH($O23,Basis_of_Estimate!$A$5:$A$9,0)),""))</f>
        <v/>
      </c>
      <c r="R23" s="153">
        <f>IF($N23="","",$N23*(1+$P23))</f>
        <v/>
      </c>
      <c r="S23" s="153">
        <f>IF($N23="","",$N23)</f>
        <v/>
      </c>
      <c r="T23" s="153">
        <f>IF($N23="","",$N23*(1+$Q23))</f>
        <v/>
      </c>
      <c r="U23" s="150">
        <f>IF($D23="","",IFERROR(INDEX(WBS_CBS!$M$5:$M$16,MATCH($D23,WBS_CBS!$A$5:$A$16,0)),"Yes"))</f>
        <v/>
      </c>
      <c r="V23" s="150">
        <f>IF($D23="","",IFERROR(INDEX(WBS_CBS!$N$5:$N$16,MATCH($D23,WBS_CBS!$A$5:$A$16,0)),"Yes"))</f>
        <v/>
      </c>
      <c r="W23" s="150">
        <f>IF($D23="","",IFERROR(INDEX(WBS_CBS!$K$5:$K$16,MATCH($D23,WBS_CBS!$A$5:$A$16,0)),""))</f>
        <v/>
      </c>
      <c r="X23" s="150">
        <f>IF($D23="","",IFERROR(INDEX(WBS_CBS!$F$5:$F$16,MATCH($D23,WBS_CBS!$A$5:$A$16,0)),""))</f>
        <v/>
      </c>
      <c r="Y23" s="149" t="n"/>
      <c r="Z23" s="149" t="n"/>
      <c r="AA23" s="150">
        <f>IF($D23="","",IFERROR(INDEX(WBS_CBS!$L$5:$L$16,MATCH($D23,WBS_CBS!$A$5:$A$16,0)),""))</f>
        <v/>
      </c>
      <c r="AB23" s="149" t="n"/>
    </row>
    <row r="24">
      <c r="A24" s="149" t="n"/>
      <c r="B24" s="149" t="n"/>
      <c r="C24" s="150">
        <f>IF($D24="","",IFERROR(INDEX(WBS_CBS!$E$5:$E$16,MATCH($D24,WBS_CBS!$A$5:$A$16,0)),""))</f>
        <v/>
      </c>
      <c r="D24" s="149" t="n"/>
      <c r="E24" s="150">
        <f>IF($D24="","",IFERROR(INDEX(WBS_CBS!$C$5:$C$16,MATCH($D24,WBS_CBS!$A$5:$A$16,0)),""))</f>
        <v/>
      </c>
      <c r="F24" s="150">
        <f>IF($D24="","",IFERROR(INDEX(WBS_CBS!$J$5:$J$16,MATCH($D24,WBS_CBS!$A$5:$A$16,0)),""))</f>
        <v/>
      </c>
      <c r="G24" s="149" t="n"/>
      <c r="H24" s="151" t="n"/>
      <c r="I24" s="149" t="n"/>
      <c r="J24" s="152" t="n"/>
      <c r="K24" s="149" t="n"/>
      <c r="L24" s="153">
        <f>IF($K24="","",IFERROR(INDEX(FX_Rates!$B$5:$B$14,MATCH($K24,FX_Rates!$A$5:$A$14,0)),""))</f>
        <v/>
      </c>
      <c r="M24" s="153">
        <f>IF(OR($H24="",$J24=""),"",$H24*$J24)</f>
        <v/>
      </c>
      <c r="N24" s="153">
        <f>IF(OR($M24="",$L24=""),"",$M24*$L24)</f>
        <v/>
      </c>
      <c r="O24" s="149" t="n"/>
      <c r="P24" s="154">
        <f>IF($O24="","",IFERROR(INDEX(Basis_of_Estimate!$C$5:$C$9,MATCH($O24,Basis_of_Estimate!$A$5:$A$9,0)),""))</f>
        <v/>
      </c>
      <c r="Q24" s="154">
        <f>IF($O24="","",IFERROR(INDEX(Basis_of_Estimate!$D$5:$D$9,MATCH($O24,Basis_of_Estimate!$A$5:$A$9,0)),""))</f>
        <v/>
      </c>
      <c r="R24" s="153">
        <f>IF($N24="","",$N24*(1+$P24))</f>
        <v/>
      </c>
      <c r="S24" s="153">
        <f>IF($N24="","",$N24)</f>
        <v/>
      </c>
      <c r="T24" s="153">
        <f>IF($N24="","",$N24*(1+$Q24))</f>
        <v/>
      </c>
      <c r="U24" s="150">
        <f>IF($D24="","",IFERROR(INDEX(WBS_CBS!$M$5:$M$16,MATCH($D24,WBS_CBS!$A$5:$A$16,0)),"Yes"))</f>
        <v/>
      </c>
      <c r="V24" s="150">
        <f>IF($D24="","",IFERROR(INDEX(WBS_CBS!$N$5:$N$16,MATCH($D24,WBS_CBS!$A$5:$A$16,0)),"Yes"))</f>
        <v/>
      </c>
      <c r="W24" s="150">
        <f>IF($D24="","",IFERROR(INDEX(WBS_CBS!$K$5:$K$16,MATCH($D24,WBS_CBS!$A$5:$A$16,0)),""))</f>
        <v/>
      </c>
      <c r="X24" s="150">
        <f>IF($D24="","",IFERROR(INDEX(WBS_CBS!$F$5:$F$16,MATCH($D24,WBS_CBS!$A$5:$A$16,0)),""))</f>
        <v/>
      </c>
      <c r="Y24" s="149" t="n"/>
      <c r="Z24" s="149" t="n"/>
      <c r="AA24" s="150">
        <f>IF($D24="","",IFERROR(INDEX(WBS_CBS!$L$5:$L$16,MATCH($D24,WBS_CBS!$A$5:$A$16,0)),""))</f>
        <v/>
      </c>
      <c r="AB24" s="149" t="n"/>
    </row>
    <row r="25">
      <c r="A25" s="149" t="n"/>
      <c r="B25" s="149" t="n"/>
      <c r="C25" s="150">
        <f>IF($D25="","",IFERROR(INDEX(WBS_CBS!$E$5:$E$16,MATCH($D25,WBS_CBS!$A$5:$A$16,0)),""))</f>
        <v/>
      </c>
      <c r="D25" s="149" t="n"/>
      <c r="E25" s="150">
        <f>IF($D25="","",IFERROR(INDEX(WBS_CBS!$C$5:$C$16,MATCH($D25,WBS_CBS!$A$5:$A$16,0)),""))</f>
        <v/>
      </c>
      <c r="F25" s="150">
        <f>IF($D25="","",IFERROR(INDEX(WBS_CBS!$J$5:$J$16,MATCH($D25,WBS_CBS!$A$5:$A$16,0)),""))</f>
        <v/>
      </c>
      <c r="G25" s="149" t="n"/>
      <c r="H25" s="151" t="n"/>
      <c r="I25" s="149" t="n"/>
      <c r="J25" s="152" t="n"/>
      <c r="K25" s="149" t="n"/>
      <c r="L25" s="153">
        <f>IF($K25="","",IFERROR(INDEX(FX_Rates!$B$5:$B$14,MATCH($K25,FX_Rates!$A$5:$A$14,0)),""))</f>
        <v/>
      </c>
      <c r="M25" s="153">
        <f>IF(OR($H25="",$J25=""),"",$H25*$J25)</f>
        <v/>
      </c>
      <c r="N25" s="153">
        <f>IF(OR($M25="",$L25=""),"",$M25*$L25)</f>
        <v/>
      </c>
      <c r="O25" s="149" t="n"/>
      <c r="P25" s="154">
        <f>IF($O25="","",IFERROR(INDEX(Basis_of_Estimate!$C$5:$C$9,MATCH($O25,Basis_of_Estimate!$A$5:$A$9,0)),""))</f>
        <v/>
      </c>
      <c r="Q25" s="154">
        <f>IF($O25="","",IFERROR(INDEX(Basis_of_Estimate!$D$5:$D$9,MATCH($O25,Basis_of_Estimate!$A$5:$A$9,0)),""))</f>
        <v/>
      </c>
      <c r="R25" s="153">
        <f>IF($N25="","",$N25*(1+$P25))</f>
        <v/>
      </c>
      <c r="S25" s="153">
        <f>IF($N25="","",$N25)</f>
        <v/>
      </c>
      <c r="T25" s="153">
        <f>IF($N25="","",$N25*(1+$Q25))</f>
        <v/>
      </c>
      <c r="U25" s="150">
        <f>IF($D25="","",IFERROR(INDEX(WBS_CBS!$M$5:$M$16,MATCH($D25,WBS_CBS!$A$5:$A$16,0)),"Yes"))</f>
        <v/>
      </c>
      <c r="V25" s="150">
        <f>IF($D25="","",IFERROR(INDEX(WBS_CBS!$N$5:$N$16,MATCH($D25,WBS_CBS!$A$5:$A$16,0)),"Yes"))</f>
        <v/>
      </c>
      <c r="W25" s="150">
        <f>IF($D25="","",IFERROR(INDEX(WBS_CBS!$K$5:$K$16,MATCH($D25,WBS_CBS!$A$5:$A$16,0)),""))</f>
        <v/>
      </c>
      <c r="X25" s="150">
        <f>IF($D25="","",IFERROR(INDEX(WBS_CBS!$F$5:$F$16,MATCH($D25,WBS_CBS!$A$5:$A$16,0)),""))</f>
        <v/>
      </c>
      <c r="Y25" s="149" t="n"/>
      <c r="Z25" s="149" t="n"/>
      <c r="AA25" s="150">
        <f>IF($D25="","",IFERROR(INDEX(WBS_CBS!$L$5:$L$16,MATCH($D25,WBS_CBS!$A$5:$A$16,0)),""))</f>
        <v/>
      </c>
      <c r="AB25" s="149" t="n"/>
    </row>
    <row r="26">
      <c r="A26" s="149" t="n"/>
      <c r="B26" s="149" t="n"/>
      <c r="C26" s="150">
        <f>IF($D26="","",IFERROR(INDEX(WBS_CBS!$E$5:$E$16,MATCH($D26,WBS_CBS!$A$5:$A$16,0)),""))</f>
        <v/>
      </c>
      <c r="D26" s="149" t="n"/>
      <c r="E26" s="150">
        <f>IF($D26="","",IFERROR(INDEX(WBS_CBS!$C$5:$C$16,MATCH($D26,WBS_CBS!$A$5:$A$16,0)),""))</f>
        <v/>
      </c>
      <c r="F26" s="150">
        <f>IF($D26="","",IFERROR(INDEX(WBS_CBS!$J$5:$J$16,MATCH($D26,WBS_CBS!$A$5:$A$16,0)),""))</f>
        <v/>
      </c>
      <c r="G26" s="149" t="n"/>
      <c r="H26" s="151" t="n"/>
      <c r="I26" s="149" t="n"/>
      <c r="J26" s="152" t="n"/>
      <c r="K26" s="149" t="n"/>
      <c r="L26" s="153">
        <f>IF($K26="","",IFERROR(INDEX(FX_Rates!$B$5:$B$14,MATCH($K26,FX_Rates!$A$5:$A$14,0)),""))</f>
        <v/>
      </c>
      <c r="M26" s="153">
        <f>IF(OR($H26="",$J26=""),"",$H26*$J26)</f>
        <v/>
      </c>
      <c r="N26" s="153">
        <f>IF(OR($M26="",$L26=""),"",$M26*$L26)</f>
        <v/>
      </c>
      <c r="O26" s="149" t="n"/>
      <c r="P26" s="154">
        <f>IF($O26="","",IFERROR(INDEX(Basis_of_Estimate!$C$5:$C$9,MATCH($O26,Basis_of_Estimate!$A$5:$A$9,0)),""))</f>
        <v/>
      </c>
      <c r="Q26" s="154">
        <f>IF($O26="","",IFERROR(INDEX(Basis_of_Estimate!$D$5:$D$9,MATCH($O26,Basis_of_Estimate!$A$5:$A$9,0)),""))</f>
        <v/>
      </c>
      <c r="R26" s="153">
        <f>IF($N26="","",$N26*(1+$P26))</f>
        <v/>
      </c>
      <c r="S26" s="153">
        <f>IF($N26="","",$N26)</f>
        <v/>
      </c>
      <c r="T26" s="153">
        <f>IF($N26="","",$N26*(1+$Q26))</f>
        <v/>
      </c>
      <c r="U26" s="150">
        <f>IF($D26="","",IFERROR(INDEX(WBS_CBS!$M$5:$M$16,MATCH($D26,WBS_CBS!$A$5:$A$16,0)),"Yes"))</f>
        <v/>
      </c>
      <c r="V26" s="150">
        <f>IF($D26="","",IFERROR(INDEX(WBS_CBS!$N$5:$N$16,MATCH($D26,WBS_CBS!$A$5:$A$16,0)),"Yes"))</f>
        <v/>
      </c>
      <c r="W26" s="150">
        <f>IF($D26="","",IFERROR(INDEX(WBS_CBS!$K$5:$K$16,MATCH($D26,WBS_CBS!$A$5:$A$16,0)),""))</f>
        <v/>
      </c>
      <c r="X26" s="150">
        <f>IF($D26="","",IFERROR(INDEX(WBS_CBS!$F$5:$F$16,MATCH($D26,WBS_CBS!$A$5:$A$16,0)),""))</f>
        <v/>
      </c>
      <c r="Y26" s="149" t="n"/>
      <c r="Z26" s="149" t="n"/>
      <c r="AA26" s="150">
        <f>IF($D26="","",IFERROR(INDEX(WBS_CBS!$L$5:$L$16,MATCH($D26,WBS_CBS!$A$5:$A$16,0)),""))</f>
        <v/>
      </c>
      <c r="AB26" s="149" t="n"/>
    </row>
    <row r="27">
      <c r="A27" s="149" t="n"/>
      <c r="B27" s="149" t="n"/>
      <c r="C27" s="150">
        <f>IF($D27="","",IFERROR(INDEX(WBS_CBS!$E$5:$E$16,MATCH($D27,WBS_CBS!$A$5:$A$16,0)),""))</f>
        <v/>
      </c>
      <c r="D27" s="149" t="n"/>
      <c r="E27" s="150">
        <f>IF($D27="","",IFERROR(INDEX(WBS_CBS!$C$5:$C$16,MATCH($D27,WBS_CBS!$A$5:$A$16,0)),""))</f>
        <v/>
      </c>
      <c r="F27" s="150">
        <f>IF($D27="","",IFERROR(INDEX(WBS_CBS!$J$5:$J$16,MATCH($D27,WBS_CBS!$A$5:$A$16,0)),""))</f>
        <v/>
      </c>
      <c r="G27" s="149" t="n"/>
      <c r="H27" s="151" t="n"/>
      <c r="I27" s="149" t="n"/>
      <c r="J27" s="152" t="n"/>
      <c r="K27" s="149" t="n"/>
      <c r="L27" s="153">
        <f>IF($K27="","",IFERROR(INDEX(FX_Rates!$B$5:$B$14,MATCH($K27,FX_Rates!$A$5:$A$14,0)),""))</f>
        <v/>
      </c>
      <c r="M27" s="153">
        <f>IF(OR($H27="",$J27=""),"",$H27*$J27)</f>
        <v/>
      </c>
      <c r="N27" s="153">
        <f>IF(OR($M27="",$L27=""),"",$M27*$L27)</f>
        <v/>
      </c>
      <c r="O27" s="149" t="n"/>
      <c r="P27" s="154">
        <f>IF($O27="","",IFERROR(INDEX(Basis_of_Estimate!$C$5:$C$9,MATCH($O27,Basis_of_Estimate!$A$5:$A$9,0)),""))</f>
        <v/>
      </c>
      <c r="Q27" s="154">
        <f>IF($O27="","",IFERROR(INDEX(Basis_of_Estimate!$D$5:$D$9,MATCH($O27,Basis_of_Estimate!$A$5:$A$9,0)),""))</f>
        <v/>
      </c>
      <c r="R27" s="153">
        <f>IF($N27="","",$N27*(1+$P27))</f>
        <v/>
      </c>
      <c r="S27" s="153">
        <f>IF($N27="","",$N27)</f>
        <v/>
      </c>
      <c r="T27" s="153">
        <f>IF($N27="","",$N27*(1+$Q27))</f>
        <v/>
      </c>
      <c r="U27" s="150">
        <f>IF($D27="","",IFERROR(INDEX(WBS_CBS!$M$5:$M$16,MATCH($D27,WBS_CBS!$A$5:$A$16,0)),"Yes"))</f>
        <v/>
      </c>
      <c r="V27" s="150">
        <f>IF($D27="","",IFERROR(INDEX(WBS_CBS!$N$5:$N$16,MATCH($D27,WBS_CBS!$A$5:$A$16,0)),"Yes"))</f>
        <v/>
      </c>
      <c r="W27" s="150">
        <f>IF($D27="","",IFERROR(INDEX(WBS_CBS!$K$5:$K$16,MATCH($D27,WBS_CBS!$A$5:$A$16,0)),""))</f>
        <v/>
      </c>
      <c r="X27" s="150">
        <f>IF($D27="","",IFERROR(INDEX(WBS_CBS!$F$5:$F$16,MATCH($D27,WBS_CBS!$A$5:$A$16,0)),""))</f>
        <v/>
      </c>
      <c r="Y27" s="149" t="n"/>
      <c r="Z27" s="149" t="n"/>
      <c r="AA27" s="150">
        <f>IF($D27="","",IFERROR(INDEX(WBS_CBS!$L$5:$L$16,MATCH($D27,WBS_CBS!$A$5:$A$16,0)),""))</f>
        <v/>
      </c>
      <c r="AB27" s="149" t="n"/>
    </row>
    <row r="28">
      <c r="A28" s="149" t="n"/>
      <c r="B28" s="149" t="n"/>
      <c r="C28" s="150">
        <f>IF($D28="","",IFERROR(INDEX(WBS_CBS!$E$5:$E$16,MATCH($D28,WBS_CBS!$A$5:$A$16,0)),""))</f>
        <v/>
      </c>
      <c r="D28" s="149" t="n"/>
      <c r="E28" s="150">
        <f>IF($D28="","",IFERROR(INDEX(WBS_CBS!$C$5:$C$16,MATCH($D28,WBS_CBS!$A$5:$A$16,0)),""))</f>
        <v/>
      </c>
      <c r="F28" s="150">
        <f>IF($D28="","",IFERROR(INDEX(WBS_CBS!$J$5:$J$16,MATCH($D28,WBS_CBS!$A$5:$A$16,0)),""))</f>
        <v/>
      </c>
      <c r="G28" s="149" t="n"/>
      <c r="H28" s="151" t="n"/>
      <c r="I28" s="149" t="n"/>
      <c r="J28" s="152" t="n"/>
      <c r="K28" s="149" t="n"/>
      <c r="L28" s="153">
        <f>IF($K28="","",IFERROR(INDEX(FX_Rates!$B$5:$B$14,MATCH($K28,FX_Rates!$A$5:$A$14,0)),""))</f>
        <v/>
      </c>
      <c r="M28" s="153">
        <f>IF(OR($H28="",$J28=""),"",$H28*$J28)</f>
        <v/>
      </c>
      <c r="N28" s="153">
        <f>IF(OR($M28="",$L28=""),"",$M28*$L28)</f>
        <v/>
      </c>
      <c r="O28" s="149" t="n"/>
      <c r="P28" s="154">
        <f>IF($O28="","",IFERROR(INDEX(Basis_of_Estimate!$C$5:$C$9,MATCH($O28,Basis_of_Estimate!$A$5:$A$9,0)),""))</f>
        <v/>
      </c>
      <c r="Q28" s="154">
        <f>IF($O28="","",IFERROR(INDEX(Basis_of_Estimate!$D$5:$D$9,MATCH($O28,Basis_of_Estimate!$A$5:$A$9,0)),""))</f>
        <v/>
      </c>
      <c r="R28" s="153">
        <f>IF($N28="","",$N28*(1+$P28))</f>
        <v/>
      </c>
      <c r="S28" s="153">
        <f>IF($N28="","",$N28)</f>
        <v/>
      </c>
      <c r="T28" s="153">
        <f>IF($N28="","",$N28*(1+$Q28))</f>
        <v/>
      </c>
      <c r="U28" s="150">
        <f>IF($D28="","",IFERROR(INDEX(WBS_CBS!$M$5:$M$16,MATCH($D28,WBS_CBS!$A$5:$A$16,0)),"Yes"))</f>
        <v/>
      </c>
      <c r="V28" s="150">
        <f>IF($D28="","",IFERROR(INDEX(WBS_CBS!$N$5:$N$16,MATCH($D28,WBS_CBS!$A$5:$A$16,0)),"Yes"))</f>
        <v/>
      </c>
      <c r="W28" s="150">
        <f>IF($D28="","",IFERROR(INDEX(WBS_CBS!$K$5:$K$16,MATCH($D28,WBS_CBS!$A$5:$A$16,0)),""))</f>
        <v/>
      </c>
      <c r="X28" s="150">
        <f>IF($D28="","",IFERROR(INDEX(WBS_CBS!$F$5:$F$16,MATCH($D28,WBS_CBS!$A$5:$A$16,0)),""))</f>
        <v/>
      </c>
      <c r="Y28" s="149" t="n"/>
      <c r="Z28" s="149" t="n"/>
      <c r="AA28" s="150">
        <f>IF($D28="","",IFERROR(INDEX(WBS_CBS!$L$5:$L$16,MATCH($D28,WBS_CBS!$A$5:$A$16,0)),""))</f>
        <v/>
      </c>
      <c r="AB28" s="149" t="n"/>
    </row>
    <row r="29">
      <c r="A29" s="149" t="n"/>
      <c r="B29" s="149" t="n"/>
      <c r="C29" s="150">
        <f>IF($D29="","",IFERROR(INDEX(WBS_CBS!$E$5:$E$16,MATCH($D29,WBS_CBS!$A$5:$A$16,0)),""))</f>
        <v/>
      </c>
      <c r="D29" s="149" t="n"/>
      <c r="E29" s="150">
        <f>IF($D29="","",IFERROR(INDEX(WBS_CBS!$C$5:$C$16,MATCH($D29,WBS_CBS!$A$5:$A$16,0)),""))</f>
        <v/>
      </c>
      <c r="F29" s="150">
        <f>IF($D29="","",IFERROR(INDEX(WBS_CBS!$J$5:$J$16,MATCH($D29,WBS_CBS!$A$5:$A$16,0)),""))</f>
        <v/>
      </c>
      <c r="G29" s="149" t="n"/>
      <c r="H29" s="151" t="n"/>
      <c r="I29" s="149" t="n"/>
      <c r="J29" s="152" t="n"/>
      <c r="K29" s="149" t="n"/>
      <c r="L29" s="153">
        <f>IF($K29="","",IFERROR(INDEX(FX_Rates!$B$5:$B$14,MATCH($K29,FX_Rates!$A$5:$A$14,0)),""))</f>
        <v/>
      </c>
      <c r="M29" s="153">
        <f>IF(OR($H29="",$J29=""),"",$H29*$J29)</f>
        <v/>
      </c>
      <c r="N29" s="153">
        <f>IF(OR($M29="",$L29=""),"",$M29*$L29)</f>
        <v/>
      </c>
      <c r="O29" s="149" t="n"/>
      <c r="P29" s="154">
        <f>IF($O29="","",IFERROR(INDEX(Basis_of_Estimate!$C$5:$C$9,MATCH($O29,Basis_of_Estimate!$A$5:$A$9,0)),""))</f>
        <v/>
      </c>
      <c r="Q29" s="154">
        <f>IF($O29="","",IFERROR(INDEX(Basis_of_Estimate!$D$5:$D$9,MATCH($O29,Basis_of_Estimate!$A$5:$A$9,0)),""))</f>
        <v/>
      </c>
      <c r="R29" s="153">
        <f>IF($N29="","",$N29*(1+$P29))</f>
        <v/>
      </c>
      <c r="S29" s="153">
        <f>IF($N29="","",$N29)</f>
        <v/>
      </c>
      <c r="T29" s="153">
        <f>IF($N29="","",$N29*(1+$Q29))</f>
        <v/>
      </c>
      <c r="U29" s="150">
        <f>IF($D29="","",IFERROR(INDEX(WBS_CBS!$M$5:$M$16,MATCH($D29,WBS_CBS!$A$5:$A$16,0)),"Yes"))</f>
        <v/>
      </c>
      <c r="V29" s="150">
        <f>IF($D29="","",IFERROR(INDEX(WBS_CBS!$N$5:$N$16,MATCH($D29,WBS_CBS!$A$5:$A$16,0)),"Yes"))</f>
        <v/>
      </c>
      <c r="W29" s="150">
        <f>IF($D29="","",IFERROR(INDEX(WBS_CBS!$K$5:$K$16,MATCH($D29,WBS_CBS!$A$5:$A$16,0)),""))</f>
        <v/>
      </c>
      <c r="X29" s="150">
        <f>IF($D29="","",IFERROR(INDEX(WBS_CBS!$F$5:$F$16,MATCH($D29,WBS_CBS!$A$5:$A$16,0)),""))</f>
        <v/>
      </c>
      <c r="Y29" s="149" t="n"/>
      <c r="Z29" s="149" t="n"/>
      <c r="AA29" s="150">
        <f>IF($D29="","",IFERROR(INDEX(WBS_CBS!$L$5:$L$16,MATCH($D29,WBS_CBS!$A$5:$A$16,0)),""))</f>
        <v/>
      </c>
      <c r="AB29" s="149" t="n"/>
    </row>
    <row r="30">
      <c r="A30" s="149" t="n"/>
      <c r="B30" s="149" t="n"/>
      <c r="C30" s="150">
        <f>IF($D30="","",IFERROR(INDEX(WBS_CBS!$E$5:$E$16,MATCH($D30,WBS_CBS!$A$5:$A$16,0)),""))</f>
        <v/>
      </c>
      <c r="D30" s="149" t="n"/>
      <c r="E30" s="150">
        <f>IF($D30="","",IFERROR(INDEX(WBS_CBS!$C$5:$C$16,MATCH($D30,WBS_CBS!$A$5:$A$16,0)),""))</f>
        <v/>
      </c>
      <c r="F30" s="150">
        <f>IF($D30="","",IFERROR(INDEX(WBS_CBS!$J$5:$J$16,MATCH($D30,WBS_CBS!$A$5:$A$16,0)),""))</f>
        <v/>
      </c>
      <c r="G30" s="149" t="n"/>
      <c r="H30" s="151" t="n"/>
      <c r="I30" s="149" t="n"/>
      <c r="J30" s="152" t="n"/>
      <c r="K30" s="149" t="n"/>
      <c r="L30" s="153">
        <f>IF($K30="","",IFERROR(INDEX(FX_Rates!$B$5:$B$14,MATCH($K30,FX_Rates!$A$5:$A$14,0)),""))</f>
        <v/>
      </c>
      <c r="M30" s="153">
        <f>IF(OR($H30="",$J30=""),"",$H30*$J30)</f>
        <v/>
      </c>
      <c r="N30" s="153">
        <f>IF(OR($M30="",$L30=""),"",$M30*$L30)</f>
        <v/>
      </c>
      <c r="O30" s="149" t="n"/>
      <c r="P30" s="154">
        <f>IF($O30="","",IFERROR(INDEX(Basis_of_Estimate!$C$5:$C$9,MATCH($O30,Basis_of_Estimate!$A$5:$A$9,0)),""))</f>
        <v/>
      </c>
      <c r="Q30" s="154">
        <f>IF($O30="","",IFERROR(INDEX(Basis_of_Estimate!$D$5:$D$9,MATCH($O30,Basis_of_Estimate!$A$5:$A$9,0)),""))</f>
        <v/>
      </c>
      <c r="R30" s="153">
        <f>IF($N30="","",$N30*(1+$P30))</f>
        <v/>
      </c>
      <c r="S30" s="153">
        <f>IF($N30="","",$N30)</f>
        <v/>
      </c>
      <c r="T30" s="153">
        <f>IF($N30="","",$N30*(1+$Q30))</f>
        <v/>
      </c>
      <c r="U30" s="150">
        <f>IF($D30="","",IFERROR(INDEX(WBS_CBS!$M$5:$M$16,MATCH($D30,WBS_CBS!$A$5:$A$16,0)),"Yes"))</f>
        <v/>
      </c>
      <c r="V30" s="150">
        <f>IF($D30="","",IFERROR(INDEX(WBS_CBS!$N$5:$N$16,MATCH($D30,WBS_CBS!$A$5:$A$16,0)),"Yes"))</f>
        <v/>
      </c>
      <c r="W30" s="150">
        <f>IF($D30="","",IFERROR(INDEX(WBS_CBS!$K$5:$K$16,MATCH($D30,WBS_CBS!$A$5:$A$16,0)),""))</f>
        <v/>
      </c>
      <c r="X30" s="150">
        <f>IF($D30="","",IFERROR(INDEX(WBS_CBS!$F$5:$F$16,MATCH($D30,WBS_CBS!$A$5:$A$16,0)),""))</f>
        <v/>
      </c>
      <c r="Y30" s="149" t="n"/>
      <c r="Z30" s="149" t="n"/>
      <c r="AA30" s="150">
        <f>IF($D30="","",IFERROR(INDEX(WBS_CBS!$L$5:$L$16,MATCH($D30,WBS_CBS!$A$5:$A$16,0)),""))</f>
        <v/>
      </c>
      <c r="AB30" s="149" t="n"/>
    </row>
    <row r="31">
      <c r="A31" s="149" t="n"/>
      <c r="B31" s="149" t="n"/>
      <c r="C31" s="150">
        <f>IF($D31="","",IFERROR(INDEX(WBS_CBS!$E$5:$E$16,MATCH($D31,WBS_CBS!$A$5:$A$16,0)),""))</f>
        <v/>
      </c>
      <c r="D31" s="149" t="n"/>
      <c r="E31" s="150">
        <f>IF($D31="","",IFERROR(INDEX(WBS_CBS!$C$5:$C$16,MATCH($D31,WBS_CBS!$A$5:$A$16,0)),""))</f>
        <v/>
      </c>
      <c r="F31" s="150">
        <f>IF($D31="","",IFERROR(INDEX(WBS_CBS!$J$5:$J$16,MATCH($D31,WBS_CBS!$A$5:$A$16,0)),""))</f>
        <v/>
      </c>
      <c r="G31" s="149" t="n"/>
      <c r="H31" s="151" t="n"/>
      <c r="I31" s="149" t="n"/>
      <c r="J31" s="152" t="n"/>
      <c r="K31" s="149" t="n"/>
      <c r="L31" s="153">
        <f>IF($K31="","",IFERROR(INDEX(FX_Rates!$B$5:$B$14,MATCH($K31,FX_Rates!$A$5:$A$14,0)),""))</f>
        <v/>
      </c>
      <c r="M31" s="153">
        <f>IF(OR($H31="",$J31=""),"",$H31*$J31)</f>
        <v/>
      </c>
      <c r="N31" s="153">
        <f>IF(OR($M31="",$L31=""),"",$M31*$L31)</f>
        <v/>
      </c>
      <c r="O31" s="149" t="n"/>
      <c r="P31" s="154">
        <f>IF($O31="","",IFERROR(INDEX(Basis_of_Estimate!$C$5:$C$9,MATCH($O31,Basis_of_Estimate!$A$5:$A$9,0)),""))</f>
        <v/>
      </c>
      <c r="Q31" s="154">
        <f>IF($O31="","",IFERROR(INDEX(Basis_of_Estimate!$D$5:$D$9,MATCH($O31,Basis_of_Estimate!$A$5:$A$9,0)),""))</f>
        <v/>
      </c>
      <c r="R31" s="153">
        <f>IF($N31="","",$N31*(1+$P31))</f>
        <v/>
      </c>
      <c r="S31" s="153">
        <f>IF($N31="","",$N31)</f>
        <v/>
      </c>
      <c r="T31" s="153">
        <f>IF($N31="","",$N31*(1+$Q31))</f>
        <v/>
      </c>
      <c r="U31" s="150">
        <f>IF($D31="","",IFERROR(INDEX(WBS_CBS!$M$5:$M$16,MATCH($D31,WBS_CBS!$A$5:$A$16,0)),"Yes"))</f>
        <v/>
      </c>
      <c r="V31" s="150">
        <f>IF($D31="","",IFERROR(INDEX(WBS_CBS!$N$5:$N$16,MATCH($D31,WBS_CBS!$A$5:$A$16,0)),"Yes"))</f>
        <v/>
      </c>
      <c r="W31" s="150">
        <f>IF($D31="","",IFERROR(INDEX(WBS_CBS!$K$5:$K$16,MATCH($D31,WBS_CBS!$A$5:$A$16,0)),""))</f>
        <v/>
      </c>
      <c r="X31" s="150">
        <f>IF($D31="","",IFERROR(INDEX(WBS_CBS!$F$5:$F$16,MATCH($D31,WBS_CBS!$A$5:$A$16,0)),""))</f>
        <v/>
      </c>
      <c r="Y31" s="149" t="n"/>
      <c r="Z31" s="149" t="n"/>
      <c r="AA31" s="150">
        <f>IF($D31="","",IFERROR(INDEX(WBS_CBS!$L$5:$L$16,MATCH($D31,WBS_CBS!$A$5:$A$16,0)),""))</f>
        <v/>
      </c>
      <c r="AB31" s="149" t="n"/>
    </row>
    <row r="32">
      <c r="A32" s="149" t="n"/>
      <c r="B32" s="149" t="n"/>
      <c r="C32" s="150">
        <f>IF($D32="","",IFERROR(INDEX(WBS_CBS!$E$5:$E$16,MATCH($D32,WBS_CBS!$A$5:$A$16,0)),""))</f>
        <v/>
      </c>
      <c r="D32" s="149" t="n"/>
      <c r="E32" s="150">
        <f>IF($D32="","",IFERROR(INDEX(WBS_CBS!$C$5:$C$16,MATCH($D32,WBS_CBS!$A$5:$A$16,0)),""))</f>
        <v/>
      </c>
      <c r="F32" s="150">
        <f>IF($D32="","",IFERROR(INDEX(WBS_CBS!$J$5:$J$16,MATCH($D32,WBS_CBS!$A$5:$A$16,0)),""))</f>
        <v/>
      </c>
      <c r="G32" s="149" t="n"/>
      <c r="H32" s="151" t="n"/>
      <c r="I32" s="149" t="n"/>
      <c r="J32" s="152" t="n"/>
      <c r="K32" s="149" t="n"/>
      <c r="L32" s="153">
        <f>IF($K32="","",IFERROR(INDEX(FX_Rates!$B$5:$B$14,MATCH($K32,FX_Rates!$A$5:$A$14,0)),""))</f>
        <v/>
      </c>
      <c r="M32" s="153">
        <f>IF(OR($H32="",$J32=""),"",$H32*$J32)</f>
        <v/>
      </c>
      <c r="N32" s="153">
        <f>IF(OR($M32="",$L32=""),"",$M32*$L32)</f>
        <v/>
      </c>
      <c r="O32" s="149" t="n"/>
      <c r="P32" s="154">
        <f>IF($O32="","",IFERROR(INDEX(Basis_of_Estimate!$C$5:$C$9,MATCH($O32,Basis_of_Estimate!$A$5:$A$9,0)),""))</f>
        <v/>
      </c>
      <c r="Q32" s="154">
        <f>IF($O32="","",IFERROR(INDEX(Basis_of_Estimate!$D$5:$D$9,MATCH($O32,Basis_of_Estimate!$A$5:$A$9,0)),""))</f>
        <v/>
      </c>
      <c r="R32" s="153">
        <f>IF($N32="","",$N32*(1+$P32))</f>
        <v/>
      </c>
      <c r="S32" s="153">
        <f>IF($N32="","",$N32)</f>
        <v/>
      </c>
      <c r="T32" s="153">
        <f>IF($N32="","",$N32*(1+$Q32))</f>
        <v/>
      </c>
      <c r="U32" s="150">
        <f>IF($D32="","",IFERROR(INDEX(WBS_CBS!$M$5:$M$16,MATCH($D32,WBS_CBS!$A$5:$A$16,0)),"Yes"))</f>
        <v/>
      </c>
      <c r="V32" s="150">
        <f>IF($D32="","",IFERROR(INDEX(WBS_CBS!$N$5:$N$16,MATCH($D32,WBS_CBS!$A$5:$A$16,0)),"Yes"))</f>
        <v/>
      </c>
      <c r="W32" s="150">
        <f>IF($D32="","",IFERROR(INDEX(WBS_CBS!$K$5:$K$16,MATCH($D32,WBS_CBS!$A$5:$A$16,0)),""))</f>
        <v/>
      </c>
      <c r="X32" s="150">
        <f>IF($D32="","",IFERROR(INDEX(WBS_CBS!$F$5:$F$16,MATCH($D32,WBS_CBS!$A$5:$A$16,0)),""))</f>
        <v/>
      </c>
      <c r="Y32" s="149" t="n"/>
      <c r="Z32" s="149" t="n"/>
      <c r="AA32" s="150">
        <f>IF($D32="","",IFERROR(INDEX(WBS_CBS!$L$5:$L$16,MATCH($D32,WBS_CBS!$A$5:$A$16,0)),""))</f>
        <v/>
      </c>
      <c r="AB32" s="149" t="n"/>
    </row>
    <row r="33">
      <c r="A33" s="149" t="n"/>
      <c r="B33" s="149" t="n"/>
      <c r="C33" s="150">
        <f>IF($D33="","",IFERROR(INDEX(WBS_CBS!$E$5:$E$16,MATCH($D33,WBS_CBS!$A$5:$A$16,0)),""))</f>
        <v/>
      </c>
      <c r="D33" s="149" t="n"/>
      <c r="E33" s="150">
        <f>IF($D33="","",IFERROR(INDEX(WBS_CBS!$C$5:$C$16,MATCH($D33,WBS_CBS!$A$5:$A$16,0)),""))</f>
        <v/>
      </c>
      <c r="F33" s="150">
        <f>IF($D33="","",IFERROR(INDEX(WBS_CBS!$J$5:$J$16,MATCH($D33,WBS_CBS!$A$5:$A$16,0)),""))</f>
        <v/>
      </c>
      <c r="G33" s="149" t="n"/>
      <c r="H33" s="151" t="n"/>
      <c r="I33" s="149" t="n"/>
      <c r="J33" s="152" t="n"/>
      <c r="K33" s="149" t="n"/>
      <c r="L33" s="153">
        <f>IF($K33="","",IFERROR(INDEX(FX_Rates!$B$5:$B$14,MATCH($K33,FX_Rates!$A$5:$A$14,0)),""))</f>
        <v/>
      </c>
      <c r="M33" s="153">
        <f>IF(OR($H33="",$J33=""),"",$H33*$J33)</f>
        <v/>
      </c>
      <c r="N33" s="153">
        <f>IF(OR($M33="",$L33=""),"",$M33*$L33)</f>
        <v/>
      </c>
      <c r="O33" s="149" t="n"/>
      <c r="P33" s="154">
        <f>IF($O33="","",IFERROR(INDEX(Basis_of_Estimate!$C$5:$C$9,MATCH($O33,Basis_of_Estimate!$A$5:$A$9,0)),""))</f>
        <v/>
      </c>
      <c r="Q33" s="154">
        <f>IF($O33="","",IFERROR(INDEX(Basis_of_Estimate!$D$5:$D$9,MATCH($O33,Basis_of_Estimate!$A$5:$A$9,0)),""))</f>
        <v/>
      </c>
      <c r="R33" s="153">
        <f>IF($N33="","",$N33*(1+$P33))</f>
        <v/>
      </c>
      <c r="S33" s="153">
        <f>IF($N33="","",$N33)</f>
        <v/>
      </c>
      <c r="T33" s="153">
        <f>IF($N33="","",$N33*(1+$Q33))</f>
        <v/>
      </c>
      <c r="U33" s="150">
        <f>IF($D33="","",IFERROR(INDEX(WBS_CBS!$M$5:$M$16,MATCH($D33,WBS_CBS!$A$5:$A$16,0)),"Yes"))</f>
        <v/>
      </c>
      <c r="V33" s="150">
        <f>IF($D33="","",IFERROR(INDEX(WBS_CBS!$N$5:$N$16,MATCH($D33,WBS_CBS!$A$5:$A$16,0)),"Yes"))</f>
        <v/>
      </c>
      <c r="W33" s="150">
        <f>IF($D33="","",IFERROR(INDEX(WBS_CBS!$K$5:$K$16,MATCH($D33,WBS_CBS!$A$5:$A$16,0)),""))</f>
        <v/>
      </c>
      <c r="X33" s="150">
        <f>IF($D33="","",IFERROR(INDEX(WBS_CBS!$F$5:$F$16,MATCH($D33,WBS_CBS!$A$5:$A$16,0)),""))</f>
        <v/>
      </c>
      <c r="Y33" s="149" t="n"/>
      <c r="Z33" s="149" t="n"/>
      <c r="AA33" s="150">
        <f>IF($D33="","",IFERROR(INDEX(WBS_CBS!$L$5:$L$16,MATCH($D33,WBS_CBS!$A$5:$A$16,0)),""))</f>
        <v/>
      </c>
      <c r="AB33" s="149" t="n"/>
    </row>
    <row r="34">
      <c r="A34" s="149" t="n"/>
      <c r="B34" s="149" t="n"/>
      <c r="C34" s="150">
        <f>IF($D34="","",IFERROR(INDEX(WBS_CBS!$E$5:$E$16,MATCH($D34,WBS_CBS!$A$5:$A$16,0)),""))</f>
        <v/>
      </c>
      <c r="D34" s="149" t="n"/>
      <c r="E34" s="150">
        <f>IF($D34="","",IFERROR(INDEX(WBS_CBS!$C$5:$C$16,MATCH($D34,WBS_CBS!$A$5:$A$16,0)),""))</f>
        <v/>
      </c>
      <c r="F34" s="150">
        <f>IF($D34="","",IFERROR(INDEX(WBS_CBS!$J$5:$J$16,MATCH($D34,WBS_CBS!$A$5:$A$16,0)),""))</f>
        <v/>
      </c>
      <c r="G34" s="149" t="n"/>
      <c r="H34" s="151" t="n"/>
      <c r="I34" s="149" t="n"/>
      <c r="J34" s="152" t="n"/>
      <c r="K34" s="149" t="n"/>
      <c r="L34" s="153">
        <f>IF($K34="","",IFERROR(INDEX(FX_Rates!$B$5:$B$14,MATCH($K34,FX_Rates!$A$5:$A$14,0)),""))</f>
        <v/>
      </c>
      <c r="M34" s="153">
        <f>IF(OR($H34="",$J34=""),"",$H34*$J34)</f>
        <v/>
      </c>
      <c r="N34" s="153">
        <f>IF(OR($M34="",$L34=""),"",$M34*$L34)</f>
        <v/>
      </c>
      <c r="O34" s="149" t="n"/>
      <c r="P34" s="154">
        <f>IF($O34="","",IFERROR(INDEX(Basis_of_Estimate!$C$5:$C$9,MATCH($O34,Basis_of_Estimate!$A$5:$A$9,0)),""))</f>
        <v/>
      </c>
      <c r="Q34" s="154">
        <f>IF($O34="","",IFERROR(INDEX(Basis_of_Estimate!$D$5:$D$9,MATCH($O34,Basis_of_Estimate!$A$5:$A$9,0)),""))</f>
        <v/>
      </c>
      <c r="R34" s="153">
        <f>IF($N34="","",$N34*(1+$P34))</f>
        <v/>
      </c>
      <c r="S34" s="153">
        <f>IF($N34="","",$N34)</f>
        <v/>
      </c>
      <c r="T34" s="153">
        <f>IF($N34="","",$N34*(1+$Q34))</f>
        <v/>
      </c>
      <c r="U34" s="150">
        <f>IF($D34="","",IFERROR(INDEX(WBS_CBS!$M$5:$M$16,MATCH($D34,WBS_CBS!$A$5:$A$16,0)),"Yes"))</f>
        <v/>
      </c>
      <c r="V34" s="150">
        <f>IF($D34="","",IFERROR(INDEX(WBS_CBS!$N$5:$N$16,MATCH($D34,WBS_CBS!$A$5:$A$16,0)),"Yes"))</f>
        <v/>
      </c>
      <c r="W34" s="150">
        <f>IF($D34="","",IFERROR(INDEX(WBS_CBS!$K$5:$K$16,MATCH($D34,WBS_CBS!$A$5:$A$16,0)),""))</f>
        <v/>
      </c>
      <c r="X34" s="150">
        <f>IF($D34="","",IFERROR(INDEX(WBS_CBS!$F$5:$F$16,MATCH($D34,WBS_CBS!$A$5:$A$16,0)),""))</f>
        <v/>
      </c>
      <c r="Y34" s="149" t="n"/>
      <c r="Z34" s="149" t="n"/>
      <c r="AA34" s="150">
        <f>IF($D34="","",IFERROR(INDEX(WBS_CBS!$L$5:$L$16,MATCH($D34,WBS_CBS!$A$5:$A$16,0)),""))</f>
        <v/>
      </c>
      <c r="AB34" s="149" t="n"/>
    </row>
    <row r="35">
      <c r="A35" s="149" t="n"/>
      <c r="B35" s="149" t="n"/>
      <c r="C35" s="150">
        <f>IF($D35="","",IFERROR(INDEX(WBS_CBS!$E$5:$E$16,MATCH($D35,WBS_CBS!$A$5:$A$16,0)),""))</f>
        <v/>
      </c>
      <c r="D35" s="149" t="n"/>
      <c r="E35" s="150">
        <f>IF($D35="","",IFERROR(INDEX(WBS_CBS!$C$5:$C$16,MATCH($D35,WBS_CBS!$A$5:$A$16,0)),""))</f>
        <v/>
      </c>
      <c r="F35" s="150">
        <f>IF($D35="","",IFERROR(INDEX(WBS_CBS!$J$5:$J$16,MATCH($D35,WBS_CBS!$A$5:$A$16,0)),""))</f>
        <v/>
      </c>
      <c r="G35" s="149" t="n"/>
      <c r="H35" s="151" t="n"/>
      <c r="I35" s="149" t="n"/>
      <c r="J35" s="152" t="n"/>
      <c r="K35" s="149" t="n"/>
      <c r="L35" s="153">
        <f>IF($K35="","",IFERROR(INDEX(FX_Rates!$B$5:$B$14,MATCH($K35,FX_Rates!$A$5:$A$14,0)),""))</f>
        <v/>
      </c>
      <c r="M35" s="153">
        <f>IF(OR($H35="",$J35=""),"",$H35*$J35)</f>
        <v/>
      </c>
      <c r="N35" s="153">
        <f>IF(OR($M35="",$L35=""),"",$M35*$L35)</f>
        <v/>
      </c>
      <c r="O35" s="149" t="n"/>
      <c r="P35" s="154">
        <f>IF($O35="","",IFERROR(INDEX(Basis_of_Estimate!$C$5:$C$9,MATCH($O35,Basis_of_Estimate!$A$5:$A$9,0)),""))</f>
        <v/>
      </c>
      <c r="Q35" s="154">
        <f>IF($O35="","",IFERROR(INDEX(Basis_of_Estimate!$D$5:$D$9,MATCH($O35,Basis_of_Estimate!$A$5:$A$9,0)),""))</f>
        <v/>
      </c>
      <c r="R35" s="153">
        <f>IF($N35="","",$N35*(1+$P35))</f>
        <v/>
      </c>
      <c r="S35" s="153">
        <f>IF($N35="","",$N35)</f>
        <v/>
      </c>
      <c r="T35" s="153">
        <f>IF($N35="","",$N35*(1+$Q35))</f>
        <v/>
      </c>
      <c r="U35" s="150">
        <f>IF($D35="","",IFERROR(INDEX(WBS_CBS!$M$5:$M$16,MATCH($D35,WBS_CBS!$A$5:$A$16,0)),"Yes"))</f>
        <v/>
      </c>
      <c r="V35" s="150">
        <f>IF($D35="","",IFERROR(INDEX(WBS_CBS!$N$5:$N$16,MATCH($D35,WBS_CBS!$A$5:$A$16,0)),"Yes"))</f>
        <v/>
      </c>
      <c r="W35" s="150">
        <f>IF($D35="","",IFERROR(INDEX(WBS_CBS!$K$5:$K$16,MATCH($D35,WBS_CBS!$A$5:$A$16,0)),""))</f>
        <v/>
      </c>
      <c r="X35" s="150">
        <f>IF($D35="","",IFERROR(INDEX(WBS_CBS!$F$5:$F$16,MATCH($D35,WBS_CBS!$A$5:$A$16,0)),""))</f>
        <v/>
      </c>
      <c r="Y35" s="149" t="n"/>
      <c r="Z35" s="149" t="n"/>
      <c r="AA35" s="150">
        <f>IF($D35="","",IFERROR(INDEX(WBS_CBS!$L$5:$L$16,MATCH($D35,WBS_CBS!$A$5:$A$16,0)),""))</f>
        <v/>
      </c>
      <c r="AB35" s="149" t="n"/>
    </row>
    <row r="36">
      <c r="A36" s="149" t="n"/>
      <c r="B36" s="149" t="n"/>
      <c r="C36" s="150">
        <f>IF($D36="","",IFERROR(INDEX(WBS_CBS!$E$5:$E$16,MATCH($D36,WBS_CBS!$A$5:$A$16,0)),""))</f>
        <v/>
      </c>
      <c r="D36" s="149" t="n"/>
      <c r="E36" s="150">
        <f>IF($D36="","",IFERROR(INDEX(WBS_CBS!$C$5:$C$16,MATCH($D36,WBS_CBS!$A$5:$A$16,0)),""))</f>
        <v/>
      </c>
      <c r="F36" s="150">
        <f>IF($D36="","",IFERROR(INDEX(WBS_CBS!$J$5:$J$16,MATCH($D36,WBS_CBS!$A$5:$A$16,0)),""))</f>
        <v/>
      </c>
      <c r="G36" s="149" t="n"/>
      <c r="H36" s="151" t="n"/>
      <c r="I36" s="149" t="n"/>
      <c r="J36" s="152" t="n"/>
      <c r="K36" s="149" t="n"/>
      <c r="L36" s="153">
        <f>IF($K36="","",IFERROR(INDEX(FX_Rates!$B$5:$B$14,MATCH($K36,FX_Rates!$A$5:$A$14,0)),""))</f>
        <v/>
      </c>
      <c r="M36" s="153">
        <f>IF(OR($H36="",$J36=""),"",$H36*$J36)</f>
        <v/>
      </c>
      <c r="N36" s="153">
        <f>IF(OR($M36="",$L36=""),"",$M36*$L36)</f>
        <v/>
      </c>
      <c r="O36" s="149" t="n"/>
      <c r="P36" s="154">
        <f>IF($O36="","",IFERROR(INDEX(Basis_of_Estimate!$C$5:$C$9,MATCH($O36,Basis_of_Estimate!$A$5:$A$9,0)),""))</f>
        <v/>
      </c>
      <c r="Q36" s="154">
        <f>IF($O36="","",IFERROR(INDEX(Basis_of_Estimate!$D$5:$D$9,MATCH($O36,Basis_of_Estimate!$A$5:$A$9,0)),""))</f>
        <v/>
      </c>
      <c r="R36" s="153">
        <f>IF($N36="","",$N36*(1+$P36))</f>
        <v/>
      </c>
      <c r="S36" s="153">
        <f>IF($N36="","",$N36)</f>
        <v/>
      </c>
      <c r="T36" s="153">
        <f>IF($N36="","",$N36*(1+$Q36))</f>
        <v/>
      </c>
      <c r="U36" s="150">
        <f>IF($D36="","",IFERROR(INDEX(WBS_CBS!$M$5:$M$16,MATCH($D36,WBS_CBS!$A$5:$A$16,0)),"Yes"))</f>
        <v/>
      </c>
      <c r="V36" s="150">
        <f>IF($D36="","",IFERROR(INDEX(WBS_CBS!$N$5:$N$16,MATCH($D36,WBS_CBS!$A$5:$A$16,0)),"Yes"))</f>
        <v/>
      </c>
      <c r="W36" s="150">
        <f>IF($D36="","",IFERROR(INDEX(WBS_CBS!$K$5:$K$16,MATCH($D36,WBS_CBS!$A$5:$A$16,0)),""))</f>
        <v/>
      </c>
      <c r="X36" s="150">
        <f>IF($D36="","",IFERROR(INDEX(WBS_CBS!$F$5:$F$16,MATCH($D36,WBS_CBS!$A$5:$A$16,0)),""))</f>
        <v/>
      </c>
      <c r="Y36" s="149" t="n"/>
      <c r="Z36" s="149" t="n"/>
      <c r="AA36" s="150">
        <f>IF($D36="","",IFERROR(INDEX(WBS_CBS!$L$5:$L$16,MATCH($D36,WBS_CBS!$A$5:$A$16,0)),""))</f>
        <v/>
      </c>
      <c r="AB36" s="149" t="n"/>
    </row>
    <row r="37">
      <c r="A37" s="149" t="n"/>
      <c r="B37" s="149" t="n"/>
      <c r="C37" s="150">
        <f>IF($D37="","",IFERROR(INDEX(WBS_CBS!$E$5:$E$16,MATCH($D37,WBS_CBS!$A$5:$A$16,0)),""))</f>
        <v/>
      </c>
      <c r="D37" s="149" t="n"/>
      <c r="E37" s="150">
        <f>IF($D37="","",IFERROR(INDEX(WBS_CBS!$C$5:$C$16,MATCH($D37,WBS_CBS!$A$5:$A$16,0)),""))</f>
        <v/>
      </c>
      <c r="F37" s="150">
        <f>IF($D37="","",IFERROR(INDEX(WBS_CBS!$J$5:$J$16,MATCH($D37,WBS_CBS!$A$5:$A$16,0)),""))</f>
        <v/>
      </c>
      <c r="G37" s="149" t="n"/>
      <c r="H37" s="151" t="n"/>
      <c r="I37" s="149" t="n"/>
      <c r="J37" s="152" t="n"/>
      <c r="K37" s="149" t="n"/>
      <c r="L37" s="153">
        <f>IF($K37="","",IFERROR(INDEX(FX_Rates!$B$5:$B$14,MATCH($K37,FX_Rates!$A$5:$A$14,0)),""))</f>
        <v/>
      </c>
      <c r="M37" s="153">
        <f>IF(OR($H37="",$J37=""),"",$H37*$J37)</f>
        <v/>
      </c>
      <c r="N37" s="153">
        <f>IF(OR($M37="",$L37=""),"",$M37*$L37)</f>
        <v/>
      </c>
      <c r="O37" s="149" t="n"/>
      <c r="P37" s="154">
        <f>IF($O37="","",IFERROR(INDEX(Basis_of_Estimate!$C$5:$C$9,MATCH($O37,Basis_of_Estimate!$A$5:$A$9,0)),""))</f>
        <v/>
      </c>
      <c r="Q37" s="154">
        <f>IF($O37="","",IFERROR(INDEX(Basis_of_Estimate!$D$5:$D$9,MATCH($O37,Basis_of_Estimate!$A$5:$A$9,0)),""))</f>
        <v/>
      </c>
      <c r="R37" s="153">
        <f>IF($N37="","",$N37*(1+$P37))</f>
        <v/>
      </c>
      <c r="S37" s="153">
        <f>IF($N37="","",$N37)</f>
        <v/>
      </c>
      <c r="T37" s="153">
        <f>IF($N37="","",$N37*(1+$Q37))</f>
        <v/>
      </c>
      <c r="U37" s="150">
        <f>IF($D37="","",IFERROR(INDEX(WBS_CBS!$M$5:$M$16,MATCH($D37,WBS_CBS!$A$5:$A$16,0)),"Yes"))</f>
        <v/>
      </c>
      <c r="V37" s="150">
        <f>IF($D37="","",IFERROR(INDEX(WBS_CBS!$N$5:$N$16,MATCH($D37,WBS_CBS!$A$5:$A$16,0)),"Yes"))</f>
        <v/>
      </c>
      <c r="W37" s="150">
        <f>IF($D37="","",IFERROR(INDEX(WBS_CBS!$K$5:$K$16,MATCH($D37,WBS_CBS!$A$5:$A$16,0)),""))</f>
        <v/>
      </c>
      <c r="X37" s="150">
        <f>IF($D37="","",IFERROR(INDEX(WBS_CBS!$F$5:$F$16,MATCH($D37,WBS_CBS!$A$5:$A$16,0)),""))</f>
        <v/>
      </c>
      <c r="Y37" s="149" t="n"/>
      <c r="Z37" s="149" t="n"/>
      <c r="AA37" s="150">
        <f>IF($D37="","",IFERROR(INDEX(WBS_CBS!$L$5:$L$16,MATCH($D37,WBS_CBS!$A$5:$A$16,0)),""))</f>
        <v/>
      </c>
      <c r="AB37" s="149" t="n"/>
    </row>
    <row r="38">
      <c r="A38" s="149" t="n"/>
      <c r="B38" s="149" t="n"/>
      <c r="C38" s="150">
        <f>IF($D38="","",IFERROR(INDEX(WBS_CBS!$E$5:$E$16,MATCH($D38,WBS_CBS!$A$5:$A$16,0)),""))</f>
        <v/>
      </c>
      <c r="D38" s="149" t="n"/>
      <c r="E38" s="150">
        <f>IF($D38="","",IFERROR(INDEX(WBS_CBS!$C$5:$C$16,MATCH($D38,WBS_CBS!$A$5:$A$16,0)),""))</f>
        <v/>
      </c>
      <c r="F38" s="150">
        <f>IF($D38="","",IFERROR(INDEX(WBS_CBS!$J$5:$J$16,MATCH($D38,WBS_CBS!$A$5:$A$16,0)),""))</f>
        <v/>
      </c>
      <c r="G38" s="149" t="n"/>
      <c r="H38" s="151" t="n"/>
      <c r="I38" s="149" t="n"/>
      <c r="J38" s="152" t="n"/>
      <c r="K38" s="149" t="n"/>
      <c r="L38" s="153">
        <f>IF($K38="","",IFERROR(INDEX(FX_Rates!$B$5:$B$14,MATCH($K38,FX_Rates!$A$5:$A$14,0)),""))</f>
        <v/>
      </c>
      <c r="M38" s="153">
        <f>IF(OR($H38="",$J38=""),"",$H38*$J38)</f>
        <v/>
      </c>
      <c r="N38" s="153">
        <f>IF(OR($M38="",$L38=""),"",$M38*$L38)</f>
        <v/>
      </c>
      <c r="O38" s="149" t="n"/>
      <c r="P38" s="154">
        <f>IF($O38="","",IFERROR(INDEX(Basis_of_Estimate!$C$5:$C$9,MATCH($O38,Basis_of_Estimate!$A$5:$A$9,0)),""))</f>
        <v/>
      </c>
      <c r="Q38" s="154">
        <f>IF($O38="","",IFERROR(INDEX(Basis_of_Estimate!$D$5:$D$9,MATCH($O38,Basis_of_Estimate!$A$5:$A$9,0)),""))</f>
        <v/>
      </c>
      <c r="R38" s="153">
        <f>IF($N38="","",$N38*(1+$P38))</f>
        <v/>
      </c>
      <c r="S38" s="153">
        <f>IF($N38="","",$N38)</f>
        <v/>
      </c>
      <c r="T38" s="153">
        <f>IF($N38="","",$N38*(1+$Q38))</f>
        <v/>
      </c>
      <c r="U38" s="150">
        <f>IF($D38="","",IFERROR(INDEX(WBS_CBS!$M$5:$M$16,MATCH($D38,WBS_CBS!$A$5:$A$16,0)),"Yes"))</f>
        <v/>
      </c>
      <c r="V38" s="150">
        <f>IF($D38="","",IFERROR(INDEX(WBS_CBS!$N$5:$N$16,MATCH($D38,WBS_CBS!$A$5:$A$16,0)),"Yes"))</f>
        <v/>
      </c>
      <c r="W38" s="150">
        <f>IF($D38="","",IFERROR(INDEX(WBS_CBS!$K$5:$K$16,MATCH($D38,WBS_CBS!$A$5:$A$16,0)),""))</f>
        <v/>
      </c>
      <c r="X38" s="150">
        <f>IF($D38="","",IFERROR(INDEX(WBS_CBS!$F$5:$F$16,MATCH($D38,WBS_CBS!$A$5:$A$16,0)),""))</f>
        <v/>
      </c>
      <c r="Y38" s="149" t="n"/>
      <c r="Z38" s="149" t="n"/>
      <c r="AA38" s="150">
        <f>IF($D38="","",IFERROR(INDEX(WBS_CBS!$L$5:$L$16,MATCH($D38,WBS_CBS!$A$5:$A$16,0)),""))</f>
        <v/>
      </c>
      <c r="AB38" s="149" t="n"/>
    </row>
    <row r="39">
      <c r="A39" s="149" t="n"/>
      <c r="B39" s="149" t="n"/>
      <c r="C39" s="150">
        <f>IF($D39="","",IFERROR(INDEX(WBS_CBS!$E$5:$E$16,MATCH($D39,WBS_CBS!$A$5:$A$16,0)),""))</f>
        <v/>
      </c>
      <c r="D39" s="149" t="n"/>
      <c r="E39" s="150">
        <f>IF($D39="","",IFERROR(INDEX(WBS_CBS!$C$5:$C$16,MATCH($D39,WBS_CBS!$A$5:$A$16,0)),""))</f>
        <v/>
      </c>
      <c r="F39" s="150">
        <f>IF($D39="","",IFERROR(INDEX(WBS_CBS!$J$5:$J$16,MATCH($D39,WBS_CBS!$A$5:$A$16,0)),""))</f>
        <v/>
      </c>
      <c r="G39" s="149" t="n"/>
      <c r="H39" s="151" t="n"/>
      <c r="I39" s="149" t="n"/>
      <c r="J39" s="152" t="n"/>
      <c r="K39" s="149" t="n"/>
      <c r="L39" s="153">
        <f>IF($K39="","",IFERROR(INDEX(FX_Rates!$B$5:$B$14,MATCH($K39,FX_Rates!$A$5:$A$14,0)),""))</f>
        <v/>
      </c>
      <c r="M39" s="153">
        <f>IF(OR($H39="",$J39=""),"",$H39*$J39)</f>
        <v/>
      </c>
      <c r="N39" s="153">
        <f>IF(OR($M39="",$L39=""),"",$M39*$L39)</f>
        <v/>
      </c>
      <c r="O39" s="149" t="n"/>
      <c r="P39" s="154">
        <f>IF($O39="","",IFERROR(INDEX(Basis_of_Estimate!$C$5:$C$9,MATCH($O39,Basis_of_Estimate!$A$5:$A$9,0)),""))</f>
        <v/>
      </c>
      <c r="Q39" s="154">
        <f>IF($O39="","",IFERROR(INDEX(Basis_of_Estimate!$D$5:$D$9,MATCH($O39,Basis_of_Estimate!$A$5:$A$9,0)),""))</f>
        <v/>
      </c>
      <c r="R39" s="153">
        <f>IF($N39="","",$N39*(1+$P39))</f>
        <v/>
      </c>
      <c r="S39" s="153">
        <f>IF($N39="","",$N39)</f>
        <v/>
      </c>
      <c r="T39" s="153">
        <f>IF($N39="","",$N39*(1+$Q39))</f>
        <v/>
      </c>
      <c r="U39" s="150">
        <f>IF($D39="","",IFERROR(INDEX(WBS_CBS!$M$5:$M$16,MATCH($D39,WBS_CBS!$A$5:$A$16,0)),"Yes"))</f>
        <v/>
      </c>
      <c r="V39" s="150">
        <f>IF($D39="","",IFERROR(INDEX(WBS_CBS!$N$5:$N$16,MATCH($D39,WBS_CBS!$A$5:$A$16,0)),"Yes"))</f>
        <v/>
      </c>
      <c r="W39" s="150">
        <f>IF($D39="","",IFERROR(INDEX(WBS_CBS!$K$5:$K$16,MATCH($D39,WBS_CBS!$A$5:$A$16,0)),""))</f>
        <v/>
      </c>
      <c r="X39" s="150">
        <f>IF($D39="","",IFERROR(INDEX(WBS_CBS!$F$5:$F$16,MATCH($D39,WBS_CBS!$A$5:$A$16,0)),""))</f>
        <v/>
      </c>
      <c r="Y39" s="149" t="n"/>
      <c r="Z39" s="149" t="n"/>
      <c r="AA39" s="150">
        <f>IF($D39="","",IFERROR(INDEX(WBS_CBS!$L$5:$L$16,MATCH($D39,WBS_CBS!$A$5:$A$16,0)),""))</f>
        <v/>
      </c>
      <c r="AB39" s="149" t="n"/>
    </row>
    <row r="40">
      <c r="A40" s="149" t="n"/>
      <c r="B40" s="149" t="n"/>
      <c r="C40" s="150">
        <f>IF($D40="","",IFERROR(INDEX(WBS_CBS!$E$5:$E$16,MATCH($D40,WBS_CBS!$A$5:$A$16,0)),""))</f>
        <v/>
      </c>
      <c r="D40" s="149" t="n"/>
      <c r="E40" s="150">
        <f>IF($D40="","",IFERROR(INDEX(WBS_CBS!$C$5:$C$16,MATCH($D40,WBS_CBS!$A$5:$A$16,0)),""))</f>
        <v/>
      </c>
      <c r="F40" s="150">
        <f>IF($D40="","",IFERROR(INDEX(WBS_CBS!$J$5:$J$16,MATCH($D40,WBS_CBS!$A$5:$A$16,0)),""))</f>
        <v/>
      </c>
      <c r="G40" s="149" t="n"/>
      <c r="H40" s="151" t="n"/>
      <c r="I40" s="149" t="n"/>
      <c r="J40" s="152" t="n"/>
      <c r="K40" s="149" t="n"/>
      <c r="L40" s="153">
        <f>IF($K40="","",IFERROR(INDEX(FX_Rates!$B$5:$B$14,MATCH($K40,FX_Rates!$A$5:$A$14,0)),""))</f>
        <v/>
      </c>
      <c r="M40" s="153">
        <f>IF(OR($H40="",$J40=""),"",$H40*$J40)</f>
        <v/>
      </c>
      <c r="N40" s="153">
        <f>IF(OR($M40="",$L40=""),"",$M40*$L40)</f>
        <v/>
      </c>
      <c r="O40" s="149" t="n"/>
      <c r="P40" s="154">
        <f>IF($O40="","",IFERROR(INDEX(Basis_of_Estimate!$C$5:$C$9,MATCH($O40,Basis_of_Estimate!$A$5:$A$9,0)),""))</f>
        <v/>
      </c>
      <c r="Q40" s="154">
        <f>IF($O40="","",IFERROR(INDEX(Basis_of_Estimate!$D$5:$D$9,MATCH($O40,Basis_of_Estimate!$A$5:$A$9,0)),""))</f>
        <v/>
      </c>
      <c r="R40" s="153">
        <f>IF($N40="","",$N40*(1+$P40))</f>
        <v/>
      </c>
      <c r="S40" s="153">
        <f>IF($N40="","",$N40)</f>
        <v/>
      </c>
      <c r="T40" s="153">
        <f>IF($N40="","",$N40*(1+$Q40))</f>
        <v/>
      </c>
      <c r="U40" s="150">
        <f>IF($D40="","",IFERROR(INDEX(WBS_CBS!$M$5:$M$16,MATCH($D40,WBS_CBS!$A$5:$A$16,0)),"Yes"))</f>
        <v/>
      </c>
      <c r="V40" s="150">
        <f>IF($D40="","",IFERROR(INDEX(WBS_CBS!$N$5:$N$16,MATCH($D40,WBS_CBS!$A$5:$A$16,0)),"Yes"))</f>
        <v/>
      </c>
      <c r="W40" s="150">
        <f>IF($D40="","",IFERROR(INDEX(WBS_CBS!$K$5:$K$16,MATCH($D40,WBS_CBS!$A$5:$A$16,0)),""))</f>
        <v/>
      </c>
      <c r="X40" s="150">
        <f>IF($D40="","",IFERROR(INDEX(WBS_CBS!$F$5:$F$16,MATCH($D40,WBS_CBS!$A$5:$A$16,0)),""))</f>
        <v/>
      </c>
      <c r="Y40" s="149" t="n"/>
      <c r="Z40" s="149" t="n"/>
      <c r="AA40" s="150">
        <f>IF($D40="","",IFERROR(INDEX(WBS_CBS!$L$5:$L$16,MATCH($D40,WBS_CBS!$A$5:$A$16,0)),""))</f>
        <v/>
      </c>
      <c r="AB40" s="149" t="n"/>
    </row>
    <row r="41">
      <c r="A41" s="149" t="n"/>
      <c r="B41" s="149" t="n"/>
      <c r="C41" s="150">
        <f>IF($D41="","",IFERROR(INDEX(WBS_CBS!$E$5:$E$16,MATCH($D41,WBS_CBS!$A$5:$A$16,0)),""))</f>
        <v/>
      </c>
      <c r="D41" s="149" t="n"/>
      <c r="E41" s="150">
        <f>IF($D41="","",IFERROR(INDEX(WBS_CBS!$C$5:$C$16,MATCH($D41,WBS_CBS!$A$5:$A$16,0)),""))</f>
        <v/>
      </c>
      <c r="F41" s="150">
        <f>IF($D41="","",IFERROR(INDEX(WBS_CBS!$J$5:$J$16,MATCH($D41,WBS_CBS!$A$5:$A$16,0)),""))</f>
        <v/>
      </c>
      <c r="G41" s="149" t="n"/>
      <c r="H41" s="151" t="n"/>
      <c r="I41" s="149" t="n"/>
      <c r="J41" s="152" t="n"/>
      <c r="K41" s="149" t="n"/>
      <c r="L41" s="153">
        <f>IF($K41="","",IFERROR(INDEX(FX_Rates!$B$5:$B$14,MATCH($K41,FX_Rates!$A$5:$A$14,0)),""))</f>
        <v/>
      </c>
      <c r="M41" s="153">
        <f>IF(OR($H41="",$J41=""),"",$H41*$J41)</f>
        <v/>
      </c>
      <c r="N41" s="153">
        <f>IF(OR($M41="",$L41=""),"",$M41*$L41)</f>
        <v/>
      </c>
      <c r="O41" s="149" t="n"/>
      <c r="P41" s="154">
        <f>IF($O41="","",IFERROR(INDEX(Basis_of_Estimate!$C$5:$C$9,MATCH($O41,Basis_of_Estimate!$A$5:$A$9,0)),""))</f>
        <v/>
      </c>
      <c r="Q41" s="154">
        <f>IF($O41="","",IFERROR(INDEX(Basis_of_Estimate!$D$5:$D$9,MATCH($O41,Basis_of_Estimate!$A$5:$A$9,0)),""))</f>
        <v/>
      </c>
      <c r="R41" s="153">
        <f>IF($N41="","",$N41*(1+$P41))</f>
        <v/>
      </c>
      <c r="S41" s="153">
        <f>IF($N41="","",$N41)</f>
        <v/>
      </c>
      <c r="T41" s="153">
        <f>IF($N41="","",$N41*(1+$Q41))</f>
        <v/>
      </c>
      <c r="U41" s="150">
        <f>IF($D41="","",IFERROR(INDEX(WBS_CBS!$M$5:$M$16,MATCH($D41,WBS_CBS!$A$5:$A$16,0)),"Yes"))</f>
        <v/>
      </c>
      <c r="V41" s="150">
        <f>IF($D41="","",IFERROR(INDEX(WBS_CBS!$N$5:$N$16,MATCH($D41,WBS_CBS!$A$5:$A$16,0)),"Yes"))</f>
        <v/>
      </c>
      <c r="W41" s="150">
        <f>IF($D41="","",IFERROR(INDEX(WBS_CBS!$K$5:$K$16,MATCH($D41,WBS_CBS!$A$5:$A$16,0)),""))</f>
        <v/>
      </c>
      <c r="X41" s="150">
        <f>IF($D41="","",IFERROR(INDEX(WBS_CBS!$F$5:$F$16,MATCH($D41,WBS_CBS!$A$5:$A$16,0)),""))</f>
        <v/>
      </c>
      <c r="Y41" s="149" t="n"/>
      <c r="Z41" s="149" t="n"/>
      <c r="AA41" s="150">
        <f>IF($D41="","",IFERROR(INDEX(WBS_CBS!$L$5:$L$16,MATCH($D41,WBS_CBS!$A$5:$A$16,0)),""))</f>
        <v/>
      </c>
      <c r="AB41" s="149" t="n"/>
    </row>
    <row r="42">
      <c r="A42" s="149" t="n"/>
      <c r="B42" s="149" t="n"/>
      <c r="C42" s="150">
        <f>IF($D42="","",IFERROR(INDEX(WBS_CBS!$E$5:$E$16,MATCH($D42,WBS_CBS!$A$5:$A$16,0)),""))</f>
        <v/>
      </c>
      <c r="D42" s="149" t="n"/>
      <c r="E42" s="150">
        <f>IF($D42="","",IFERROR(INDEX(WBS_CBS!$C$5:$C$16,MATCH($D42,WBS_CBS!$A$5:$A$16,0)),""))</f>
        <v/>
      </c>
      <c r="F42" s="150">
        <f>IF($D42="","",IFERROR(INDEX(WBS_CBS!$J$5:$J$16,MATCH($D42,WBS_CBS!$A$5:$A$16,0)),""))</f>
        <v/>
      </c>
      <c r="G42" s="149" t="n"/>
      <c r="H42" s="151" t="n"/>
      <c r="I42" s="149" t="n"/>
      <c r="J42" s="152" t="n"/>
      <c r="K42" s="149" t="n"/>
      <c r="L42" s="153">
        <f>IF($K42="","",IFERROR(INDEX(FX_Rates!$B$5:$B$14,MATCH($K42,FX_Rates!$A$5:$A$14,0)),""))</f>
        <v/>
      </c>
      <c r="M42" s="153">
        <f>IF(OR($H42="",$J42=""),"",$H42*$J42)</f>
        <v/>
      </c>
      <c r="N42" s="153">
        <f>IF(OR($M42="",$L42=""),"",$M42*$L42)</f>
        <v/>
      </c>
      <c r="O42" s="149" t="n"/>
      <c r="P42" s="154">
        <f>IF($O42="","",IFERROR(INDEX(Basis_of_Estimate!$C$5:$C$9,MATCH($O42,Basis_of_Estimate!$A$5:$A$9,0)),""))</f>
        <v/>
      </c>
      <c r="Q42" s="154">
        <f>IF($O42="","",IFERROR(INDEX(Basis_of_Estimate!$D$5:$D$9,MATCH($O42,Basis_of_Estimate!$A$5:$A$9,0)),""))</f>
        <v/>
      </c>
      <c r="R42" s="153">
        <f>IF($N42="","",$N42*(1+$P42))</f>
        <v/>
      </c>
      <c r="S42" s="153">
        <f>IF($N42="","",$N42)</f>
        <v/>
      </c>
      <c r="T42" s="153">
        <f>IF($N42="","",$N42*(1+$Q42))</f>
        <v/>
      </c>
      <c r="U42" s="150">
        <f>IF($D42="","",IFERROR(INDEX(WBS_CBS!$M$5:$M$16,MATCH($D42,WBS_CBS!$A$5:$A$16,0)),"Yes"))</f>
        <v/>
      </c>
      <c r="V42" s="150">
        <f>IF($D42="","",IFERROR(INDEX(WBS_CBS!$N$5:$N$16,MATCH($D42,WBS_CBS!$A$5:$A$16,0)),"Yes"))</f>
        <v/>
      </c>
      <c r="W42" s="150">
        <f>IF($D42="","",IFERROR(INDEX(WBS_CBS!$K$5:$K$16,MATCH($D42,WBS_CBS!$A$5:$A$16,0)),""))</f>
        <v/>
      </c>
      <c r="X42" s="150">
        <f>IF($D42="","",IFERROR(INDEX(WBS_CBS!$F$5:$F$16,MATCH($D42,WBS_CBS!$A$5:$A$16,0)),""))</f>
        <v/>
      </c>
      <c r="Y42" s="149" t="n"/>
      <c r="Z42" s="149" t="n"/>
      <c r="AA42" s="150">
        <f>IF($D42="","",IFERROR(INDEX(WBS_CBS!$L$5:$L$16,MATCH($D42,WBS_CBS!$A$5:$A$16,0)),""))</f>
        <v/>
      </c>
      <c r="AB42" s="149" t="n"/>
    </row>
    <row r="43">
      <c r="A43" s="149" t="n"/>
      <c r="B43" s="149" t="n"/>
      <c r="C43" s="150">
        <f>IF($D43="","",IFERROR(INDEX(WBS_CBS!$E$5:$E$16,MATCH($D43,WBS_CBS!$A$5:$A$16,0)),""))</f>
        <v/>
      </c>
      <c r="D43" s="149" t="n"/>
      <c r="E43" s="150">
        <f>IF($D43="","",IFERROR(INDEX(WBS_CBS!$C$5:$C$16,MATCH($D43,WBS_CBS!$A$5:$A$16,0)),""))</f>
        <v/>
      </c>
      <c r="F43" s="150">
        <f>IF($D43="","",IFERROR(INDEX(WBS_CBS!$J$5:$J$16,MATCH($D43,WBS_CBS!$A$5:$A$16,0)),""))</f>
        <v/>
      </c>
      <c r="G43" s="149" t="n"/>
      <c r="H43" s="151" t="n"/>
      <c r="I43" s="149" t="n"/>
      <c r="J43" s="152" t="n"/>
      <c r="K43" s="149" t="n"/>
      <c r="L43" s="153">
        <f>IF($K43="","",IFERROR(INDEX(FX_Rates!$B$5:$B$14,MATCH($K43,FX_Rates!$A$5:$A$14,0)),""))</f>
        <v/>
      </c>
      <c r="M43" s="153">
        <f>IF(OR($H43="",$J43=""),"",$H43*$J43)</f>
        <v/>
      </c>
      <c r="N43" s="153">
        <f>IF(OR($M43="",$L43=""),"",$M43*$L43)</f>
        <v/>
      </c>
      <c r="O43" s="149" t="n"/>
      <c r="P43" s="154">
        <f>IF($O43="","",IFERROR(INDEX(Basis_of_Estimate!$C$5:$C$9,MATCH($O43,Basis_of_Estimate!$A$5:$A$9,0)),""))</f>
        <v/>
      </c>
      <c r="Q43" s="154">
        <f>IF($O43="","",IFERROR(INDEX(Basis_of_Estimate!$D$5:$D$9,MATCH($O43,Basis_of_Estimate!$A$5:$A$9,0)),""))</f>
        <v/>
      </c>
      <c r="R43" s="153">
        <f>IF($N43="","",$N43*(1+$P43))</f>
        <v/>
      </c>
      <c r="S43" s="153">
        <f>IF($N43="","",$N43)</f>
        <v/>
      </c>
      <c r="T43" s="153">
        <f>IF($N43="","",$N43*(1+$Q43))</f>
        <v/>
      </c>
      <c r="U43" s="150">
        <f>IF($D43="","",IFERROR(INDEX(WBS_CBS!$M$5:$M$16,MATCH($D43,WBS_CBS!$A$5:$A$16,0)),"Yes"))</f>
        <v/>
      </c>
      <c r="V43" s="150">
        <f>IF($D43="","",IFERROR(INDEX(WBS_CBS!$N$5:$N$16,MATCH($D43,WBS_CBS!$A$5:$A$16,0)),"Yes"))</f>
        <v/>
      </c>
      <c r="W43" s="150">
        <f>IF($D43="","",IFERROR(INDEX(WBS_CBS!$K$5:$K$16,MATCH($D43,WBS_CBS!$A$5:$A$16,0)),""))</f>
        <v/>
      </c>
      <c r="X43" s="150">
        <f>IF($D43="","",IFERROR(INDEX(WBS_CBS!$F$5:$F$16,MATCH($D43,WBS_CBS!$A$5:$A$16,0)),""))</f>
        <v/>
      </c>
      <c r="Y43" s="149" t="n"/>
      <c r="Z43" s="149" t="n"/>
      <c r="AA43" s="150">
        <f>IF($D43="","",IFERROR(INDEX(WBS_CBS!$L$5:$L$16,MATCH($D43,WBS_CBS!$A$5:$A$16,0)),""))</f>
        <v/>
      </c>
      <c r="AB43" s="149" t="n"/>
    </row>
    <row r="44">
      <c r="A44" s="149" t="n"/>
      <c r="B44" s="149" t="n"/>
      <c r="C44" s="150">
        <f>IF($D44="","",IFERROR(INDEX(WBS_CBS!$E$5:$E$16,MATCH($D44,WBS_CBS!$A$5:$A$16,0)),""))</f>
        <v/>
      </c>
      <c r="D44" s="149" t="n"/>
      <c r="E44" s="150">
        <f>IF($D44="","",IFERROR(INDEX(WBS_CBS!$C$5:$C$16,MATCH($D44,WBS_CBS!$A$5:$A$16,0)),""))</f>
        <v/>
      </c>
      <c r="F44" s="150">
        <f>IF($D44="","",IFERROR(INDEX(WBS_CBS!$J$5:$J$16,MATCH($D44,WBS_CBS!$A$5:$A$16,0)),""))</f>
        <v/>
      </c>
      <c r="G44" s="149" t="n"/>
      <c r="H44" s="151" t="n"/>
      <c r="I44" s="149" t="n"/>
      <c r="J44" s="152" t="n"/>
      <c r="K44" s="149" t="n"/>
      <c r="L44" s="153">
        <f>IF($K44="","",IFERROR(INDEX(FX_Rates!$B$5:$B$14,MATCH($K44,FX_Rates!$A$5:$A$14,0)),""))</f>
        <v/>
      </c>
      <c r="M44" s="153">
        <f>IF(OR($H44="",$J44=""),"",$H44*$J44)</f>
        <v/>
      </c>
      <c r="N44" s="153">
        <f>IF(OR($M44="",$L44=""),"",$M44*$L44)</f>
        <v/>
      </c>
      <c r="O44" s="149" t="n"/>
      <c r="P44" s="154">
        <f>IF($O44="","",IFERROR(INDEX(Basis_of_Estimate!$C$5:$C$9,MATCH($O44,Basis_of_Estimate!$A$5:$A$9,0)),""))</f>
        <v/>
      </c>
      <c r="Q44" s="154">
        <f>IF($O44="","",IFERROR(INDEX(Basis_of_Estimate!$D$5:$D$9,MATCH($O44,Basis_of_Estimate!$A$5:$A$9,0)),""))</f>
        <v/>
      </c>
      <c r="R44" s="153">
        <f>IF($N44="","",$N44*(1+$P44))</f>
        <v/>
      </c>
      <c r="S44" s="153">
        <f>IF($N44="","",$N44)</f>
        <v/>
      </c>
      <c r="T44" s="153">
        <f>IF($N44="","",$N44*(1+$Q44))</f>
        <v/>
      </c>
      <c r="U44" s="150">
        <f>IF($D44="","",IFERROR(INDEX(WBS_CBS!$M$5:$M$16,MATCH($D44,WBS_CBS!$A$5:$A$16,0)),"Yes"))</f>
        <v/>
      </c>
      <c r="V44" s="150">
        <f>IF($D44="","",IFERROR(INDEX(WBS_CBS!$N$5:$N$16,MATCH($D44,WBS_CBS!$A$5:$A$16,0)),"Yes"))</f>
        <v/>
      </c>
      <c r="W44" s="150">
        <f>IF($D44="","",IFERROR(INDEX(WBS_CBS!$K$5:$K$16,MATCH($D44,WBS_CBS!$A$5:$A$16,0)),""))</f>
        <v/>
      </c>
      <c r="X44" s="150">
        <f>IF($D44="","",IFERROR(INDEX(WBS_CBS!$F$5:$F$16,MATCH($D44,WBS_CBS!$A$5:$A$16,0)),""))</f>
        <v/>
      </c>
      <c r="Y44" s="149" t="n"/>
      <c r="Z44" s="149" t="n"/>
      <c r="AA44" s="150">
        <f>IF($D44="","",IFERROR(INDEX(WBS_CBS!$L$5:$L$16,MATCH($D44,WBS_CBS!$A$5:$A$16,0)),""))</f>
        <v/>
      </c>
      <c r="AB44" s="149" t="n"/>
    </row>
    <row r="45">
      <c r="A45" s="149" t="n"/>
      <c r="B45" s="149" t="n"/>
      <c r="C45" s="150">
        <f>IF($D45="","",IFERROR(INDEX(WBS_CBS!$E$5:$E$16,MATCH($D45,WBS_CBS!$A$5:$A$16,0)),""))</f>
        <v/>
      </c>
      <c r="D45" s="149" t="n"/>
      <c r="E45" s="150">
        <f>IF($D45="","",IFERROR(INDEX(WBS_CBS!$C$5:$C$16,MATCH($D45,WBS_CBS!$A$5:$A$16,0)),""))</f>
        <v/>
      </c>
      <c r="F45" s="150">
        <f>IF($D45="","",IFERROR(INDEX(WBS_CBS!$J$5:$J$16,MATCH($D45,WBS_CBS!$A$5:$A$16,0)),""))</f>
        <v/>
      </c>
      <c r="G45" s="149" t="n"/>
      <c r="H45" s="151" t="n"/>
      <c r="I45" s="149" t="n"/>
      <c r="J45" s="152" t="n"/>
      <c r="K45" s="149" t="n"/>
      <c r="L45" s="153">
        <f>IF($K45="","",IFERROR(INDEX(FX_Rates!$B$5:$B$14,MATCH($K45,FX_Rates!$A$5:$A$14,0)),""))</f>
        <v/>
      </c>
      <c r="M45" s="153">
        <f>IF(OR($H45="",$J45=""),"",$H45*$J45)</f>
        <v/>
      </c>
      <c r="N45" s="153">
        <f>IF(OR($M45="",$L45=""),"",$M45*$L45)</f>
        <v/>
      </c>
      <c r="O45" s="149" t="n"/>
      <c r="P45" s="154">
        <f>IF($O45="","",IFERROR(INDEX(Basis_of_Estimate!$C$5:$C$9,MATCH($O45,Basis_of_Estimate!$A$5:$A$9,0)),""))</f>
        <v/>
      </c>
      <c r="Q45" s="154">
        <f>IF($O45="","",IFERROR(INDEX(Basis_of_Estimate!$D$5:$D$9,MATCH($O45,Basis_of_Estimate!$A$5:$A$9,0)),""))</f>
        <v/>
      </c>
      <c r="R45" s="153">
        <f>IF($N45="","",$N45*(1+$P45))</f>
        <v/>
      </c>
      <c r="S45" s="153">
        <f>IF($N45="","",$N45)</f>
        <v/>
      </c>
      <c r="T45" s="153">
        <f>IF($N45="","",$N45*(1+$Q45))</f>
        <v/>
      </c>
      <c r="U45" s="150">
        <f>IF($D45="","",IFERROR(INDEX(WBS_CBS!$M$5:$M$16,MATCH($D45,WBS_CBS!$A$5:$A$16,0)),"Yes"))</f>
        <v/>
      </c>
      <c r="V45" s="150">
        <f>IF($D45="","",IFERROR(INDEX(WBS_CBS!$N$5:$N$16,MATCH($D45,WBS_CBS!$A$5:$A$16,0)),"Yes"))</f>
        <v/>
      </c>
      <c r="W45" s="150">
        <f>IF($D45="","",IFERROR(INDEX(WBS_CBS!$K$5:$K$16,MATCH($D45,WBS_CBS!$A$5:$A$16,0)),""))</f>
        <v/>
      </c>
      <c r="X45" s="150">
        <f>IF($D45="","",IFERROR(INDEX(WBS_CBS!$F$5:$F$16,MATCH($D45,WBS_CBS!$A$5:$A$16,0)),""))</f>
        <v/>
      </c>
      <c r="Y45" s="149" t="n"/>
      <c r="Z45" s="149" t="n"/>
      <c r="AA45" s="150">
        <f>IF($D45="","",IFERROR(INDEX(WBS_CBS!$L$5:$L$16,MATCH($D45,WBS_CBS!$A$5:$A$16,0)),""))</f>
        <v/>
      </c>
      <c r="AB45" s="149" t="n"/>
    </row>
    <row r="46">
      <c r="A46" s="149" t="n"/>
      <c r="B46" s="149" t="n"/>
      <c r="C46" s="150">
        <f>IF($D46="","",IFERROR(INDEX(WBS_CBS!$E$5:$E$16,MATCH($D46,WBS_CBS!$A$5:$A$16,0)),""))</f>
        <v/>
      </c>
      <c r="D46" s="149" t="n"/>
      <c r="E46" s="150">
        <f>IF($D46="","",IFERROR(INDEX(WBS_CBS!$C$5:$C$16,MATCH($D46,WBS_CBS!$A$5:$A$16,0)),""))</f>
        <v/>
      </c>
      <c r="F46" s="150">
        <f>IF($D46="","",IFERROR(INDEX(WBS_CBS!$J$5:$J$16,MATCH($D46,WBS_CBS!$A$5:$A$16,0)),""))</f>
        <v/>
      </c>
      <c r="G46" s="149" t="n"/>
      <c r="H46" s="151" t="n"/>
      <c r="I46" s="149" t="n"/>
      <c r="J46" s="152" t="n"/>
      <c r="K46" s="149" t="n"/>
      <c r="L46" s="153">
        <f>IF($K46="","",IFERROR(INDEX(FX_Rates!$B$5:$B$14,MATCH($K46,FX_Rates!$A$5:$A$14,0)),""))</f>
        <v/>
      </c>
      <c r="M46" s="153">
        <f>IF(OR($H46="",$J46=""),"",$H46*$J46)</f>
        <v/>
      </c>
      <c r="N46" s="153">
        <f>IF(OR($M46="",$L46=""),"",$M46*$L46)</f>
        <v/>
      </c>
      <c r="O46" s="149" t="n"/>
      <c r="P46" s="154">
        <f>IF($O46="","",IFERROR(INDEX(Basis_of_Estimate!$C$5:$C$9,MATCH($O46,Basis_of_Estimate!$A$5:$A$9,0)),""))</f>
        <v/>
      </c>
      <c r="Q46" s="154">
        <f>IF($O46="","",IFERROR(INDEX(Basis_of_Estimate!$D$5:$D$9,MATCH($O46,Basis_of_Estimate!$A$5:$A$9,0)),""))</f>
        <v/>
      </c>
      <c r="R46" s="153">
        <f>IF($N46="","",$N46*(1+$P46))</f>
        <v/>
      </c>
      <c r="S46" s="153">
        <f>IF($N46="","",$N46)</f>
        <v/>
      </c>
      <c r="T46" s="153">
        <f>IF($N46="","",$N46*(1+$Q46))</f>
        <v/>
      </c>
      <c r="U46" s="150">
        <f>IF($D46="","",IFERROR(INDEX(WBS_CBS!$M$5:$M$16,MATCH($D46,WBS_CBS!$A$5:$A$16,0)),"Yes"))</f>
        <v/>
      </c>
      <c r="V46" s="150">
        <f>IF($D46="","",IFERROR(INDEX(WBS_CBS!$N$5:$N$16,MATCH($D46,WBS_CBS!$A$5:$A$16,0)),"Yes"))</f>
        <v/>
      </c>
      <c r="W46" s="150">
        <f>IF($D46="","",IFERROR(INDEX(WBS_CBS!$K$5:$K$16,MATCH($D46,WBS_CBS!$A$5:$A$16,0)),""))</f>
        <v/>
      </c>
      <c r="X46" s="150">
        <f>IF($D46="","",IFERROR(INDEX(WBS_CBS!$F$5:$F$16,MATCH($D46,WBS_CBS!$A$5:$A$16,0)),""))</f>
        <v/>
      </c>
      <c r="Y46" s="149" t="n"/>
      <c r="Z46" s="149" t="n"/>
      <c r="AA46" s="150">
        <f>IF($D46="","",IFERROR(INDEX(WBS_CBS!$L$5:$L$16,MATCH($D46,WBS_CBS!$A$5:$A$16,0)),""))</f>
        <v/>
      </c>
      <c r="AB46" s="149" t="n"/>
    </row>
    <row r="47">
      <c r="A47" s="149" t="n"/>
      <c r="B47" s="149" t="n"/>
      <c r="C47" s="150">
        <f>IF($D47="","",IFERROR(INDEX(WBS_CBS!$E$5:$E$16,MATCH($D47,WBS_CBS!$A$5:$A$16,0)),""))</f>
        <v/>
      </c>
      <c r="D47" s="149" t="n"/>
      <c r="E47" s="150">
        <f>IF($D47="","",IFERROR(INDEX(WBS_CBS!$C$5:$C$16,MATCH($D47,WBS_CBS!$A$5:$A$16,0)),""))</f>
        <v/>
      </c>
      <c r="F47" s="150">
        <f>IF($D47="","",IFERROR(INDEX(WBS_CBS!$J$5:$J$16,MATCH($D47,WBS_CBS!$A$5:$A$16,0)),""))</f>
        <v/>
      </c>
      <c r="G47" s="149" t="n"/>
      <c r="H47" s="151" t="n"/>
      <c r="I47" s="149" t="n"/>
      <c r="J47" s="152" t="n"/>
      <c r="K47" s="149" t="n"/>
      <c r="L47" s="153">
        <f>IF($K47="","",IFERROR(INDEX(FX_Rates!$B$5:$B$14,MATCH($K47,FX_Rates!$A$5:$A$14,0)),""))</f>
        <v/>
      </c>
      <c r="M47" s="153">
        <f>IF(OR($H47="",$J47=""),"",$H47*$J47)</f>
        <v/>
      </c>
      <c r="N47" s="153">
        <f>IF(OR($M47="",$L47=""),"",$M47*$L47)</f>
        <v/>
      </c>
      <c r="O47" s="149" t="n"/>
      <c r="P47" s="154">
        <f>IF($O47="","",IFERROR(INDEX(Basis_of_Estimate!$C$5:$C$9,MATCH($O47,Basis_of_Estimate!$A$5:$A$9,0)),""))</f>
        <v/>
      </c>
      <c r="Q47" s="154">
        <f>IF($O47="","",IFERROR(INDEX(Basis_of_Estimate!$D$5:$D$9,MATCH($O47,Basis_of_Estimate!$A$5:$A$9,0)),""))</f>
        <v/>
      </c>
      <c r="R47" s="153">
        <f>IF($N47="","",$N47*(1+$P47))</f>
        <v/>
      </c>
      <c r="S47" s="153">
        <f>IF($N47="","",$N47)</f>
        <v/>
      </c>
      <c r="T47" s="153">
        <f>IF($N47="","",$N47*(1+$Q47))</f>
        <v/>
      </c>
      <c r="U47" s="150">
        <f>IF($D47="","",IFERROR(INDEX(WBS_CBS!$M$5:$M$16,MATCH($D47,WBS_CBS!$A$5:$A$16,0)),"Yes"))</f>
        <v/>
      </c>
      <c r="V47" s="150">
        <f>IF($D47="","",IFERROR(INDEX(WBS_CBS!$N$5:$N$16,MATCH($D47,WBS_CBS!$A$5:$A$16,0)),"Yes"))</f>
        <v/>
      </c>
      <c r="W47" s="150">
        <f>IF($D47="","",IFERROR(INDEX(WBS_CBS!$K$5:$K$16,MATCH($D47,WBS_CBS!$A$5:$A$16,0)),""))</f>
        <v/>
      </c>
      <c r="X47" s="150">
        <f>IF($D47="","",IFERROR(INDEX(WBS_CBS!$F$5:$F$16,MATCH($D47,WBS_CBS!$A$5:$A$16,0)),""))</f>
        <v/>
      </c>
      <c r="Y47" s="149" t="n"/>
      <c r="Z47" s="149" t="n"/>
      <c r="AA47" s="150">
        <f>IF($D47="","",IFERROR(INDEX(WBS_CBS!$L$5:$L$16,MATCH($D47,WBS_CBS!$A$5:$A$16,0)),""))</f>
        <v/>
      </c>
      <c r="AB47" s="149" t="n"/>
    </row>
    <row r="48">
      <c r="A48" s="149" t="n"/>
      <c r="B48" s="149" t="n"/>
      <c r="C48" s="150">
        <f>IF($D48="","",IFERROR(INDEX(WBS_CBS!$E$5:$E$16,MATCH($D48,WBS_CBS!$A$5:$A$16,0)),""))</f>
        <v/>
      </c>
      <c r="D48" s="149" t="n"/>
      <c r="E48" s="150">
        <f>IF($D48="","",IFERROR(INDEX(WBS_CBS!$C$5:$C$16,MATCH($D48,WBS_CBS!$A$5:$A$16,0)),""))</f>
        <v/>
      </c>
      <c r="F48" s="150">
        <f>IF($D48="","",IFERROR(INDEX(WBS_CBS!$J$5:$J$16,MATCH($D48,WBS_CBS!$A$5:$A$16,0)),""))</f>
        <v/>
      </c>
      <c r="G48" s="149" t="n"/>
      <c r="H48" s="151" t="n"/>
      <c r="I48" s="149" t="n"/>
      <c r="J48" s="152" t="n"/>
      <c r="K48" s="149" t="n"/>
      <c r="L48" s="153">
        <f>IF($K48="","",IFERROR(INDEX(FX_Rates!$B$5:$B$14,MATCH($K48,FX_Rates!$A$5:$A$14,0)),""))</f>
        <v/>
      </c>
      <c r="M48" s="153">
        <f>IF(OR($H48="",$J48=""),"",$H48*$J48)</f>
        <v/>
      </c>
      <c r="N48" s="153">
        <f>IF(OR($M48="",$L48=""),"",$M48*$L48)</f>
        <v/>
      </c>
      <c r="O48" s="149" t="n"/>
      <c r="P48" s="154">
        <f>IF($O48="","",IFERROR(INDEX(Basis_of_Estimate!$C$5:$C$9,MATCH($O48,Basis_of_Estimate!$A$5:$A$9,0)),""))</f>
        <v/>
      </c>
      <c r="Q48" s="154">
        <f>IF($O48="","",IFERROR(INDEX(Basis_of_Estimate!$D$5:$D$9,MATCH($O48,Basis_of_Estimate!$A$5:$A$9,0)),""))</f>
        <v/>
      </c>
      <c r="R48" s="153">
        <f>IF($N48="","",$N48*(1+$P48))</f>
        <v/>
      </c>
      <c r="S48" s="153">
        <f>IF($N48="","",$N48)</f>
        <v/>
      </c>
      <c r="T48" s="153">
        <f>IF($N48="","",$N48*(1+$Q48))</f>
        <v/>
      </c>
      <c r="U48" s="150">
        <f>IF($D48="","",IFERROR(INDEX(WBS_CBS!$M$5:$M$16,MATCH($D48,WBS_CBS!$A$5:$A$16,0)),"Yes"))</f>
        <v/>
      </c>
      <c r="V48" s="150">
        <f>IF($D48="","",IFERROR(INDEX(WBS_CBS!$N$5:$N$16,MATCH($D48,WBS_CBS!$A$5:$A$16,0)),"Yes"))</f>
        <v/>
      </c>
      <c r="W48" s="150">
        <f>IF($D48="","",IFERROR(INDEX(WBS_CBS!$K$5:$K$16,MATCH($D48,WBS_CBS!$A$5:$A$16,0)),""))</f>
        <v/>
      </c>
      <c r="X48" s="150">
        <f>IF($D48="","",IFERROR(INDEX(WBS_CBS!$F$5:$F$16,MATCH($D48,WBS_CBS!$A$5:$A$16,0)),""))</f>
        <v/>
      </c>
      <c r="Y48" s="149" t="n"/>
      <c r="Z48" s="149" t="n"/>
      <c r="AA48" s="150">
        <f>IF($D48="","",IFERROR(INDEX(WBS_CBS!$L$5:$L$16,MATCH($D48,WBS_CBS!$A$5:$A$16,0)),""))</f>
        <v/>
      </c>
      <c r="AB48" s="149" t="n"/>
    </row>
    <row r="49">
      <c r="A49" s="149" t="n"/>
      <c r="B49" s="149" t="n"/>
      <c r="C49" s="150">
        <f>IF($D49="","",IFERROR(INDEX(WBS_CBS!$E$5:$E$16,MATCH($D49,WBS_CBS!$A$5:$A$16,0)),""))</f>
        <v/>
      </c>
      <c r="D49" s="149" t="n"/>
      <c r="E49" s="150">
        <f>IF($D49="","",IFERROR(INDEX(WBS_CBS!$C$5:$C$16,MATCH($D49,WBS_CBS!$A$5:$A$16,0)),""))</f>
        <v/>
      </c>
      <c r="F49" s="150">
        <f>IF($D49="","",IFERROR(INDEX(WBS_CBS!$J$5:$J$16,MATCH($D49,WBS_CBS!$A$5:$A$16,0)),""))</f>
        <v/>
      </c>
      <c r="G49" s="149" t="n"/>
      <c r="H49" s="151" t="n"/>
      <c r="I49" s="149" t="n"/>
      <c r="J49" s="152" t="n"/>
      <c r="K49" s="149" t="n"/>
      <c r="L49" s="153">
        <f>IF($K49="","",IFERROR(INDEX(FX_Rates!$B$5:$B$14,MATCH($K49,FX_Rates!$A$5:$A$14,0)),""))</f>
        <v/>
      </c>
      <c r="M49" s="153">
        <f>IF(OR($H49="",$J49=""),"",$H49*$J49)</f>
        <v/>
      </c>
      <c r="N49" s="153">
        <f>IF(OR($M49="",$L49=""),"",$M49*$L49)</f>
        <v/>
      </c>
      <c r="O49" s="149" t="n"/>
      <c r="P49" s="154">
        <f>IF($O49="","",IFERROR(INDEX(Basis_of_Estimate!$C$5:$C$9,MATCH($O49,Basis_of_Estimate!$A$5:$A$9,0)),""))</f>
        <v/>
      </c>
      <c r="Q49" s="154">
        <f>IF($O49="","",IFERROR(INDEX(Basis_of_Estimate!$D$5:$D$9,MATCH($O49,Basis_of_Estimate!$A$5:$A$9,0)),""))</f>
        <v/>
      </c>
      <c r="R49" s="153">
        <f>IF($N49="","",$N49*(1+$P49))</f>
        <v/>
      </c>
      <c r="S49" s="153">
        <f>IF($N49="","",$N49)</f>
        <v/>
      </c>
      <c r="T49" s="153">
        <f>IF($N49="","",$N49*(1+$Q49))</f>
        <v/>
      </c>
      <c r="U49" s="150">
        <f>IF($D49="","",IFERROR(INDEX(WBS_CBS!$M$5:$M$16,MATCH($D49,WBS_CBS!$A$5:$A$16,0)),"Yes"))</f>
        <v/>
      </c>
      <c r="V49" s="150">
        <f>IF($D49="","",IFERROR(INDEX(WBS_CBS!$N$5:$N$16,MATCH($D49,WBS_CBS!$A$5:$A$16,0)),"Yes"))</f>
        <v/>
      </c>
      <c r="W49" s="150">
        <f>IF($D49="","",IFERROR(INDEX(WBS_CBS!$K$5:$K$16,MATCH($D49,WBS_CBS!$A$5:$A$16,0)),""))</f>
        <v/>
      </c>
      <c r="X49" s="150">
        <f>IF($D49="","",IFERROR(INDEX(WBS_CBS!$F$5:$F$16,MATCH($D49,WBS_CBS!$A$5:$A$16,0)),""))</f>
        <v/>
      </c>
      <c r="Y49" s="149" t="n"/>
      <c r="Z49" s="149" t="n"/>
      <c r="AA49" s="150">
        <f>IF($D49="","",IFERROR(INDEX(WBS_CBS!$L$5:$L$16,MATCH($D49,WBS_CBS!$A$5:$A$16,0)),""))</f>
        <v/>
      </c>
      <c r="AB49" s="149" t="n"/>
    </row>
    <row r="50">
      <c r="A50" s="149" t="n"/>
      <c r="B50" s="149" t="n"/>
      <c r="C50" s="150">
        <f>IF($D50="","",IFERROR(INDEX(WBS_CBS!$E$5:$E$16,MATCH($D50,WBS_CBS!$A$5:$A$16,0)),""))</f>
        <v/>
      </c>
      <c r="D50" s="149" t="n"/>
      <c r="E50" s="150">
        <f>IF($D50="","",IFERROR(INDEX(WBS_CBS!$C$5:$C$16,MATCH($D50,WBS_CBS!$A$5:$A$16,0)),""))</f>
        <v/>
      </c>
      <c r="F50" s="150">
        <f>IF($D50="","",IFERROR(INDEX(WBS_CBS!$J$5:$J$16,MATCH($D50,WBS_CBS!$A$5:$A$16,0)),""))</f>
        <v/>
      </c>
      <c r="G50" s="149" t="n"/>
      <c r="H50" s="151" t="n"/>
      <c r="I50" s="149" t="n"/>
      <c r="J50" s="152" t="n"/>
      <c r="K50" s="149" t="n"/>
      <c r="L50" s="153">
        <f>IF($K50="","",IFERROR(INDEX(FX_Rates!$B$5:$B$14,MATCH($K50,FX_Rates!$A$5:$A$14,0)),""))</f>
        <v/>
      </c>
      <c r="M50" s="153">
        <f>IF(OR($H50="",$J50=""),"",$H50*$J50)</f>
        <v/>
      </c>
      <c r="N50" s="153">
        <f>IF(OR($M50="",$L50=""),"",$M50*$L50)</f>
        <v/>
      </c>
      <c r="O50" s="149" t="n"/>
      <c r="P50" s="154">
        <f>IF($O50="","",IFERROR(INDEX(Basis_of_Estimate!$C$5:$C$9,MATCH($O50,Basis_of_Estimate!$A$5:$A$9,0)),""))</f>
        <v/>
      </c>
      <c r="Q50" s="154">
        <f>IF($O50="","",IFERROR(INDEX(Basis_of_Estimate!$D$5:$D$9,MATCH($O50,Basis_of_Estimate!$A$5:$A$9,0)),""))</f>
        <v/>
      </c>
      <c r="R50" s="153">
        <f>IF($N50="","",$N50*(1+$P50))</f>
        <v/>
      </c>
      <c r="S50" s="153">
        <f>IF($N50="","",$N50)</f>
        <v/>
      </c>
      <c r="T50" s="153">
        <f>IF($N50="","",$N50*(1+$Q50))</f>
        <v/>
      </c>
      <c r="U50" s="150">
        <f>IF($D50="","",IFERROR(INDEX(WBS_CBS!$M$5:$M$16,MATCH($D50,WBS_CBS!$A$5:$A$16,0)),"Yes"))</f>
        <v/>
      </c>
      <c r="V50" s="150">
        <f>IF($D50="","",IFERROR(INDEX(WBS_CBS!$N$5:$N$16,MATCH($D50,WBS_CBS!$A$5:$A$16,0)),"Yes"))</f>
        <v/>
      </c>
      <c r="W50" s="150">
        <f>IF($D50="","",IFERROR(INDEX(WBS_CBS!$K$5:$K$16,MATCH($D50,WBS_CBS!$A$5:$A$16,0)),""))</f>
        <v/>
      </c>
      <c r="X50" s="150">
        <f>IF($D50="","",IFERROR(INDEX(WBS_CBS!$F$5:$F$16,MATCH($D50,WBS_CBS!$A$5:$A$16,0)),""))</f>
        <v/>
      </c>
      <c r="Y50" s="149" t="n"/>
      <c r="Z50" s="149" t="n"/>
      <c r="AA50" s="150">
        <f>IF($D50="","",IFERROR(INDEX(WBS_CBS!$L$5:$L$16,MATCH($D50,WBS_CBS!$A$5:$A$16,0)),""))</f>
        <v/>
      </c>
      <c r="AB50" s="149" t="n"/>
    </row>
    <row r="51">
      <c r="A51" s="149" t="n"/>
      <c r="B51" s="149" t="n"/>
      <c r="C51" s="150">
        <f>IF($D51="","",IFERROR(INDEX(WBS_CBS!$E$5:$E$16,MATCH($D51,WBS_CBS!$A$5:$A$16,0)),""))</f>
        <v/>
      </c>
      <c r="D51" s="149" t="n"/>
      <c r="E51" s="150">
        <f>IF($D51="","",IFERROR(INDEX(WBS_CBS!$C$5:$C$16,MATCH($D51,WBS_CBS!$A$5:$A$16,0)),""))</f>
        <v/>
      </c>
      <c r="F51" s="150">
        <f>IF($D51="","",IFERROR(INDEX(WBS_CBS!$J$5:$J$16,MATCH($D51,WBS_CBS!$A$5:$A$16,0)),""))</f>
        <v/>
      </c>
      <c r="G51" s="149" t="n"/>
      <c r="H51" s="151" t="n"/>
      <c r="I51" s="149" t="n"/>
      <c r="J51" s="152" t="n"/>
      <c r="K51" s="149" t="n"/>
      <c r="L51" s="153">
        <f>IF($K51="","",IFERROR(INDEX(FX_Rates!$B$5:$B$14,MATCH($K51,FX_Rates!$A$5:$A$14,0)),""))</f>
        <v/>
      </c>
      <c r="M51" s="153">
        <f>IF(OR($H51="",$J51=""),"",$H51*$J51)</f>
        <v/>
      </c>
      <c r="N51" s="153">
        <f>IF(OR($M51="",$L51=""),"",$M51*$L51)</f>
        <v/>
      </c>
      <c r="O51" s="149" t="n"/>
      <c r="P51" s="154">
        <f>IF($O51="","",IFERROR(INDEX(Basis_of_Estimate!$C$5:$C$9,MATCH($O51,Basis_of_Estimate!$A$5:$A$9,0)),""))</f>
        <v/>
      </c>
      <c r="Q51" s="154">
        <f>IF($O51="","",IFERROR(INDEX(Basis_of_Estimate!$D$5:$D$9,MATCH($O51,Basis_of_Estimate!$A$5:$A$9,0)),""))</f>
        <v/>
      </c>
      <c r="R51" s="153">
        <f>IF($N51="","",$N51*(1+$P51))</f>
        <v/>
      </c>
      <c r="S51" s="153">
        <f>IF($N51="","",$N51)</f>
        <v/>
      </c>
      <c r="T51" s="153">
        <f>IF($N51="","",$N51*(1+$Q51))</f>
        <v/>
      </c>
      <c r="U51" s="150">
        <f>IF($D51="","",IFERROR(INDEX(WBS_CBS!$M$5:$M$16,MATCH($D51,WBS_CBS!$A$5:$A$16,0)),"Yes"))</f>
        <v/>
      </c>
      <c r="V51" s="150">
        <f>IF($D51="","",IFERROR(INDEX(WBS_CBS!$N$5:$N$16,MATCH($D51,WBS_CBS!$A$5:$A$16,0)),"Yes"))</f>
        <v/>
      </c>
      <c r="W51" s="150">
        <f>IF($D51="","",IFERROR(INDEX(WBS_CBS!$K$5:$K$16,MATCH($D51,WBS_CBS!$A$5:$A$16,0)),""))</f>
        <v/>
      </c>
      <c r="X51" s="150">
        <f>IF($D51="","",IFERROR(INDEX(WBS_CBS!$F$5:$F$16,MATCH($D51,WBS_CBS!$A$5:$A$16,0)),""))</f>
        <v/>
      </c>
      <c r="Y51" s="149" t="n"/>
      <c r="Z51" s="149" t="n"/>
      <c r="AA51" s="150">
        <f>IF($D51="","",IFERROR(INDEX(WBS_CBS!$L$5:$L$16,MATCH($D51,WBS_CBS!$A$5:$A$16,0)),""))</f>
        <v/>
      </c>
      <c r="AB51" s="149" t="n"/>
    </row>
    <row r="52">
      <c r="A52" s="149" t="n"/>
      <c r="B52" s="149" t="n"/>
      <c r="C52" s="150">
        <f>IF($D52="","",IFERROR(INDEX(WBS_CBS!$E$5:$E$16,MATCH($D52,WBS_CBS!$A$5:$A$16,0)),""))</f>
        <v/>
      </c>
      <c r="D52" s="149" t="n"/>
      <c r="E52" s="150">
        <f>IF($D52="","",IFERROR(INDEX(WBS_CBS!$C$5:$C$16,MATCH($D52,WBS_CBS!$A$5:$A$16,0)),""))</f>
        <v/>
      </c>
      <c r="F52" s="150">
        <f>IF($D52="","",IFERROR(INDEX(WBS_CBS!$J$5:$J$16,MATCH($D52,WBS_CBS!$A$5:$A$16,0)),""))</f>
        <v/>
      </c>
      <c r="G52" s="149" t="n"/>
      <c r="H52" s="151" t="n"/>
      <c r="I52" s="149" t="n"/>
      <c r="J52" s="152" t="n"/>
      <c r="K52" s="149" t="n"/>
      <c r="L52" s="153">
        <f>IF($K52="","",IFERROR(INDEX(FX_Rates!$B$5:$B$14,MATCH($K52,FX_Rates!$A$5:$A$14,0)),""))</f>
        <v/>
      </c>
      <c r="M52" s="153">
        <f>IF(OR($H52="",$J52=""),"",$H52*$J52)</f>
        <v/>
      </c>
      <c r="N52" s="153">
        <f>IF(OR($M52="",$L52=""),"",$M52*$L52)</f>
        <v/>
      </c>
      <c r="O52" s="149" t="n"/>
      <c r="P52" s="154">
        <f>IF($O52="","",IFERROR(INDEX(Basis_of_Estimate!$C$5:$C$9,MATCH($O52,Basis_of_Estimate!$A$5:$A$9,0)),""))</f>
        <v/>
      </c>
      <c r="Q52" s="154">
        <f>IF($O52="","",IFERROR(INDEX(Basis_of_Estimate!$D$5:$D$9,MATCH($O52,Basis_of_Estimate!$A$5:$A$9,0)),""))</f>
        <v/>
      </c>
      <c r="R52" s="153">
        <f>IF($N52="","",$N52*(1+$P52))</f>
        <v/>
      </c>
      <c r="S52" s="153">
        <f>IF($N52="","",$N52)</f>
        <v/>
      </c>
      <c r="T52" s="153">
        <f>IF($N52="","",$N52*(1+$Q52))</f>
        <v/>
      </c>
      <c r="U52" s="150">
        <f>IF($D52="","",IFERROR(INDEX(WBS_CBS!$M$5:$M$16,MATCH($D52,WBS_CBS!$A$5:$A$16,0)),"Yes"))</f>
        <v/>
      </c>
      <c r="V52" s="150">
        <f>IF($D52="","",IFERROR(INDEX(WBS_CBS!$N$5:$N$16,MATCH($D52,WBS_CBS!$A$5:$A$16,0)),"Yes"))</f>
        <v/>
      </c>
      <c r="W52" s="150">
        <f>IF($D52="","",IFERROR(INDEX(WBS_CBS!$K$5:$K$16,MATCH($D52,WBS_CBS!$A$5:$A$16,0)),""))</f>
        <v/>
      </c>
      <c r="X52" s="150">
        <f>IF($D52="","",IFERROR(INDEX(WBS_CBS!$F$5:$F$16,MATCH($D52,WBS_CBS!$A$5:$A$16,0)),""))</f>
        <v/>
      </c>
      <c r="Y52" s="149" t="n"/>
      <c r="Z52" s="149" t="n"/>
      <c r="AA52" s="150">
        <f>IF($D52="","",IFERROR(INDEX(WBS_CBS!$L$5:$L$16,MATCH($D52,WBS_CBS!$A$5:$A$16,0)),""))</f>
        <v/>
      </c>
      <c r="AB52" s="149" t="n"/>
    </row>
    <row r="53">
      <c r="A53" s="149" t="n"/>
      <c r="B53" s="149" t="n"/>
      <c r="C53" s="150">
        <f>IF($D53="","",IFERROR(INDEX(WBS_CBS!$E$5:$E$16,MATCH($D53,WBS_CBS!$A$5:$A$16,0)),""))</f>
        <v/>
      </c>
      <c r="D53" s="149" t="n"/>
      <c r="E53" s="150">
        <f>IF($D53="","",IFERROR(INDEX(WBS_CBS!$C$5:$C$16,MATCH($D53,WBS_CBS!$A$5:$A$16,0)),""))</f>
        <v/>
      </c>
      <c r="F53" s="150">
        <f>IF($D53="","",IFERROR(INDEX(WBS_CBS!$J$5:$J$16,MATCH($D53,WBS_CBS!$A$5:$A$16,0)),""))</f>
        <v/>
      </c>
      <c r="G53" s="149" t="n"/>
      <c r="H53" s="151" t="n"/>
      <c r="I53" s="149" t="n"/>
      <c r="J53" s="152" t="n"/>
      <c r="K53" s="149" t="n"/>
      <c r="L53" s="153">
        <f>IF($K53="","",IFERROR(INDEX(FX_Rates!$B$5:$B$14,MATCH($K53,FX_Rates!$A$5:$A$14,0)),""))</f>
        <v/>
      </c>
      <c r="M53" s="153">
        <f>IF(OR($H53="",$J53=""),"",$H53*$J53)</f>
        <v/>
      </c>
      <c r="N53" s="153">
        <f>IF(OR($M53="",$L53=""),"",$M53*$L53)</f>
        <v/>
      </c>
      <c r="O53" s="149" t="n"/>
      <c r="P53" s="154">
        <f>IF($O53="","",IFERROR(INDEX(Basis_of_Estimate!$C$5:$C$9,MATCH($O53,Basis_of_Estimate!$A$5:$A$9,0)),""))</f>
        <v/>
      </c>
      <c r="Q53" s="154">
        <f>IF($O53="","",IFERROR(INDEX(Basis_of_Estimate!$D$5:$D$9,MATCH($O53,Basis_of_Estimate!$A$5:$A$9,0)),""))</f>
        <v/>
      </c>
      <c r="R53" s="153">
        <f>IF($N53="","",$N53*(1+$P53))</f>
        <v/>
      </c>
      <c r="S53" s="153">
        <f>IF($N53="","",$N53)</f>
        <v/>
      </c>
      <c r="T53" s="153">
        <f>IF($N53="","",$N53*(1+$Q53))</f>
        <v/>
      </c>
      <c r="U53" s="150">
        <f>IF($D53="","",IFERROR(INDEX(WBS_CBS!$M$5:$M$16,MATCH($D53,WBS_CBS!$A$5:$A$16,0)),"Yes"))</f>
        <v/>
      </c>
      <c r="V53" s="150">
        <f>IF($D53="","",IFERROR(INDEX(WBS_CBS!$N$5:$N$16,MATCH($D53,WBS_CBS!$A$5:$A$16,0)),"Yes"))</f>
        <v/>
      </c>
      <c r="W53" s="150">
        <f>IF($D53="","",IFERROR(INDEX(WBS_CBS!$K$5:$K$16,MATCH($D53,WBS_CBS!$A$5:$A$16,0)),""))</f>
        <v/>
      </c>
      <c r="X53" s="150">
        <f>IF($D53="","",IFERROR(INDEX(WBS_CBS!$F$5:$F$16,MATCH($D53,WBS_CBS!$A$5:$A$16,0)),""))</f>
        <v/>
      </c>
      <c r="Y53" s="149" t="n"/>
      <c r="Z53" s="149" t="n"/>
      <c r="AA53" s="150">
        <f>IF($D53="","",IFERROR(INDEX(WBS_CBS!$L$5:$L$16,MATCH($D53,WBS_CBS!$A$5:$A$16,0)),""))</f>
        <v/>
      </c>
      <c r="AB53" s="149" t="n"/>
    </row>
    <row r="54">
      <c r="A54" s="149" t="n"/>
      <c r="B54" s="149" t="n"/>
      <c r="C54" s="150">
        <f>IF($D54="","",IFERROR(INDEX(WBS_CBS!$E$5:$E$16,MATCH($D54,WBS_CBS!$A$5:$A$16,0)),""))</f>
        <v/>
      </c>
      <c r="D54" s="149" t="n"/>
      <c r="E54" s="150">
        <f>IF($D54="","",IFERROR(INDEX(WBS_CBS!$C$5:$C$16,MATCH($D54,WBS_CBS!$A$5:$A$16,0)),""))</f>
        <v/>
      </c>
      <c r="F54" s="150">
        <f>IF($D54="","",IFERROR(INDEX(WBS_CBS!$J$5:$J$16,MATCH($D54,WBS_CBS!$A$5:$A$16,0)),""))</f>
        <v/>
      </c>
      <c r="G54" s="149" t="n"/>
      <c r="H54" s="151" t="n"/>
      <c r="I54" s="149" t="n"/>
      <c r="J54" s="152" t="n"/>
      <c r="K54" s="149" t="n"/>
      <c r="L54" s="153">
        <f>IF($K54="","",IFERROR(INDEX(FX_Rates!$B$5:$B$14,MATCH($K54,FX_Rates!$A$5:$A$14,0)),""))</f>
        <v/>
      </c>
      <c r="M54" s="153">
        <f>IF(OR($H54="",$J54=""),"",$H54*$J54)</f>
        <v/>
      </c>
      <c r="N54" s="153">
        <f>IF(OR($M54="",$L54=""),"",$M54*$L54)</f>
        <v/>
      </c>
      <c r="O54" s="149" t="n"/>
      <c r="P54" s="154">
        <f>IF($O54="","",IFERROR(INDEX(Basis_of_Estimate!$C$5:$C$9,MATCH($O54,Basis_of_Estimate!$A$5:$A$9,0)),""))</f>
        <v/>
      </c>
      <c r="Q54" s="154">
        <f>IF($O54="","",IFERROR(INDEX(Basis_of_Estimate!$D$5:$D$9,MATCH($O54,Basis_of_Estimate!$A$5:$A$9,0)),""))</f>
        <v/>
      </c>
      <c r="R54" s="153">
        <f>IF($N54="","",$N54*(1+$P54))</f>
        <v/>
      </c>
      <c r="S54" s="153">
        <f>IF($N54="","",$N54)</f>
        <v/>
      </c>
      <c r="T54" s="153">
        <f>IF($N54="","",$N54*(1+$Q54))</f>
        <v/>
      </c>
      <c r="U54" s="150">
        <f>IF($D54="","",IFERROR(INDEX(WBS_CBS!$M$5:$M$16,MATCH($D54,WBS_CBS!$A$5:$A$16,0)),"Yes"))</f>
        <v/>
      </c>
      <c r="V54" s="150">
        <f>IF($D54="","",IFERROR(INDEX(WBS_CBS!$N$5:$N$16,MATCH($D54,WBS_CBS!$A$5:$A$16,0)),"Yes"))</f>
        <v/>
      </c>
      <c r="W54" s="150">
        <f>IF($D54="","",IFERROR(INDEX(WBS_CBS!$K$5:$K$16,MATCH($D54,WBS_CBS!$A$5:$A$16,0)),""))</f>
        <v/>
      </c>
      <c r="X54" s="150">
        <f>IF($D54="","",IFERROR(INDEX(WBS_CBS!$F$5:$F$16,MATCH($D54,WBS_CBS!$A$5:$A$16,0)),""))</f>
        <v/>
      </c>
      <c r="Y54" s="149" t="n"/>
      <c r="Z54" s="149" t="n"/>
      <c r="AA54" s="150">
        <f>IF($D54="","",IFERROR(INDEX(WBS_CBS!$L$5:$L$16,MATCH($D54,WBS_CBS!$A$5:$A$16,0)),""))</f>
        <v/>
      </c>
      <c r="AB54" s="149" t="n"/>
    </row>
    <row r="55">
      <c r="A55" s="149" t="n"/>
      <c r="B55" s="149" t="n"/>
      <c r="C55" s="150">
        <f>IF($D55="","",IFERROR(INDEX(WBS_CBS!$E$5:$E$16,MATCH($D55,WBS_CBS!$A$5:$A$16,0)),""))</f>
        <v/>
      </c>
      <c r="D55" s="149" t="n"/>
      <c r="E55" s="150">
        <f>IF($D55="","",IFERROR(INDEX(WBS_CBS!$C$5:$C$16,MATCH($D55,WBS_CBS!$A$5:$A$16,0)),""))</f>
        <v/>
      </c>
      <c r="F55" s="150">
        <f>IF($D55="","",IFERROR(INDEX(WBS_CBS!$J$5:$J$16,MATCH($D55,WBS_CBS!$A$5:$A$16,0)),""))</f>
        <v/>
      </c>
      <c r="G55" s="149" t="n"/>
      <c r="H55" s="151" t="n"/>
      <c r="I55" s="149" t="n"/>
      <c r="J55" s="152" t="n"/>
      <c r="K55" s="149" t="n"/>
      <c r="L55" s="153">
        <f>IF($K55="","",IFERROR(INDEX(FX_Rates!$B$5:$B$14,MATCH($K55,FX_Rates!$A$5:$A$14,0)),""))</f>
        <v/>
      </c>
      <c r="M55" s="153">
        <f>IF(OR($H55="",$J55=""),"",$H55*$J55)</f>
        <v/>
      </c>
      <c r="N55" s="153">
        <f>IF(OR($M55="",$L55=""),"",$M55*$L55)</f>
        <v/>
      </c>
      <c r="O55" s="149" t="n"/>
      <c r="P55" s="154">
        <f>IF($O55="","",IFERROR(INDEX(Basis_of_Estimate!$C$5:$C$9,MATCH($O55,Basis_of_Estimate!$A$5:$A$9,0)),""))</f>
        <v/>
      </c>
      <c r="Q55" s="154">
        <f>IF($O55="","",IFERROR(INDEX(Basis_of_Estimate!$D$5:$D$9,MATCH($O55,Basis_of_Estimate!$A$5:$A$9,0)),""))</f>
        <v/>
      </c>
      <c r="R55" s="153">
        <f>IF($N55="","",$N55*(1+$P55))</f>
        <v/>
      </c>
      <c r="S55" s="153">
        <f>IF($N55="","",$N55)</f>
        <v/>
      </c>
      <c r="T55" s="153">
        <f>IF($N55="","",$N55*(1+$Q55))</f>
        <v/>
      </c>
      <c r="U55" s="150">
        <f>IF($D55="","",IFERROR(INDEX(WBS_CBS!$M$5:$M$16,MATCH($D55,WBS_CBS!$A$5:$A$16,0)),"Yes"))</f>
        <v/>
      </c>
      <c r="V55" s="150">
        <f>IF($D55="","",IFERROR(INDEX(WBS_CBS!$N$5:$N$16,MATCH($D55,WBS_CBS!$A$5:$A$16,0)),"Yes"))</f>
        <v/>
      </c>
      <c r="W55" s="150">
        <f>IF($D55="","",IFERROR(INDEX(WBS_CBS!$K$5:$K$16,MATCH($D55,WBS_CBS!$A$5:$A$16,0)),""))</f>
        <v/>
      </c>
      <c r="X55" s="150">
        <f>IF($D55="","",IFERROR(INDEX(WBS_CBS!$F$5:$F$16,MATCH($D55,WBS_CBS!$A$5:$A$16,0)),""))</f>
        <v/>
      </c>
      <c r="Y55" s="149" t="n"/>
      <c r="Z55" s="149" t="n"/>
      <c r="AA55" s="150">
        <f>IF($D55="","",IFERROR(INDEX(WBS_CBS!$L$5:$L$16,MATCH($D55,WBS_CBS!$A$5:$A$16,0)),""))</f>
        <v/>
      </c>
      <c r="AB55" s="149" t="n"/>
    </row>
    <row r="56">
      <c r="A56" s="149" t="n"/>
      <c r="B56" s="149" t="n"/>
      <c r="C56" s="150">
        <f>IF($D56="","",IFERROR(INDEX(WBS_CBS!$E$5:$E$16,MATCH($D56,WBS_CBS!$A$5:$A$16,0)),""))</f>
        <v/>
      </c>
      <c r="D56" s="149" t="n"/>
      <c r="E56" s="150">
        <f>IF($D56="","",IFERROR(INDEX(WBS_CBS!$C$5:$C$16,MATCH($D56,WBS_CBS!$A$5:$A$16,0)),""))</f>
        <v/>
      </c>
      <c r="F56" s="150">
        <f>IF($D56="","",IFERROR(INDEX(WBS_CBS!$J$5:$J$16,MATCH($D56,WBS_CBS!$A$5:$A$16,0)),""))</f>
        <v/>
      </c>
      <c r="G56" s="149" t="n"/>
      <c r="H56" s="151" t="n"/>
      <c r="I56" s="149" t="n"/>
      <c r="J56" s="152" t="n"/>
      <c r="K56" s="149" t="n"/>
      <c r="L56" s="153">
        <f>IF($K56="","",IFERROR(INDEX(FX_Rates!$B$5:$B$14,MATCH($K56,FX_Rates!$A$5:$A$14,0)),""))</f>
        <v/>
      </c>
      <c r="M56" s="153">
        <f>IF(OR($H56="",$J56=""),"",$H56*$J56)</f>
        <v/>
      </c>
      <c r="N56" s="153">
        <f>IF(OR($M56="",$L56=""),"",$M56*$L56)</f>
        <v/>
      </c>
      <c r="O56" s="149" t="n"/>
      <c r="P56" s="154">
        <f>IF($O56="","",IFERROR(INDEX(Basis_of_Estimate!$C$5:$C$9,MATCH($O56,Basis_of_Estimate!$A$5:$A$9,0)),""))</f>
        <v/>
      </c>
      <c r="Q56" s="154">
        <f>IF($O56="","",IFERROR(INDEX(Basis_of_Estimate!$D$5:$D$9,MATCH($O56,Basis_of_Estimate!$A$5:$A$9,0)),""))</f>
        <v/>
      </c>
      <c r="R56" s="153">
        <f>IF($N56="","",$N56*(1+$P56))</f>
        <v/>
      </c>
      <c r="S56" s="153">
        <f>IF($N56="","",$N56)</f>
        <v/>
      </c>
      <c r="T56" s="153">
        <f>IF($N56="","",$N56*(1+$Q56))</f>
        <v/>
      </c>
      <c r="U56" s="150">
        <f>IF($D56="","",IFERROR(INDEX(WBS_CBS!$M$5:$M$16,MATCH($D56,WBS_CBS!$A$5:$A$16,0)),"Yes"))</f>
        <v/>
      </c>
      <c r="V56" s="150">
        <f>IF($D56="","",IFERROR(INDEX(WBS_CBS!$N$5:$N$16,MATCH($D56,WBS_CBS!$A$5:$A$16,0)),"Yes"))</f>
        <v/>
      </c>
      <c r="W56" s="150">
        <f>IF($D56="","",IFERROR(INDEX(WBS_CBS!$K$5:$K$16,MATCH($D56,WBS_CBS!$A$5:$A$16,0)),""))</f>
        <v/>
      </c>
      <c r="X56" s="150">
        <f>IF($D56="","",IFERROR(INDEX(WBS_CBS!$F$5:$F$16,MATCH($D56,WBS_CBS!$A$5:$A$16,0)),""))</f>
        <v/>
      </c>
      <c r="Y56" s="149" t="n"/>
      <c r="Z56" s="149" t="n"/>
      <c r="AA56" s="150">
        <f>IF($D56="","",IFERROR(INDEX(WBS_CBS!$L$5:$L$16,MATCH($D56,WBS_CBS!$A$5:$A$16,0)),""))</f>
        <v/>
      </c>
      <c r="AB56" s="149" t="n"/>
    </row>
    <row r="57">
      <c r="A57" s="149" t="n"/>
      <c r="B57" s="149" t="n"/>
      <c r="C57" s="150">
        <f>IF($D57="","",IFERROR(INDEX(WBS_CBS!$E$5:$E$16,MATCH($D57,WBS_CBS!$A$5:$A$16,0)),""))</f>
        <v/>
      </c>
      <c r="D57" s="149" t="n"/>
      <c r="E57" s="150">
        <f>IF($D57="","",IFERROR(INDEX(WBS_CBS!$C$5:$C$16,MATCH($D57,WBS_CBS!$A$5:$A$16,0)),""))</f>
        <v/>
      </c>
      <c r="F57" s="150">
        <f>IF($D57="","",IFERROR(INDEX(WBS_CBS!$J$5:$J$16,MATCH($D57,WBS_CBS!$A$5:$A$16,0)),""))</f>
        <v/>
      </c>
      <c r="G57" s="149" t="n"/>
      <c r="H57" s="151" t="n"/>
      <c r="I57" s="149" t="n"/>
      <c r="J57" s="152" t="n"/>
      <c r="K57" s="149" t="n"/>
      <c r="L57" s="153">
        <f>IF($K57="","",IFERROR(INDEX(FX_Rates!$B$5:$B$14,MATCH($K57,FX_Rates!$A$5:$A$14,0)),""))</f>
        <v/>
      </c>
      <c r="M57" s="153">
        <f>IF(OR($H57="",$J57=""),"",$H57*$J57)</f>
        <v/>
      </c>
      <c r="N57" s="153">
        <f>IF(OR($M57="",$L57=""),"",$M57*$L57)</f>
        <v/>
      </c>
      <c r="O57" s="149" t="n"/>
      <c r="P57" s="154">
        <f>IF($O57="","",IFERROR(INDEX(Basis_of_Estimate!$C$5:$C$9,MATCH($O57,Basis_of_Estimate!$A$5:$A$9,0)),""))</f>
        <v/>
      </c>
      <c r="Q57" s="154">
        <f>IF($O57="","",IFERROR(INDEX(Basis_of_Estimate!$D$5:$D$9,MATCH($O57,Basis_of_Estimate!$A$5:$A$9,0)),""))</f>
        <v/>
      </c>
      <c r="R57" s="153">
        <f>IF($N57="","",$N57*(1+$P57))</f>
        <v/>
      </c>
      <c r="S57" s="153">
        <f>IF($N57="","",$N57)</f>
        <v/>
      </c>
      <c r="T57" s="153">
        <f>IF($N57="","",$N57*(1+$Q57))</f>
        <v/>
      </c>
      <c r="U57" s="150">
        <f>IF($D57="","",IFERROR(INDEX(WBS_CBS!$M$5:$M$16,MATCH($D57,WBS_CBS!$A$5:$A$16,0)),"Yes"))</f>
        <v/>
      </c>
      <c r="V57" s="150">
        <f>IF($D57="","",IFERROR(INDEX(WBS_CBS!$N$5:$N$16,MATCH($D57,WBS_CBS!$A$5:$A$16,0)),"Yes"))</f>
        <v/>
      </c>
      <c r="W57" s="150">
        <f>IF($D57="","",IFERROR(INDEX(WBS_CBS!$K$5:$K$16,MATCH($D57,WBS_CBS!$A$5:$A$16,0)),""))</f>
        <v/>
      </c>
      <c r="X57" s="150">
        <f>IF($D57="","",IFERROR(INDEX(WBS_CBS!$F$5:$F$16,MATCH($D57,WBS_CBS!$A$5:$A$16,0)),""))</f>
        <v/>
      </c>
      <c r="Y57" s="149" t="n"/>
      <c r="Z57" s="149" t="n"/>
      <c r="AA57" s="150">
        <f>IF($D57="","",IFERROR(INDEX(WBS_CBS!$L$5:$L$16,MATCH($D57,WBS_CBS!$A$5:$A$16,0)),""))</f>
        <v/>
      </c>
      <c r="AB57" s="149" t="n"/>
    </row>
    <row r="58">
      <c r="A58" s="149" t="n"/>
      <c r="B58" s="149" t="n"/>
      <c r="C58" s="150">
        <f>IF($D58="","",IFERROR(INDEX(WBS_CBS!$E$5:$E$16,MATCH($D58,WBS_CBS!$A$5:$A$16,0)),""))</f>
        <v/>
      </c>
      <c r="D58" s="149" t="n"/>
      <c r="E58" s="150">
        <f>IF($D58="","",IFERROR(INDEX(WBS_CBS!$C$5:$C$16,MATCH($D58,WBS_CBS!$A$5:$A$16,0)),""))</f>
        <v/>
      </c>
      <c r="F58" s="150">
        <f>IF($D58="","",IFERROR(INDEX(WBS_CBS!$J$5:$J$16,MATCH($D58,WBS_CBS!$A$5:$A$16,0)),""))</f>
        <v/>
      </c>
      <c r="G58" s="149" t="n"/>
      <c r="H58" s="151" t="n"/>
      <c r="I58" s="149" t="n"/>
      <c r="J58" s="152" t="n"/>
      <c r="K58" s="149" t="n"/>
      <c r="L58" s="153">
        <f>IF($K58="","",IFERROR(INDEX(FX_Rates!$B$5:$B$14,MATCH($K58,FX_Rates!$A$5:$A$14,0)),""))</f>
        <v/>
      </c>
      <c r="M58" s="153">
        <f>IF(OR($H58="",$J58=""),"",$H58*$J58)</f>
        <v/>
      </c>
      <c r="N58" s="153">
        <f>IF(OR($M58="",$L58=""),"",$M58*$L58)</f>
        <v/>
      </c>
      <c r="O58" s="149" t="n"/>
      <c r="P58" s="154">
        <f>IF($O58="","",IFERROR(INDEX(Basis_of_Estimate!$C$5:$C$9,MATCH($O58,Basis_of_Estimate!$A$5:$A$9,0)),""))</f>
        <v/>
      </c>
      <c r="Q58" s="154">
        <f>IF($O58="","",IFERROR(INDEX(Basis_of_Estimate!$D$5:$D$9,MATCH($O58,Basis_of_Estimate!$A$5:$A$9,0)),""))</f>
        <v/>
      </c>
      <c r="R58" s="153">
        <f>IF($N58="","",$N58*(1+$P58))</f>
        <v/>
      </c>
      <c r="S58" s="153">
        <f>IF($N58="","",$N58)</f>
        <v/>
      </c>
      <c r="T58" s="153">
        <f>IF($N58="","",$N58*(1+$Q58))</f>
        <v/>
      </c>
      <c r="U58" s="150">
        <f>IF($D58="","",IFERROR(INDEX(WBS_CBS!$M$5:$M$16,MATCH($D58,WBS_CBS!$A$5:$A$16,0)),"Yes"))</f>
        <v/>
      </c>
      <c r="V58" s="150">
        <f>IF($D58="","",IFERROR(INDEX(WBS_CBS!$N$5:$N$16,MATCH($D58,WBS_CBS!$A$5:$A$16,0)),"Yes"))</f>
        <v/>
      </c>
      <c r="W58" s="150">
        <f>IF($D58="","",IFERROR(INDEX(WBS_CBS!$K$5:$K$16,MATCH($D58,WBS_CBS!$A$5:$A$16,0)),""))</f>
        <v/>
      </c>
      <c r="X58" s="150">
        <f>IF($D58="","",IFERROR(INDEX(WBS_CBS!$F$5:$F$16,MATCH($D58,WBS_CBS!$A$5:$A$16,0)),""))</f>
        <v/>
      </c>
      <c r="Y58" s="149" t="n"/>
      <c r="Z58" s="149" t="n"/>
      <c r="AA58" s="150">
        <f>IF($D58="","",IFERROR(INDEX(WBS_CBS!$L$5:$L$16,MATCH($D58,WBS_CBS!$A$5:$A$16,0)),""))</f>
        <v/>
      </c>
      <c r="AB58" s="149" t="n"/>
    </row>
    <row r="59">
      <c r="A59" s="149" t="n"/>
      <c r="B59" s="149" t="n"/>
      <c r="C59" s="150">
        <f>IF($D59="","",IFERROR(INDEX(WBS_CBS!$E$5:$E$16,MATCH($D59,WBS_CBS!$A$5:$A$16,0)),""))</f>
        <v/>
      </c>
      <c r="D59" s="149" t="n"/>
      <c r="E59" s="150">
        <f>IF($D59="","",IFERROR(INDEX(WBS_CBS!$C$5:$C$16,MATCH($D59,WBS_CBS!$A$5:$A$16,0)),""))</f>
        <v/>
      </c>
      <c r="F59" s="150">
        <f>IF($D59="","",IFERROR(INDEX(WBS_CBS!$J$5:$J$16,MATCH($D59,WBS_CBS!$A$5:$A$16,0)),""))</f>
        <v/>
      </c>
      <c r="G59" s="149" t="n"/>
      <c r="H59" s="151" t="n"/>
      <c r="I59" s="149" t="n"/>
      <c r="J59" s="152" t="n"/>
      <c r="K59" s="149" t="n"/>
      <c r="L59" s="153">
        <f>IF($K59="","",IFERROR(INDEX(FX_Rates!$B$5:$B$14,MATCH($K59,FX_Rates!$A$5:$A$14,0)),""))</f>
        <v/>
      </c>
      <c r="M59" s="153">
        <f>IF(OR($H59="",$J59=""),"",$H59*$J59)</f>
        <v/>
      </c>
      <c r="N59" s="153">
        <f>IF(OR($M59="",$L59=""),"",$M59*$L59)</f>
        <v/>
      </c>
      <c r="O59" s="149" t="n"/>
      <c r="P59" s="154">
        <f>IF($O59="","",IFERROR(INDEX(Basis_of_Estimate!$C$5:$C$9,MATCH($O59,Basis_of_Estimate!$A$5:$A$9,0)),""))</f>
        <v/>
      </c>
      <c r="Q59" s="154">
        <f>IF($O59="","",IFERROR(INDEX(Basis_of_Estimate!$D$5:$D$9,MATCH($O59,Basis_of_Estimate!$A$5:$A$9,0)),""))</f>
        <v/>
      </c>
      <c r="R59" s="153">
        <f>IF($N59="","",$N59*(1+$P59))</f>
        <v/>
      </c>
      <c r="S59" s="153">
        <f>IF($N59="","",$N59)</f>
        <v/>
      </c>
      <c r="T59" s="153">
        <f>IF($N59="","",$N59*(1+$Q59))</f>
        <v/>
      </c>
      <c r="U59" s="150">
        <f>IF($D59="","",IFERROR(INDEX(WBS_CBS!$M$5:$M$16,MATCH($D59,WBS_CBS!$A$5:$A$16,0)),"Yes"))</f>
        <v/>
      </c>
      <c r="V59" s="150">
        <f>IF($D59="","",IFERROR(INDEX(WBS_CBS!$N$5:$N$16,MATCH($D59,WBS_CBS!$A$5:$A$16,0)),"Yes"))</f>
        <v/>
      </c>
      <c r="W59" s="150">
        <f>IF($D59="","",IFERROR(INDEX(WBS_CBS!$K$5:$K$16,MATCH($D59,WBS_CBS!$A$5:$A$16,0)),""))</f>
        <v/>
      </c>
      <c r="X59" s="150">
        <f>IF($D59="","",IFERROR(INDEX(WBS_CBS!$F$5:$F$16,MATCH($D59,WBS_CBS!$A$5:$A$16,0)),""))</f>
        <v/>
      </c>
      <c r="Y59" s="149" t="n"/>
      <c r="Z59" s="149" t="n"/>
      <c r="AA59" s="150">
        <f>IF($D59="","",IFERROR(INDEX(WBS_CBS!$L$5:$L$16,MATCH($D59,WBS_CBS!$A$5:$A$16,0)),""))</f>
        <v/>
      </c>
      <c r="AB59" s="149" t="n"/>
    </row>
    <row r="60">
      <c r="A60" s="149" t="n"/>
      <c r="B60" s="149" t="n"/>
      <c r="C60" s="150">
        <f>IF($D60="","",IFERROR(INDEX(WBS_CBS!$E$5:$E$16,MATCH($D60,WBS_CBS!$A$5:$A$16,0)),""))</f>
        <v/>
      </c>
      <c r="D60" s="149" t="n"/>
      <c r="E60" s="150">
        <f>IF($D60="","",IFERROR(INDEX(WBS_CBS!$C$5:$C$16,MATCH($D60,WBS_CBS!$A$5:$A$16,0)),""))</f>
        <v/>
      </c>
      <c r="F60" s="150">
        <f>IF($D60="","",IFERROR(INDEX(WBS_CBS!$J$5:$J$16,MATCH($D60,WBS_CBS!$A$5:$A$16,0)),""))</f>
        <v/>
      </c>
      <c r="G60" s="149" t="n"/>
      <c r="H60" s="151" t="n"/>
      <c r="I60" s="149" t="n"/>
      <c r="J60" s="152" t="n"/>
      <c r="K60" s="149" t="n"/>
      <c r="L60" s="153">
        <f>IF($K60="","",IFERROR(INDEX(FX_Rates!$B$5:$B$14,MATCH($K60,FX_Rates!$A$5:$A$14,0)),""))</f>
        <v/>
      </c>
      <c r="M60" s="153">
        <f>IF(OR($H60="",$J60=""),"",$H60*$J60)</f>
        <v/>
      </c>
      <c r="N60" s="153">
        <f>IF(OR($M60="",$L60=""),"",$M60*$L60)</f>
        <v/>
      </c>
      <c r="O60" s="149" t="n"/>
      <c r="P60" s="154">
        <f>IF($O60="","",IFERROR(INDEX(Basis_of_Estimate!$C$5:$C$9,MATCH($O60,Basis_of_Estimate!$A$5:$A$9,0)),""))</f>
        <v/>
      </c>
      <c r="Q60" s="154">
        <f>IF($O60="","",IFERROR(INDEX(Basis_of_Estimate!$D$5:$D$9,MATCH($O60,Basis_of_Estimate!$A$5:$A$9,0)),""))</f>
        <v/>
      </c>
      <c r="R60" s="153">
        <f>IF($N60="","",$N60*(1+$P60))</f>
        <v/>
      </c>
      <c r="S60" s="153">
        <f>IF($N60="","",$N60)</f>
        <v/>
      </c>
      <c r="T60" s="153">
        <f>IF($N60="","",$N60*(1+$Q60))</f>
        <v/>
      </c>
      <c r="U60" s="150">
        <f>IF($D60="","",IFERROR(INDEX(WBS_CBS!$M$5:$M$16,MATCH($D60,WBS_CBS!$A$5:$A$16,0)),"Yes"))</f>
        <v/>
      </c>
      <c r="V60" s="150">
        <f>IF($D60="","",IFERROR(INDEX(WBS_CBS!$N$5:$N$16,MATCH($D60,WBS_CBS!$A$5:$A$16,0)),"Yes"))</f>
        <v/>
      </c>
      <c r="W60" s="150">
        <f>IF($D60="","",IFERROR(INDEX(WBS_CBS!$K$5:$K$16,MATCH($D60,WBS_CBS!$A$5:$A$16,0)),""))</f>
        <v/>
      </c>
      <c r="X60" s="150">
        <f>IF($D60="","",IFERROR(INDEX(WBS_CBS!$F$5:$F$16,MATCH($D60,WBS_CBS!$A$5:$A$16,0)),""))</f>
        <v/>
      </c>
      <c r="Y60" s="149" t="n"/>
      <c r="Z60" s="149" t="n"/>
      <c r="AA60" s="150">
        <f>IF($D60="","",IFERROR(INDEX(WBS_CBS!$L$5:$L$16,MATCH($D60,WBS_CBS!$A$5:$A$16,0)),""))</f>
        <v/>
      </c>
      <c r="AB60" s="149" t="n"/>
    </row>
    <row r="61">
      <c r="A61" s="149" t="n"/>
      <c r="B61" s="149" t="n"/>
      <c r="C61" s="150">
        <f>IF($D61="","",IFERROR(INDEX(WBS_CBS!$E$5:$E$16,MATCH($D61,WBS_CBS!$A$5:$A$16,0)),""))</f>
        <v/>
      </c>
      <c r="D61" s="149" t="n"/>
      <c r="E61" s="150">
        <f>IF($D61="","",IFERROR(INDEX(WBS_CBS!$C$5:$C$16,MATCH($D61,WBS_CBS!$A$5:$A$16,0)),""))</f>
        <v/>
      </c>
      <c r="F61" s="150">
        <f>IF($D61="","",IFERROR(INDEX(WBS_CBS!$J$5:$J$16,MATCH($D61,WBS_CBS!$A$5:$A$16,0)),""))</f>
        <v/>
      </c>
      <c r="G61" s="149" t="n"/>
      <c r="H61" s="151" t="n"/>
      <c r="I61" s="149" t="n"/>
      <c r="J61" s="152" t="n"/>
      <c r="K61" s="149" t="n"/>
      <c r="L61" s="153">
        <f>IF($K61="","",IFERROR(INDEX(FX_Rates!$B$5:$B$14,MATCH($K61,FX_Rates!$A$5:$A$14,0)),""))</f>
        <v/>
      </c>
      <c r="M61" s="153">
        <f>IF(OR($H61="",$J61=""),"",$H61*$J61)</f>
        <v/>
      </c>
      <c r="N61" s="153">
        <f>IF(OR($M61="",$L61=""),"",$M61*$L61)</f>
        <v/>
      </c>
      <c r="O61" s="149" t="n"/>
      <c r="P61" s="154">
        <f>IF($O61="","",IFERROR(INDEX(Basis_of_Estimate!$C$5:$C$9,MATCH($O61,Basis_of_Estimate!$A$5:$A$9,0)),""))</f>
        <v/>
      </c>
      <c r="Q61" s="154">
        <f>IF($O61="","",IFERROR(INDEX(Basis_of_Estimate!$D$5:$D$9,MATCH($O61,Basis_of_Estimate!$A$5:$A$9,0)),""))</f>
        <v/>
      </c>
      <c r="R61" s="153">
        <f>IF($N61="","",$N61*(1+$P61))</f>
        <v/>
      </c>
      <c r="S61" s="153">
        <f>IF($N61="","",$N61)</f>
        <v/>
      </c>
      <c r="T61" s="153">
        <f>IF($N61="","",$N61*(1+$Q61))</f>
        <v/>
      </c>
      <c r="U61" s="150">
        <f>IF($D61="","",IFERROR(INDEX(WBS_CBS!$M$5:$M$16,MATCH($D61,WBS_CBS!$A$5:$A$16,0)),"Yes"))</f>
        <v/>
      </c>
      <c r="V61" s="150">
        <f>IF($D61="","",IFERROR(INDEX(WBS_CBS!$N$5:$N$16,MATCH($D61,WBS_CBS!$A$5:$A$16,0)),"Yes"))</f>
        <v/>
      </c>
      <c r="W61" s="150">
        <f>IF($D61="","",IFERROR(INDEX(WBS_CBS!$K$5:$K$16,MATCH($D61,WBS_CBS!$A$5:$A$16,0)),""))</f>
        <v/>
      </c>
      <c r="X61" s="150">
        <f>IF($D61="","",IFERROR(INDEX(WBS_CBS!$F$5:$F$16,MATCH($D61,WBS_CBS!$A$5:$A$16,0)),""))</f>
        <v/>
      </c>
      <c r="Y61" s="149" t="n"/>
      <c r="Z61" s="149" t="n"/>
      <c r="AA61" s="150">
        <f>IF($D61="","",IFERROR(INDEX(WBS_CBS!$L$5:$L$16,MATCH($D61,WBS_CBS!$A$5:$A$16,0)),""))</f>
        <v/>
      </c>
      <c r="AB61" s="149" t="n"/>
    </row>
    <row r="62">
      <c r="A62" s="149" t="n"/>
      <c r="B62" s="149" t="n"/>
      <c r="C62" s="150">
        <f>IF($D62="","",IFERROR(INDEX(WBS_CBS!$E$5:$E$16,MATCH($D62,WBS_CBS!$A$5:$A$16,0)),""))</f>
        <v/>
      </c>
      <c r="D62" s="149" t="n"/>
      <c r="E62" s="150">
        <f>IF($D62="","",IFERROR(INDEX(WBS_CBS!$C$5:$C$16,MATCH($D62,WBS_CBS!$A$5:$A$16,0)),""))</f>
        <v/>
      </c>
      <c r="F62" s="150">
        <f>IF($D62="","",IFERROR(INDEX(WBS_CBS!$J$5:$J$16,MATCH($D62,WBS_CBS!$A$5:$A$16,0)),""))</f>
        <v/>
      </c>
      <c r="G62" s="149" t="n"/>
      <c r="H62" s="151" t="n"/>
      <c r="I62" s="149" t="n"/>
      <c r="J62" s="152" t="n"/>
      <c r="K62" s="149" t="n"/>
      <c r="L62" s="153">
        <f>IF($K62="","",IFERROR(INDEX(FX_Rates!$B$5:$B$14,MATCH($K62,FX_Rates!$A$5:$A$14,0)),""))</f>
        <v/>
      </c>
      <c r="M62" s="153">
        <f>IF(OR($H62="",$J62=""),"",$H62*$J62)</f>
        <v/>
      </c>
      <c r="N62" s="153">
        <f>IF(OR($M62="",$L62=""),"",$M62*$L62)</f>
        <v/>
      </c>
      <c r="O62" s="149" t="n"/>
      <c r="P62" s="154">
        <f>IF($O62="","",IFERROR(INDEX(Basis_of_Estimate!$C$5:$C$9,MATCH($O62,Basis_of_Estimate!$A$5:$A$9,0)),""))</f>
        <v/>
      </c>
      <c r="Q62" s="154">
        <f>IF($O62="","",IFERROR(INDEX(Basis_of_Estimate!$D$5:$D$9,MATCH($O62,Basis_of_Estimate!$A$5:$A$9,0)),""))</f>
        <v/>
      </c>
      <c r="R62" s="153">
        <f>IF($N62="","",$N62*(1+$P62))</f>
        <v/>
      </c>
      <c r="S62" s="153">
        <f>IF($N62="","",$N62)</f>
        <v/>
      </c>
      <c r="T62" s="153">
        <f>IF($N62="","",$N62*(1+$Q62))</f>
        <v/>
      </c>
      <c r="U62" s="150">
        <f>IF($D62="","",IFERROR(INDEX(WBS_CBS!$M$5:$M$16,MATCH($D62,WBS_CBS!$A$5:$A$16,0)),"Yes"))</f>
        <v/>
      </c>
      <c r="V62" s="150">
        <f>IF($D62="","",IFERROR(INDEX(WBS_CBS!$N$5:$N$16,MATCH($D62,WBS_CBS!$A$5:$A$16,0)),"Yes"))</f>
        <v/>
      </c>
      <c r="W62" s="150">
        <f>IF($D62="","",IFERROR(INDEX(WBS_CBS!$K$5:$K$16,MATCH($D62,WBS_CBS!$A$5:$A$16,0)),""))</f>
        <v/>
      </c>
      <c r="X62" s="150">
        <f>IF($D62="","",IFERROR(INDEX(WBS_CBS!$F$5:$F$16,MATCH($D62,WBS_CBS!$A$5:$A$16,0)),""))</f>
        <v/>
      </c>
      <c r="Y62" s="149" t="n"/>
      <c r="Z62" s="149" t="n"/>
      <c r="AA62" s="150">
        <f>IF($D62="","",IFERROR(INDEX(WBS_CBS!$L$5:$L$16,MATCH($D62,WBS_CBS!$A$5:$A$16,0)),""))</f>
        <v/>
      </c>
      <c r="AB62" s="149" t="n"/>
    </row>
    <row r="63">
      <c r="A63" s="149" t="n"/>
      <c r="B63" s="149" t="n"/>
      <c r="C63" s="150">
        <f>IF($D63="","",IFERROR(INDEX(WBS_CBS!$E$5:$E$16,MATCH($D63,WBS_CBS!$A$5:$A$16,0)),""))</f>
        <v/>
      </c>
      <c r="D63" s="149" t="n"/>
      <c r="E63" s="150">
        <f>IF($D63="","",IFERROR(INDEX(WBS_CBS!$C$5:$C$16,MATCH($D63,WBS_CBS!$A$5:$A$16,0)),""))</f>
        <v/>
      </c>
      <c r="F63" s="150">
        <f>IF($D63="","",IFERROR(INDEX(WBS_CBS!$J$5:$J$16,MATCH($D63,WBS_CBS!$A$5:$A$16,0)),""))</f>
        <v/>
      </c>
      <c r="G63" s="149" t="n"/>
      <c r="H63" s="151" t="n"/>
      <c r="I63" s="149" t="n"/>
      <c r="J63" s="152" t="n"/>
      <c r="K63" s="149" t="n"/>
      <c r="L63" s="153">
        <f>IF($K63="","",IFERROR(INDEX(FX_Rates!$B$5:$B$14,MATCH($K63,FX_Rates!$A$5:$A$14,0)),""))</f>
        <v/>
      </c>
      <c r="M63" s="153">
        <f>IF(OR($H63="",$J63=""),"",$H63*$J63)</f>
        <v/>
      </c>
      <c r="N63" s="153">
        <f>IF(OR($M63="",$L63=""),"",$M63*$L63)</f>
        <v/>
      </c>
      <c r="O63" s="149" t="n"/>
      <c r="P63" s="154">
        <f>IF($O63="","",IFERROR(INDEX(Basis_of_Estimate!$C$5:$C$9,MATCH($O63,Basis_of_Estimate!$A$5:$A$9,0)),""))</f>
        <v/>
      </c>
      <c r="Q63" s="154">
        <f>IF($O63="","",IFERROR(INDEX(Basis_of_Estimate!$D$5:$D$9,MATCH($O63,Basis_of_Estimate!$A$5:$A$9,0)),""))</f>
        <v/>
      </c>
      <c r="R63" s="153">
        <f>IF($N63="","",$N63*(1+$P63))</f>
        <v/>
      </c>
      <c r="S63" s="153">
        <f>IF($N63="","",$N63)</f>
        <v/>
      </c>
      <c r="T63" s="153">
        <f>IF($N63="","",$N63*(1+$Q63))</f>
        <v/>
      </c>
      <c r="U63" s="150">
        <f>IF($D63="","",IFERROR(INDEX(WBS_CBS!$M$5:$M$16,MATCH($D63,WBS_CBS!$A$5:$A$16,0)),"Yes"))</f>
        <v/>
      </c>
      <c r="V63" s="150">
        <f>IF($D63="","",IFERROR(INDEX(WBS_CBS!$N$5:$N$16,MATCH($D63,WBS_CBS!$A$5:$A$16,0)),"Yes"))</f>
        <v/>
      </c>
      <c r="W63" s="150">
        <f>IF($D63="","",IFERROR(INDEX(WBS_CBS!$K$5:$K$16,MATCH($D63,WBS_CBS!$A$5:$A$16,0)),""))</f>
        <v/>
      </c>
      <c r="X63" s="150">
        <f>IF($D63="","",IFERROR(INDEX(WBS_CBS!$F$5:$F$16,MATCH($D63,WBS_CBS!$A$5:$A$16,0)),""))</f>
        <v/>
      </c>
      <c r="Y63" s="149" t="n"/>
      <c r="Z63" s="149" t="n"/>
      <c r="AA63" s="150">
        <f>IF($D63="","",IFERROR(INDEX(WBS_CBS!$L$5:$L$16,MATCH($D63,WBS_CBS!$A$5:$A$16,0)),""))</f>
        <v/>
      </c>
      <c r="AB63" s="149" t="n"/>
    </row>
    <row r="64">
      <c r="A64" s="149" t="n"/>
      <c r="B64" s="149" t="n"/>
      <c r="C64" s="150">
        <f>IF($D64="","",IFERROR(INDEX(WBS_CBS!$E$5:$E$16,MATCH($D64,WBS_CBS!$A$5:$A$16,0)),""))</f>
        <v/>
      </c>
      <c r="D64" s="149" t="n"/>
      <c r="E64" s="150">
        <f>IF($D64="","",IFERROR(INDEX(WBS_CBS!$C$5:$C$16,MATCH($D64,WBS_CBS!$A$5:$A$16,0)),""))</f>
        <v/>
      </c>
      <c r="F64" s="150">
        <f>IF($D64="","",IFERROR(INDEX(WBS_CBS!$J$5:$J$16,MATCH($D64,WBS_CBS!$A$5:$A$16,0)),""))</f>
        <v/>
      </c>
      <c r="G64" s="149" t="n"/>
      <c r="H64" s="151" t="n"/>
      <c r="I64" s="149" t="n"/>
      <c r="J64" s="152" t="n"/>
      <c r="K64" s="149" t="n"/>
      <c r="L64" s="153">
        <f>IF($K64="","",IFERROR(INDEX(FX_Rates!$B$5:$B$14,MATCH($K64,FX_Rates!$A$5:$A$14,0)),""))</f>
        <v/>
      </c>
      <c r="M64" s="153">
        <f>IF(OR($H64="",$J64=""),"",$H64*$J64)</f>
        <v/>
      </c>
      <c r="N64" s="153">
        <f>IF(OR($M64="",$L64=""),"",$M64*$L64)</f>
        <v/>
      </c>
      <c r="O64" s="149" t="n"/>
      <c r="P64" s="154">
        <f>IF($O64="","",IFERROR(INDEX(Basis_of_Estimate!$C$5:$C$9,MATCH($O64,Basis_of_Estimate!$A$5:$A$9,0)),""))</f>
        <v/>
      </c>
      <c r="Q64" s="154">
        <f>IF($O64="","",IFERROR(INDEX(Basis_of_Estimate!$D$5:$D$9,MATCH($O64,Basis_of_Estimate!$A$5:$A$9,0)),""))</f>
        <v/>
      </c>
      <c r="R64" s="153">
        <f>IF($N64="","",$N64*(1+$P64))</f>
        <v/>
      </c>
      <c r="S64" s="153">
        <f>IF($N64="","",$N64)</f>
        <v/>
      </c>
      <c r="T64" s="153">
        <f>IF($N64="","",$N64*(1+$Q64))</f>
        <v/>
      </c>
      <c r="U64" s="150">
        <f>IF($D64="","",IFERROR(INDEX(WBS_CBS!$M$5:$M$16,MATCH($D64,WBS_CBS!$A$5:$A$16,0)),"Yes"))</f>
        <v/>
      </c>
      <c r="V64" s="150">
        <f>IF($D64="","",IFERROR(INDEX(WBS_CBS!$N$5:$N$16,MATCH($D64,WBS_CBS!$A$5:$A$16,0)),"Yes"))</f>
        <v/>
      </c>
      <c r="W64" s="150">
        <f>IF($D64="","",IFERROR(INDEX(WBS_CBS!$K$5:$K$16,MATCH($D64,WBS_CBS!$A$5:$A$16,0)),""))</f>
        <v/>
      </c>
      <c r="X64" s="150">
        <f>IF($D64="","",IFERROR(INDEX(WBS_CBS!$F$5:$F$16,MATCH($D64,WBS_CBS!$A$5:$A$16,0)),""))</f>
        <v/>
      </c>
      <c r="Y64" s="149" t="n"/>
      <c r="Z64" s="149" t="n"/>
      <c r="AA64" s="150">
        <f>IF($D64="","",IFERROR(INDEX(WBS_CBS!$L$5:$L$16,MATCH($D64,WBS_CBS!$A$5:$A$16,0)),""))</f>
        <v/>
      </c>
      <c r="AB64" s="149" t="n"/>
    </row>
    <row r="65">
      <c r="A65" s="149" t="n"/>
      <c r="B65" s="149" t="n"/>
      <c r="C65" s="150">
        <f>IF($D65="","",IFERROR(INDEX(WBS_CBS!$E$5:$E$16,MATCH($D65,WBS_CBS!$A$5:$A$16,0)),""))</f>
        <v/>
      </c>
      <c r="D65" s="149" t="n"/>
      <c r="E65" s="150">
        <f>IF($D65="","",IFERROR(INDEX(WBS_CBS!$C$5:$C$16,MATCH($D65,WBS_CBS!$A$5:$A$16,0)),""))</f>
        <v/>
      </c>
      <c r="F65" s="150">
        <f>IF($D65="","",IFERROR(INDEX(WBS_CBS!$J$5:$J$16,MATCH($D65,WBS_CBS!$A$5:$A$16,0)),""))</f>
        <v/>
      </c>
      <c r="G65" s="149" t="n"/>
      <c r="H65" s="151" t="n"/>
      <c r="I65" s="149" t="n"/>
      <c r="J65" s="152" t="n"/>
      <c r="K65" s="149" t="n"/>
      <c r="L65" s="153">
        <f>IF($K65="","",IFERROR(INDEX(FX_Rates!$B$5:$B$14,MATCH($K65,FX_Rates!$A$5:$A$14,0)),""))</f>
        <v/>
      </c>
      <c r="M65" s="153">
        <f>IF(OR($H65="",$J65=""),"",$H65*$J65)</f>
        <v/>
      </c>
      <c r="N65" s="153">
        <f>IF(OR($M65="",$L65=""),"",$M65*$L65)</f>
        <v/>
      </c>
      <c r="O65" s="149" t="n"/>
      <c r="P65" s="154">
        <f>IF($O65="","",IFERROR(INDEX(Basis_of_Estimate!$C$5:$C$9,MATCH($O65,Basis_of_Estimate!$A$5:$A$9,0)),""))</f>
        <v/>
      </c>
      <c r="Q65" s="154">
        <f>IF($O65="","",IFERROR(INDEX(Basis_of_Estimate!$D$5:$D$9,MATCH($O65,Basis_of_Estimate!$A$5:$A$9,0)),""))</f>
        <v/>
      </c>
      <c r="R65" s="153">
        <f>IF($N65="","",$N65*(1+$P65))</f>
        <v/>
      </c>
      <c r="S65" s="153">
        <f>IF($N65="","",$N65)</f>
        <v/>
      </c>
      <c r="T65" s="153">
        <f>IF($N65="","",$N65*(1+$Q65))</f>
        <v/>
      </c>
      <c r="U65" s="150">
        <f>IF($D65="","",IFERROR(INDEX(WBS_CBS!$M$5:$M$16,MATCH($D65,WBS_CBS!$A$5:$A$16,0)),"Yes"))</f>
        <v/>
      </c>
      <c r="V65" s="150">
        <f>IF($D65="","",IFERROR(INDEX(WBS_CBS!$N$5:$N$16,MATCH($D65,WBS_CBS!$A$5:$A$16,0)),"Yes"))</f>
        <v/>
      </c>
      <c r="W65" s="150">
        <f>IF($D65="","",IFERROR(INDEX(WBS_CBS!$K$5:$K$16,MATCH($D65,WBS_CBS!$A$5:$A$16,0)),""))</f>
        <v/>
      </c>
      <c r="X65" s="150">
        <f>IF($D65="","",IFERROR(INDEX(WBS_CBS!$F$5:$F$16,MATCH($D65,WBS_CBS!$A$5:$A$16,0)),""))</f>
        <v/>
      </c>
      <c r="Y65" s="149" t="n"/>
      <c r="Z65" s="149" t="n"/>
      <c r="AA65" s="150">
        <f>IF($D65="","",IFERROR(INDEX(WBS_CBS!$L$5:$L$16,MATCH($D65,WBS_CBS!$A$5:$A$16,0)),""))</f>
        <v/>
      </c>
      <c r="AB65" s="149" t="n"/>
    </row>
    <row r="66">
      <c r="A66" s="149" t="n"/>
      <c r="B66" s="149" t="n"/>
      <c r="C66" s="150">
        <f>IF($D66="","",IFERROR(INDEX(WBS_CBS!$E$5:$E$16,MATCH($D66,WBS_CBS!$A$5:$A$16,0)),""))</f>
        <v/>
      </c>
      <c r="D66" s="149" t="n"/>
      <c r="E66" s="150">
        <f>IF($D66="","",IFERROR(INDEX(WBS_CBS!$C$5:$C$16,MATCH($D66,WBS_CBS!$A$5:$A$16,0)),""))</f>
        <v/>
      </c>
      <c r="F66" s="150">
        <f>IF($D66="","",IFERROR(INDEX(WBS_CBS!$J$5:$J$16,MATCH($D66,WBS_CBS!$A$5:$A$16,0)),""))</f>
        <v/>
      </c>
      <c r="G66" s="149" t="n"/>
      <c r="H66" s="151" t="n"/>
      <c r="I66" s="149" t="n"/>
      <c r="J66" s="152" t="n"/>
      <c r="K66" s="149" t="n"/>
      <c r="L66" s="153">
        <f>IF($K66="","",IFERROR(INDEX(FX_Rates!$B$5:$B$14,MATCH($K66,FX_Rates!$A$5:$A$14,0)),""))</f>
        <v/>
      </c>
      <c r="M66" s="153">
        <f>IF(OR($H66="",$J66=""),"",$H66*$J66)</f>
        <v/>
      </c>
      <c r="N66" s="153">
        <f>IF(OR($M66="",$L66=""),"",$M66*$L66)</f>
        <v/>
      </c>
      <c r="O66" s="149" t="n"/>
      <c r="P66" s="154">
        <f>IF($O66="","",IFERROR(INDEX(Basis_of_Estimate!$C$5:$C$9,MATCH($O66,Basis_of_Estimate!$A$5:$A$9,0)),""))</f>
        <v/>
      </c>
      <c r="Q66" s="154">
        <f>IF($O66="","",IFERROR(INDEX(Basis_of_Estimate!$D$5:$D$9,MATCH($O66,Basis_of_Estimate!$A$5:$A$9,0)),""))</f>
        <v/>
      </c>
      <c r="R66" s="153">
        <f>IF($N66="","",$N66*(1+$P66))</f>
        <v/>
      </c>
      <c r="S66" s="153">
        <f>IF($N66="","",$N66)</f>
        <v/>
      </c>
      <c r="T66" s="153">
        <f>IF($N66="","",$N66*(1+$Q66))</f>
        <v/>
      </c>
      <c r="U66" s="150">
        <f>IF($D66="","",IFERROR(INDEX(WBS_CBS!$M$5:$M$16,MATCH($D66,WBS_CBS!$A$5:$A$16,0)),"Yes"))</f>
        <v/>
      </c>
      <c r="V66" s="150">
        <f>IF($D66="","",IFERROR(INDEX(WBS_CBS!$N$5:$N$16,MATCH($D66,WBS_CBS!$A$5:$A$16,0)),"Yes"))</f>
        <v/>
      </c>
      <c r="W66" s="150">
        <f>IF($D66="","",IFERROR(INDEX(WBS_CBS!$K$5:$K$16,MATCH($D66,WBS_CBS!$A$5:$A$16,0)),""))</f>
        <v/>
      </c>
      <c r="X66" s="150">
        <f>IF($D66="","",IFERROR(INDEX(WBS_CBS!$F$5:$F$16,MATCH($D66,WBS_CBS!$A$5:$A$16,0)),""))</f>
        <v/>
      </c>
      <c r="Y66" s="149" t="n"/>
      <c r="Z66" s="149" t="n"/>
      <c r="AA66" s="150">
        <f>IF($D66="","",IFERROR(INDEX(WBS_CBS!$L$5:$L$16,MATCH($D66,WBS_CBS!$A$5:$A$16,0)),""))</f>
        <v/>
      </c>
      <c r="AB66" s="149" t="n"/>
    </row>
    <row r="67">
      <c r="A67" s="149" t="n"/>
      <c r="B67" s="149" t="n"/>
      <c r="C67" s="150">
        <f>IF($D67="","",IFERROR(INDEX(WBS_CBS!$E$5:$E$16,MATCH($D67,WBS_CBS!$A$5:$A$16,0)),""))</f>
        <v/>
      </c>
      <c r="D67" s="149" t="n"/>
      <c r="E67" s="150">
        <f>IF($D67="","",IFERROR(INDEX(WBS_CBS!$C$5:$C$16,MATCH($D67,WBS_CBS!$A$5:$A$16,0)),""))</f>
        <v/>
      </c>
      <c r="F67" s="150">
        <f>IF($D67="","",IFERROR(INDEX(WBS_CBS!$J$5:$J$16,MATCH($D67,WBS_CBS!$A$5:$A$16,0)),""))</f>
        <v/>
      </c>
      <c r="G67" s="149" t="n"/>
      <c r="H67" s="151" t="n"/>
      <c r="I67" s="149" t="n"/>
      <c r="J67" s="152" t="n"/>
      <c r="K67" s="149" t="n"/>
      <c r="L67" s="153">
        <f>IF($K67="","",IFERROR(INDEX(FX_Rates!$B$5:$B$14,MATCH($K67,FX_Rates!$A$5:$A$14,0)),""))</f>
        <v/>
      </c>
      <c r="M67" s="153">
        <f>IF(OR($H67="",$J67=""),"",$H67*$J67)</f>
        <v/>
      </c>
      <c r="N67" s="153">
        <f>IF(OR($M67="",$L67=""),"",$M67*$L67)</f>
        <v/>
      </c>
      <c r="O67" s="149" t="n"/>
      <c r="P67" s="154">
        <f>IF($O67="","",IFERROR(INDEX(Basis_of_Estimate!$C$5:$C$9,MATCH($O67,Basis_of_Estimate!$A$5:$A$9,0)),""))</f>
        <v/>
      </c>
      <c r="Q67" s="154">
        <f>IF($O67="","",IFERROR(INDEX(Basis_of_Estimate!$D$5:$D$9,MATCH($O67,Basis_of_Estimate!$A$5:$A$9,0)),""))</f>
        <v/>
      </c>
      <c r="R67" s="153">
        <f>IF($N67="","",$N67*(1+$P67))</f>
        <v/>
      </c>
      <c r="S67" s="153">
        <f>IF($N67="","",$N67)</f>
        <v/>
      </c>
      <c r="T67" s="153">
        <f>IF($N67="","",$N67*(1+$Q67))</f>
        <v/>
      </c>
      <c r="U67" s="150">
        <f>IF($D67="","",IFERROR(INDEX(WBS_CBS!$M$5:$M$16,MATCH($D67,WBS_CBS!$A$5:$A$16,0)),"Yes"))</f>
        <v/>
      </c>
      <c r="V67" s="150">
        <f>IF($D67="","",IFERROR(INDEX(WBS_CBS!$N$5:$N$16,MATCH($D67,WBS_CBS!$A$5:$A$16,0)),"Yes"))</f>
        <v/>
      </c>
      <c r="W67" s="150">
        <f>IF($D67="","",IFERROR(INDEX(WBS_CBS!$K$5:$K$16,MATCH($D67,WBS_CBS!$A$5:$A$16,0)),""))</f>
        <v/>
      </c>
      <c r="X67" s="150">
        <f>IF($D67="","",IFERROR(INDEX(WBS_CBS!$F$5:$F$16,MATCH($D67,WBS_CBS!$A$5:$A$16,0)),""))</f>
        <v/>
      </c>
      <c r="Y67" s="149" t="n"/>
      <c r="Z67" s="149" t="n"/>
      <c r="AA67" s="150">
        <f>IF($D67="","",IFERROR(INDEX(WBS_CBS!$L$5:$L$16,MATCH($D67,WBS_CBS!$A$5:$A$16,0)),""))</f>
        <v/>
      </c>
      <c r="AB67" s="149" t="n"/>
    </row>
    <row r="68">
      <c r="A68" s="149" t="n"/>
      <c r="B68" s="149" t="n"/>
      <c r="C68" s="150">
        <f>IF($D68="","",IFERROR(INDEX(WBS_CBS!$E$5:$E$16,MATCH($D68,WBS_CBS!$A$5:$A$16,0)),""))</f>
        <v/>
      </c>
      <c r="D68" s="149" t="n"/>
      <c r="E68" s="150">
        <f>IF($D68="","",IFERROR(INDEX(WBS_CBS!$C$5:$C$16,MATCH($D68,WBS_CBS!$A$5:$A$16,0)),""))</f>
        <v/>
      </c>
      <c r="F68" s="150">
        <f>IF($D68="","",IFERROR(INDEX(WBS_CBS!$J$5:$J$16,MATCH($D68,WBS_CBS!$A$5:$A$16,0)),""))</f>
        <v/>
      </c>
      <c r="G68" s="149" t="n"/>
      <c r="H68" s="151" t="n"/>
      <c r="I68" s="149" t="n"/>
      <c r="J68" s="152" t="n"/>
      <c r="K68" s="149" t="n"/>
      <c r="L68" s="153">
        <f>IF($K68="","",IFERROR(INDEX(FX_Rates!$B$5:$B$14,MATCH($K68,FX_Rates!$A$5:$A$14,0)),""))</f>
        <v/>
      </c>
      <c r="M68" s="153">
        <f>IF(OR($H68="",$J68=""),"",$H68*$J68)</f>
        <v/>
      </c>
      <c r="N68" s="153">
        <f>IF(OR($M68="",$L68=""),"",$M68*$L68)</f>
        <v/>
      </c>
      <c r="O68" s="149" t="n"/>
      <c r="P68" s="154">
        <f>IF($O68="","",IFERROR(INDEX(Basis_of_Estimate!$C$5:$C$9,MATCH($O68,Basis_of_Estimate!$A$5:$A$9,0)),""))</f>
        <v/>
      </c>
      <c r="Q68" s="154">
        <f>IF($O68="","",IFERROR(INDEX(Basis_of_Estimate!$D$5:$D$9,MATCH($O68,Basis_of_Estimate!$A$5:$A$9,0)),""))</f>
        <v/>
      </c>
      <c r="R68" s="153">
        <f>IF($N68="","",$N68*(1+$P68))</f>
        <v/>
      </c>
      <c r="S68" s="153">
        <f>IF($N68="","",$N68)</f>
        <v/>
      </c>
      <c r="T68" s="153">
        <f>IF($N68="","",$N68*(1+$Q68))</f>
        <v/>
      </c>
      <c r="U68" s="150">
        <f>IF($D68="","",IFERROR(INDEX(WBS_CBS!$M$5:$M$16,MATCH($D68,WBS_CBS!$A$5:$A$16,0)),"Yes"))</f>
        <v/>
      </c>
      <c r="V68" s="150">
        <f>IF($D68="","",IFERROR(INDEX(WBS_CBS!$N$5:$N$16,MATCH($D68,WBS_CBS!$A$5:$A$16,0)),"Yes"))</f>
        <v/>
      </c>
      <c r="W68" s="150">
        <f>IF($D68="","",IFERROR(INDEX(WBS_CBS!$K$5:$K$16,MATCH($D68,WBS_CBS!$A$5:$A$16,0)),""))</f>
        <v/>
      </c>
      <c r="X68" s="150">
        <f>IF($D68="","",IFERROR(INDEX(WBS_CBS!$F$5:$F$16,MATCH($D68,WBS_CBS!$A$5:$A$16,0)),""))</f>
        <v/>
      </c>
      <c r="Y68" s="149" t="n"/>
      <c r="Z68" s="149" t="n"/>
      <c r="AA68" s="150">
        <f>IF($D68="","",IFERROR(INDEX(WBS_CBS!$L$5:$L$16,MATCH($D68,WBS_CBS!$A$5:$A$16,0)),""))</f>
        <v/>
      </c>
      <c r="AB68" s="149" t="n"/>
    </row>
    <row r="69">
      <c r="A69" s="149" t="n"/>
      <c r="B69" s="149" t="n"/>
      <c r="C69" s="150">
        <f>IF($D69="","",IFERROR(INDEX(WBS_CBS!$E$5:$E$16,MATCH($D69,WBS_CBS!$A$5:$A$16,0)),""))</f>
        <v/>
      </c>
      <c r="D69" s="149" t="n"/>
      <c r="E69" s="150">
        <f>IF($D69="","",IFERROR(INDEX(WBS_CBS!$C$5:$C$16,MATCH($D69,WBS_CBS!$A$5:$A$16,0)),""))</f>
        <v/>
      </c>
      <c r="F69" s="150">
        <f>IF($D69="","",IFERROR(INDEX(WBS_CBS!$J$5:$J$16,MATCH($D69,WBS_CBS!$A$5:$A$16,0)),""))</f>
        <v/>
      </c>
      <c r="G69" s="149" t="n"/>
      <c r="H69" s="151" t="n"/>
      <c r="I69" s="149" t="n"/>
      <c r="J69" s="152" t="n"/>
      <c r="K69" s="149" t="n"/>
      <c r="L69" s="153">
        <f>IF($K69="","",IFERROR(INDEX(FX_Rates!$B$5:$B$14,MATCH($K69,FX_Rates!$A$5:$A$14,0)),""))</f>
        <v/>
      </c>
      <c r="M69" s="153">
        <f>IF(OR($H69="",$J69=""),"",$H69*$J69)</f>
        <v/>
      </c>
      <c r="N69" s="153">
        <f>IF(OR($M69="",$L69=""),"",$M69*$L69)</f>
        <v/>
      </c>
      <c r="O69" s="149" t="n"/>
      <c r="P69" s="154">
        <f>IF($O69="","",IFERROR(INDEX(Basis_of_Estimate!$C$5:$C$9,MATCH($O69,Basis_of_Estimate!$A$5:$A$9,0)),""))</f>
        <v/>
      </c>
      <c r="Q69" s="154">
        <f>IF($O69="","",IFERROR(INDEX(Basis_of_Estimate!$D$5:$D$9,MATCH($O69,Basis_of_Estimate!$A$5:$A$9,0)),""))</f>
        <v/>
      </c>
      <c r="R69" s="153">
        <f>IF($N69="","",$N69*(1+$P69))</f>
        <v/>
      </c>
      <c r="S69" s="153">
        <f>IF($N69="","",$N69)</f>
        <v/>
      </c>
      <c r="T69" s="153">
        <f>IF($N69="","",$N69*(1+$Q69))</f>
        <v/>
      </c>
      <c r="U69" s="150">
        <f>IF($D69="","",IFERROR(INDEX(WBS_CBS!$M$5:$M$16,MATCH($D69,WBS_CBS!$A$5:$A$16,0)),"Yes"))</f>
        <v/>
      </c>
      <c r="V69" s="150">
        <f>IF($D69="","",IFERROR(INDEX(WBS_CBS!$N$5:$N$16,MATCH($D69,WBS_CBS!$A$5:$A$16,0)),"Yes"))</f>
        <v/>
      </c>
      <c r="W69" s="150">
        <f>IF($D69="","",IFERROR(INDEX(WBS_CBS!$K$5:$K$16,MATCH($D69,WBS_CBS!$A$5:$A$16,0)),""))</f>
        <v/>
      </c>
      <c r="X69" s="150">
        <f>IF($D69="","",IFERROR(INDEX(WBS_CBS!$F$5:$F$16,MATCH($D69,WBS_CBS!$A$5:$A$16,0)),""))</f>
        <v/>
      </c>
      <c r="Y69" s="149" t="n"/>
      <c r="Z69" s="149" t="n"/>
      <c r="AA69" s="150">
        <f>IF($D69="","",IFERROR(INDEX(WBS_CBS!$L$5:$L$16,MATCH($D69,WBS_CBS!$A$5:$A$16,0)),""))</f>
        <v/>
      </c>
      <c r="AB69" s="149" t="n"/>
    </row>
    <row r="70">
      <c r="A70" s="149" t="n"/>
      <c r="B70" s="149" t="n"/>
      <c r="C70" s="150">
        <f>IF($D70="","",IFERROR(INDEX(WBS_CBS!$E$5:$E$16,MATCH($D70,WBS_CBS!$A$5:$A$16,0)),""))</f>
        <v/>
      </c>
      <c r="D70" s="149" t="n"/>
      <c r="E70" s="150">
        <f>IF($D70="","",IFERROR(INDEX(WBS_CBS!$C$5:$C$16,MATCH($D70,WBS_CBS!$A$5:$A$16,0)),""))</f>
        <v/>
      </c>
      <c r="F70" s="150">
        <f>IF($D70="","",IFERROR(INDEX(WBS_CBS!$J$5:$J$16,MATCH($D70,WBS_CBS!$A$5:$A$16,0)),""))</f>
        <v/>
      </c>
      <c r="G70" s="149" t="n"/>
      <c r="H70" s="151" t="n"/>
      <c r="I70" s="149" t="n"/>
      <c r="J70" s="152" t="n"/>
      <c r="K70" s="149" t="n"/>
      <c r="L70" s="153">
        <f>IF($K70="","",IFERROR(INDEX(FX_Rates!$B$5:$B$14,MATCH($K70,FX_Rates!$A$5:$A$14,0)),""))</f>
        <v/>
      </c>
      <c r="M70" s="153">
        <f>IF(OR($H70="",$J70=""),"",$H70*$J70)</f>
        <v/>
      </c>
      <c r="N70" s="153">
        <f>IF(OR($M70="",$L70=""),"",$M70*$L70)</f>
        <v/>
      </c>
      <c r="O70" s="149" t="n"/>
      <c r="P70" s="154">
        <f>IF($O70="","",IFERROR(INDEX(Basis_of_Estimate!$C$5:$C$9,MATCH($O70,Basis_of_Estimate!$A$5:$A$9,0)),""))</f>
        <v/>
      </c>
      <c r="Q70" s="154">
        <f>IF($O70="","",IFERROR(INDEX(Basis_of_Estimate!$D$5:$D$9,MATCH($O70,Basis_of_Estimate!$A$5:$A$9,0)),""))</f>
        <v/>
      </c>
      <c r="R70" s="153">
        <f>IF($N70="","",$N70*(1+$P70))</f>
        <v/>
      </c>
      <c r="S70" s="153">
        <f>IF($N70="","",$N70)</f>
        <v/>
      </c>
      <c r="T70" s="153">
        <f>IF($N70="","",$N70*(1+$Q70))</f>
        <v/>
      </c>
      <c r="U70" s="150">
        <f>IF($D70="","",IFERROR(INDEX(WBS_CBS!$M$5:$M$16,MATCH($D70,WBS_CBS!$A$5:$A$16,0)),"Yes"))</f>
        <v/>
      </c>
      <c r="V70" s="150">
        <f>IF($D70="","",IFERROR(INDEX(WBS_CBS!$N$5:$N$16,MATCH($D70,WBS_CBS!$A$5:$A$16,0)),"Yes"))</f>
        <v/>
      </c>
      <c r="W70" s="150">
        <f>IF($D70="","",IFERROR(INDEX(WBS_CBS!$K$5:$K$16,MATCH($D70,WBS_CBS!$A$5:$A$16,0)),""))</f>
        <v/>
      </c>
      <c r="X70" s="150">
        <f>IF($D70="","",IFERROR(INDEX(WBS_CBS!$F$5:$F$16,MATCH($D70,WBS_CBS!$A$5:$A$16,0)),""))</f>
        <v/>
      </c>
      <c r="Y70" s="149" t="n"/>
      <c r="Z70" s="149" t="n"/>
      <c r="AA70" s="150">
        <f>IF($D70="","",IFERROR(INDEX(WBS_CBS!$L$5:$L$16,MATCH($D70,WBS_CBS!$A$5:$A$16,0)),""))</f>
        <v/>
      </c>
      <c r="AB70" s="149" t="n"/>
    </row>
    <row r="71">
      <c r="A71" s="149" t="n"/>
      <c r="B71" s="149" t="n"/>
      <c r="C71" s="150">
        <f>IF($D71="","",IFERROR(INDEX(WBS_CBS!$E$5:$E$16,MATCH($D71,WBS_CBS!$A$5:$A$16,0)),""))</f>
        <v/>
      </c>
      <c r="D71" s="149" t="n"/>
      <c r="E71" s="150">
        <f>IF($D71="","",IFERROR(INDEX(WBS_CBS!$C$5:$C$16,MATCH($D71,WBS_CBS!$A$5:$A$16,0)),""))</f>
        <v/>
      </c>
      <c r="F71" s="150">
        <f>IF($D71="","",IFERROR(INDEX(WBS_CBS!$J$5:$J$16,MATCH($D71,WBS_CBS!$A$5:$A$16,0)),""))</f>
        <v/>
      </c>
      <c r="G71" s="149" t="n"/>
      <c r="H71" s="151" t="n"/>
      <c r="I71" s="149" t="n"/>
      <c r="J71" s="152" t="n"/>
      <c r="K71" s="149" t="n"/>
      <c r="L71" s="153">
        <f>IF($K71="","",IFERROR(INDEX(FX_Rates!$B$5:$B$14,MATCH($K71,FX_Rates!$A$5:$A$14,0)),""))</f>
        <v/>
      </c>
      <c r="M71" s="153">
        <f>IF(OR($H71="",$J71=""),"",$H71*$J71)</f>
        <v/>
      </c>
      <c r="N71" s="153">
        <f>IF(OR($M71="",$L71=""),"",$M71*$L71)</f>
        <v/>
      </c>
      <c r="O71" s="149" t="n"/>
      <c r="P71" s="154">
        <f>IF($O71="","",IFERROR(INDEX(Basis_of_Estimate!$C$5:$C$9,MATCH($O71,Basis_of_Estimate!$A$5:$A$9,0)),""))</f>
        <v/>
      </c>
      <c r="Q71" s="154">
        <f>IF($O71="","",IFERROR(INDEX(Basis_of_Estimate!$D$5:$D$9,MATCH($O71,Basis_of_Estimate!$A$5:$A$9,0)),""))</f>
        <v/>
      </c>
      <c r="R71" s="153">
        <f>IF($N71="","",$N71*(1+$P71))</f>
        <v/>
      </c>
      <c r="S71" s="153">
        <f>IF($N71="","",$N71)</f>
        <v/>
      </c>
      <c r="T71" s="153">
        <f>IF($N71="","",$N71*(1+$Q71))</f>
        <v/>
      </c>
      <c r="U71" s="150">
        <f>IF($D71="","",IFERROR(INDEX(WBS_CBS!$M$5:$M$16,MATCH($D71,WBS_CBS!$A$5:$A$16,0)),"Yes"))</f>
        <v/>
      </c>
      <c r="V71" s="150">
        <f>IF($D71="","",IFERROR(INDEX(WBS_CBS!$N$5:$N$16,MATCH($D71,WBS_CBS!$A$5:$A$16,0)),"Yes"))</f>
        <v/>
      </c>
      <c r="W71" s="150">
        <f>IF($D71="","",IFERROR(INDEX(WBS_CBS!$K$5:$K$16,MATCH($D71,WBS_CBS!$A$5:$A$16,0)),""))</f>
        <v/>
      </c>
      <c r="X71" s="150">
        <f>IF($D71="","",IFERROR(INDEX(WBS_CBS!$F$5:$F$16,MATCH($D71,WBS_CBS!$A$5:$A$16,0)),""))</f>
        <v/>
      </c>
      <c r="Y71" s="149" t="n"/>
      <c r="Z71" s="149" t="n"/>
      <c r="AA71" s="150">
        <f>IF($D71="","",IFERROR(INDEX(WBS_CBS!$L$5:$L$16,MATCH($D71,WBS_CBS!$A$5:$A$16,0)),""))</f>
        <v/>
      </c>
      <c r="AB71" s="149" t="n"/>
    </row>
    <row r="72">
      <c r="A72" s="149" t="n"/>
      <c r="B72" s="149" t="n"/>
      <c r="C72" s="150">
        <f>IF($D72="","",IFERROR(INDEX(WBS_CBS!$E$5:$E$16,MATCH($D72,WBS_CBS!$A$5:$A$16,0)),""))</f>
        <v/>
      </c>
      <c r="D72" s="149" t="n"/>
      <c r="E72" s="150">
        <f>IF($D72="","",IFERROR(INDEX(WBS_CBS!$C$5:$C$16,MATCH($D72,WBS_CBS!$A$5:$A$16,0)),""))</f>
        <v/>
      </c>
      <c r="F72" s="150">
        <f>IF($D72="","",IFERROR(INDEX(WBS_CBS!$J$5:$J$16,MATCH($D72,WBS_CBS!$A$5:$A$16,0)),""))</f>
        <v/>
      </c>
      <c r="G72" s="149" t="n"/>
      <c r="H72" s="151" t="n"/>
      <c r="I72" s="149" t="n"/>
      <c r="J72" s="152" t="n"/>
      <c r="K72" s="149" t="n"/>
      <c r="L72" s="153">
        <f>IF($K72="","",IFERROR(INDEX(FX_Rates!$B$5:$B$14,MATCH($K72,FX_Rates!$A$5:$A$14,0)),""))</f>
        <v/>
      </c>
      <c r="M72" s="153">
        <f>IF(OR($H72="",$J72=""),"",$H72*$J72)</f>
        <v/>
      </c>
      <c r="N72" s="153">
        <f>IF(OR($M72="",$L72=""),"",$M72*$L72)</f>
        <v/>
      </c>
      <c r="O72" s="149" t="n"/>
      <c r="P72" s="154">
        <f>IF($O72="","",IFERROR(INDEX(Basis_of_Estimate!$C$5:$C$9,MATCH($O72,Basis_of_Estimate!$A$5:$A$9,0)),""))</f>
        <v/>
      </c>
      <c r="Q72" s="154">
        <f>IF($O72="","",IFERROR(INDEX(Basis_of_Estimate!$D$5:$D$9,MATCH($O72,Basis_of_Estimate!$A$5:$A$9,0)),""))</f>
        <v/>
      </c>
      <c r="R72" s="153">
        <f>IF($N72="","",$N72*(1+$P72))</f>
        <v/>
      </c>
      <c r="S72" s="153">
        <f>IF($N72="","",$N72)</f>
        <v/>
      </c>
      <c r="T72" s="153">
        <f>IF($N72="","",$N72*(1+$Q72))</f>
        <v/>
      </c>
      <c r="U72" s="150">
        <f>IF($D72="","",IFERROR(INDEX(WBS_CBS!$M$5:$M$16,MATCH($D72,WBS_CBS!$A$5:$A$16,0)),"Yes"))</f>
        <v/>
      </c>
      <c r="V72" s="150">
        <f>IF($D72="","",IFERROR(INDEX(WBS_CBS!$N$5:$N$16,MATCH($D72,WBS_CBS!$A$5:$A$16,0)),"Yes"))</f>
        <v/>
      </c>
      <c r="W72" s="150">
        <f>IF($D72="","",IFERROR(INDEX(WBS_CBS!$K$5:$K$16,MATCH($D72,WBS_CBS!$A$5:$A$16,0)),""))</f>
        <v/>
      </c>
      <c r="X72" s="150">
        <f>IF($D72="","",IFERROR(INDEX(WBS_CBS!$F$5:$F$16,MATCH($D72,WBS_CBS!$A$5:$A$16,0)),""))</f>
        <v/>
      </c>
      <c r="Y72" s="149" t="n"/>
      <c r="Z72" s="149" t="n"/>
      <c r="AA72" s="150">
        <f>IF($D72="","",IFERROR(INDEX(WBS_CBS!$L$5:$L$16,MATCH($D72,WBS_CBS!$A$5:$A$16,0)),""))</f>
        <v/>
      </c>
      <c r="AB72" s="149" t="n"/>
    </row>
    <row r="73">
      <c r="A73" s="149" t="n"/>
      <c r="B73" s="149" t="n"/>
      <c r="C73" s="150">
        <f>IF($D73="","",IFERROR(INDEX(WBS_CBS!$E$5:$E$16,MATCH($D73,WBS_CBS!$A$5:$A$16,0)),""))</f>
        <v/>
      </c>
      <c r="D73" s="149" t="n"/>
      <c r="E73" s="150">
        <f>IF($D73="","",IFERROR(INDEX(WBS_CBS!$C$5:$C$16,MATCH($D73,WBS_CBS!$A$5:$A$16,0)),""))</f>
        <v/>
      </c>
      <c r="F73" s="150">
        <f>IF($D73="","",IFERROR(INDEX(WBS_CBS!$J$5:$J$16,MATCH($D73,WBS_CBS!$A$5:$A$16,0)),""))</f>
        <v/>
      </c>
      <c r="G73" s="149" t="n"/>
      <c r="H73" s="151" t="n"/>
      <c r="I73" s="149" t="n"/>
      <c r="J73" s="152" t="n"/>
      <c r="K73" s="149" t="n"/>
      <c r="L73" s="153">
        <f>IF($K73="","",IFERROR(INDEX(FX_Rates!$B$5:$B$14,MATCH($K73,FX_Rates!$A$5:$A$14,0)),""))</f>
        <v/>
      </c>
      <c r="M73" s="153">
        <f>IF(OR($H73="",$J73=""),"",$H73*$J73)</f>
        <v/>
      </c>
      <c r="N73" s="153">
        <f>IF(OR($M73="",$L73=""),"",$M73*$L73)</f>
        <v/>
      </c>
      <c r="O73" s="149" t="n"/>
      <c r="P73" s="154">
        <f>IF($O73="","",IFERROR(INDEX(Basis_of_Estimate!$C$5:$C$9,MATCH($O73,Basis_of_Estimate!$A$5:$A$9,0)),""))</f>
        <v/>
      </c>
      <c r="Q73" s="154">
        <f>IF($O73="","",IFERROR(INDEX(Basis_of_Estimate!$D$5:$D$9,MATCH($O73,Basis_of_Estimate!$A$5:$A$9,0)),""))</f>
        <v/>
      </c>
      <c r="R73" s="153">
        <f>IF($N73="","",$N73*(1+$P73))</f>
        <v/>
      </c>
      <c r="S73" s="153">
        <f>IF($N73="","",$N73)</f>
        <v/>
      </c>
      <c r="T73" s="153">
        <f>IF($N73="","",$N73*(1+$Q73))</f>
        <v/>
      </c>
      <c r="U73" s="150">
        <f>IF($D73="","",IFERROR(INDEX(WBS_CBS!$M$5:$M$16,MATCH($D73,WBS_CBS!$A$5:$A$16,0)),"Yes"))</f>
        <v/>
      </c>
      <c r="V73" s="150">
        <f>IF($D73="","",IFERROR(INDEX(WBS_CBS!$N$5:$N$16,MATCH($D73,WBS_CBS!$A$5:$A$16,0)),"Yes"))</f>
        <v/>
      </c>
      <c r="W73" s="150">
        <f>IF($D73="","",IFERROR(INDEX(WBS_CBS!$K$5:$K$16,MATCH($D73,WBS_CBS!$A$5:$A$16,0)),""))</f>
        <v/>
      </c>
      <c r="X73" s="150">
        <f>IF($D73="","",IFERROR(INDEX(WBS_CBS!$F$5:$F$16,MATCH($D73,WBS_CBS!$A$5:$A$16,0)),""))</f>
        <v/>
      </c>
      <c r="Y73" s="149" t="n"/>
      <c r="Z73" s="149" t="n"/>
      <c r="AA73" s="150">
        <f>IF($D73="","",IFERROR(INDEX(WBS_CBS!$L$5:$L$16,MATCH($D73,WBS_CBS!$A$5:$A$16,0)),""))</f>
        <v/>
      </c>
      <c r="AB73" s="149" t="n"/>
    </row>
    <row r="74">
      <c r="A74" s="149" t="n"/>
      <c r="B74" s="149" t="n"/>
      <c r="C74" s="150">
        <f>IF($D74="","",IFERROR(INDEX(WBS_CBS!$E$5:$E$16,MATCH($D74,WBS_CBS!$A$5:$A$16,0)),""))</f>
        <v/>
      </c>
      <c r="D74" s="149" t="n"/>
      <c r="E74" s="150">
        <f>IF($D74="","",IFERROR(INDEX(WBS_CBS!$C$5:$C$16,MATCH($D74,WBS_CBS!$A$5:$A$16,0)),""))</f>
        <v/>
      </c>
      <c r="F74" s="150">
        <f>IF($D74="","",IFERROR(INDEX(WBS_CBS!$J$5:$J$16,MATCH($D74,WBS_CBS!$A$5:$A$16,0)),""))</f>
        <v/>
      </c>
      <c r="G74" s="149" t="n"/>
      <c r="H74" s="151" t="n"/>
      <c r="I74" s="149" t="n"/>
      <c r="J74" s="152" t="n"/>
      <c r="K74" s="149" t="n"/>
      <c r="L74" s="153">
        <f>IF($K74="","",IFERROR(INDEX(FX_Rates!$B$5:$B$14,MATCH($K74,FX_Rates!$A$5:$A$14,0)),""))</f>
        <v/>
      </c>
      <c r="M74" s="153">
        <f>IF(OR($H74="",$J74=""),"",$H74*$J74)</f>
        <v/>
      </c>
      <c r="N74" s="153">
        <f>IF(OR($M74="",$L74=""),"",$M74*$L74)</f>
        <v/>
      </c>
      <c r="O74" s="149" t="n"/>
      <c r="P74" s="154">
        <f>IF($O74="","",IFERROR(INDEX(Basis_of_Estimate!$C$5:$C$9,MATCH($O74,Basis_of_Estimate!$A$5:$A$9,0)),""))</f>
        <v/>
      </c>
      <c r="Q74" s="154">
        <f>IF($O74="","",IFERROR(INDEX(Basis_of_Estimate!$D$5:$D$9,MATCH($O74,Basis_of_Estimate!$A$5:$A$9,0)),""))</f>
        <v/>
      </c>
      <c r="R74" s="153">
        <f>IF($N74="","",$N74*(1+$P74))</f>
        <v/>
      </c>
      <c r="S74" s="153">
        <f>IF($N74="","",$N74)</f>
        <v/>
      </c>
      <c r="T74" s="153">
        <f>IF($N74="","",$N74*(1+$Q74))</f>
        <v/>
      </c>
      <c r="U74" s="150">
        <f>IF($D74="","",IFERROR(INDEX(WBS_CBS!$M$5:$M$16,MATCH($D74,WBS_CBS!$A$5:$A$16,0)),"Yes"))</f>
        <v/>
      </c>
      <c r="V74" s="150">
        <f>IF($D74="","",IFERROR(INDEX(WBS_CBS!$N$5:$N$16,MATCH($D74,WBS_CBS!$A$5:$A$16,0)),"Yes"))</f>
        <v/>
      </c>
      <c r="W74" s="150">
        <f>IF($D74="","",IFERROR(INDEX(WBS_CBS!$K$5:$K$16,MATCH($D74,WBS_CBS!$A$5:$A$16,0)),""))</f>
        <v/>
      </c>
      <c r="X74" s="150">
        <f>IF($D74="","",IFERROR(INDEX(WBS_CBS!$F$5:$F$16,MATCH($D74,WBS_CBS!$A$5:$A$16,0)),""))</f>
        <v/>
      </c>
      <c r="Y74" s="149" t="n"/>
      <c r="Z74" s="149" t="n"/>
      <c r="AA74" s="150">
        <f>IF($D74="","",IFERROR(INDEX(WBS_CBS!$L$5:$L$16,MATCH($D74,WBS_CBS!$A$5:$A$16,0)),""))</f>
        <v/>
      </c>
      <c r="AB74" s="149" t="n"/>
    </row>
    <row r="75">
      <c r="A75" s="149" t="n"/>
      <c r="B75" s="149" t="n"/>
      <c r="C75" s="150">
        <f>IF($D75="","",IFERROR(INDEX(WBS_CBS!$E$5:$E$16,MATCH($D75,WBS_CBS!$A$5:$A$16,0)),""))</f>
        <v/>
      </c>
      <c r="D75" s="149" t="n"/>
      <c r="E75" s="150">
        <f>IF($D75="","",IFERROR(INDEX(WBS_CBS!$C$5:$C$16,MATCH($D75,WBS_CBS!$A$5:$A$16,0)),""))</f>
        <v/>
      </c>
      <c r="F75" s="150">
        <f>IF($D75="","",IFERROR(INDEX(WBS_CBS!$J$5:$J$16,MATCH($D75,WBS_CBS!$A$5:$A$16,0)),""))</f>
        <v/>
      </c>
      <c r="G75" s="149" t="n"/>
      <c r="H75" s="151" t="n"/>
      <c r="I75" s="149" t="n"/>
      <c r="J75" s="152" t="n"/>
      <c r="K75" s="149" t="n"/>
      <c r="L75" s="153">
        <f>IF($K75="","",IFERROR(INDEX(FX_Rates!$B$5:$B$14,MATCH($K75,FX_Rates!$A$5:$A$14,0)),""))</f>
        <v/>
      </c>
      <c r="M75" s="153">
        <f>IF(OR($H75="",$J75=""),"",$H75*$J75)</f>
        <v/>
      </c>
      <c r="N75" s="153">
        <f>IF(OR($M75="",$L75=""),"",$M75*$L75)</f>
        <v/>
      </c>
      <c r="O75" s="149" t="n"/>
      <c r="P75" s="154">
        <f>IF($O75="","",IFERROR(INDEX(Basis_of_Estimate!$C$5:$C$9,MATCH($O75,Basis_of_Estimate!$A$5:$A$9,0)),""))</f>
        <v/>
      </c>
      <c r="Q75" s="154">
        <f>IF($O75="","",IFERROR(INDEX(Basis_of_Estimate!$D$5:$D$9,MATCH($O75,Basis_of_Estimate!$A$5:$A$9,0)),""))</f>
        <v/>
      </c>
      <c r="R75" s="153">
        <f>IF($N75="","",$N75*(1+$P75))</f>
        <v/>
      </c>
      <c r="S75" s="153">
        <f>IF($N75="","",$N75)</f>
        <v/>
      </c>
      <c r="T75" s="153">
        <f>IF($N75="","",$N75*(1+$Q75))</f>
        <v/>
      </c>
      <c r="U75" s="150">
        <f>IF($D75="","",IFERROR(INDEX(WBS_CBS!$M$5:$M$16,MATCH($D75,WBS_CBS!$A$5:$A$16,0)),"Yes"))</f>
        <v/>
      </c>
      <c r="V75" s="150">
        <f>IF($D75="","",IFERROR(INDEX(WBS_CBS!$N$5:$N$16,MATCH($D75,WBS_CBS!$A$5:$A$16,0)),"Yes"))</f>
        <v/>
      </c>
      <c r="W75" s="150">
        <f>IF($D75="","",IFERROR(INDEX(WBS_CBS!$K$5:$K$16,MATCH($D75,WBS_CBS!$A$5:$A$16,0)),""))</f>
        <v/>
      </c>
      <c r="X75" s="150">
        <f>IF($D75="","",IFERROR(INDEX(WBS_CBS!$F$5:$F$16,MATCH($D75,WBS_CBS!$A$5:$A$16,0)),""))</f>
        <v/>
      </c>
      <c r="Y75" s="149" t="n"/>
      <c r="Z75" s="149" t="n"/>
      <c r="AA75" s="150">
        <f>IF($D75="","",IFERROR(INDEX(WBS_CBS!$L$5:$L$16,MATCH($D75,WBS_CBS!$A$5:$A$16,0)),""))</f>
        <v/>
      </c>
      <c r="AB75" s="149" t="n"/>
    </row>
    <row r="76">
      <c r="A76" s="149" t="n"/>
      <c r="B76" s="149" t="n"/>
      <c r="C76" s="150">
        <f>IF($D76="","",IFERROR(INDEX(WBS_CBS!$E$5:$E$16,MATCH($D76,WBS_CBS!$A$5:$A$16,0)),""))</f>
        <v/>
      </c>
      <c r="D76" s="149" t="n"/>
      <c r="E76" s="150">
        <f>IF($D76="","",IFERROR(INDEX(WBS_CBS!$C$5:$C$16,MATCH($D76,WBS_CBS!$A$5:$A$16,0)),""))</f>
        <v/>
      </c>
      <c r="F76" s="150">
        <f>IF($D76="","",IFERROR(INDEX(WBS_CBS!$J$5:$J$16,MATCH($D76,WBS_CBS!$A$5:$A$16,0)),""))</f>
        <v/>
      </c>
      <c r="G76" s="149" t="n"/>
      <c r="H76" s="151" t="n"/>
      <c r="I76" s="149" t="n"/>
      <c r="J76" s="152" t="n"/>
      <c r="K76" s="149" t="n"/>
      <c r="L76" s="153">
        <f>IF($K76="","",IFERROR(INDEX(FX_Rates!$B$5:$B$14,MATCH($K76,FX_Rates!$A$5:$A$14,0)),""))</f>
        <v/>
      </c>
      <c r="M76" s="153">
        <f>IF(OR($H76="",$J76=""),"",$H76*$J76)</f>
        <v/>
      </c>
      <c r="N76" s="153">
        <f>IF(OR($M76="",$L76=""),"",$M76*$L76)</f>
        <v/>
      </c>
      <c r="O76" s="149" t="n"/>
      <c r="P76" s="154">
        <f>IF($O76="","",IFERROR(INDEX(Basis_of_Estimate!$C$5:$C$9,MATCH($O76,Basis_of_Estimate!$A$5:$A$9,0)),""))</f>
        <v/>
      </c>
      <c r="Q76" s="154">
        <f>IF($O76="","",IFERROR(INDEX(Basis_of_Estimate!$D$5:$D$9,MATCH($O76,Basis_of_Estimate!$A$5:$A$9,0)),""))</f>
        <v/>
      </c>
      <c r="R76" s="153">
        <f>IF($N76="","",$N76*(1+$P76))</f>
        <v/>
      </c>
      <c r="S76" s="153">
        <f>IF($N76="","",$N76)</f>
        <v/>
      </c>
      <c r="T76" s="153">
        <f>IF($N76="","",$N76*(1+$Q76))</f>
        <v/>
      </c>
      <c r="U76" s="150">
        <f>IF($D76="","",IFERROR(INDEX(WBS_CBS!$M$5:$M$16,MATCH($D76,WBS_CBS!$A$5:$A$16,0)),"Yes"))</f>
        <v/>
      </c>
      <c r="V76" s="150">
        <f>IF($D76="","",IFERROR(INDEX(WBS_CBS!$N$5:$N$16,MATCH($D76,WBS_CBS!$A$5:$A$16,0)),"Yes"))</f>
        <v/>
      </c>
      <c r="W76" s="150">
        <f>IF($D76="","",IFERROR(INDEX(WBS_CBS!$K$5:$K$16,MATCH($D76,WBS_CBS!$A$5:$A$16,0)),""))</f>
        <v/>
      </c>
      <c r="X76" s="150">
        <f>IF($D76="","",IFERROR(INDEX(WBS_CBS!$F$5:$F$16,MATCH($D76,WBS_CBS!$A$5:$A$16,0)),""))</f>
        <v/>
      </c>
      <c r="Y76" s="149" t="n"/>
      <c r="Z76" s="149" t="n"/>
      <c r="AA76" s="150">
        <f>IF($D76="","",IFERROR(INDEX(WBS_CBS!$L$5:$L$16,MATCH($D76,WBS_CBS!$A$5:$A$16,0)),""))</f>
        <v/>
      </c>
      <c r="AB76" s="149" t="n"/>
    </row>
    <row r="77">
      <c r="A77" s="149" t="n"/>
      <c r="B77" s="149" t="n"/>
      <c r="C77" s="150">
        <f>IF($D77="","",IFERROR(INDEX(WBS_CBS!$E$5:$E$16,MATCH($D77,WBS_CBS!$A$5:$A$16,0)),""))</f>
        <v/>
      </c>
      <c r="D77" s="149" t="n"/>
      <c r="E77" s="150">
        <f>IF($D77="","",IFERROR(INDEX(WBS_CBS!$C$5:$C$16,MATCH($D77,WBS_CBS!$A$5:$A$16,0)),""))</f>
        <v/>
      </c>
      <c r="F77" s="150">
        <f>IF($D77="","",IFERROR(INDEX(WBS_CBS!$J$5:$J$16,MATCH($D77,WBS_CBS!$A$5:$A$16,0)),""))</f>
        <v/>
      </c>
      <c r="G77" s="149" t="n"/>
      <c r="H77" s="151" t="n"/>
      <c r="I77" s="149" t="n"/>
      <c r="J77" s="152" t="n"/>
      <c r="K77" s="149" t="n"/>
      <c r="L77" s="153">
        <f>IF($K77="","",IFERROR(INDEX(FX_Rates!$B$5:$B$14,MATCH($K77,FX_Rates!$A$5:$A$14,0)),""))</f>
        <v/>
      </c>
      <c r="M77" s="153">
        <f>IF(OR($H77="",$J77=""),"",$H77*$J77)</f>
        <v/>
      </c>
      <c r="N77" s="153">
        <f>IF(OR($M77="",$L77=""),"",$M77*$L77)</f>
        <v/>
      </c>
      <c r="O77" s="149" t="n"/>
      <c r="P77" s="154">
        <f>IF($O77="","",IFERROR(INDEX(Basis_of_Estimate!$C$5:$C$9,MATCH($O77,Basis_of_Estimate!$A$5:$A$9,0)),""))</f>
        <v/>
      </c>
      <c r="Q77" s="154">
        <f>IF($O77="","",IFERROR(INDEX(Basis_of_Estimate!$D$5:$D$9,MATCH($O77,Basis_of_Estimate!$A$5:$A$9,0)),""))</f>
        <v/>
      </c>
      <c r="R77" s="153">
        <f>IF($N77="","",$N77*(1+$P77))</f>
        <v/>
      </c>
      <c r="S77" s="153">
        <f>IF($N77="","",$N77)</f>
        <v/>
      </c>
      <c r="T77" s="153">
        <f>IF($N77="","",$N77*(1+$Q77))</f>
        <v/>
      </c>
      <c r="U77" s="150">
        <f>IF($D77="","",IFERROR(INDEX(WBS_CBS!$M$5:$M$16,MATCH($D77,WBS_CBS!$A$5:$A$16,0)),"Yes"))</f>
        <v/>
      </c>
      <c r="V77" s="150">
        <f>IF($D77="","",IFERROR(INDEX(WBS_CBS!$N$5:$N$16,MATCH($D77,WBS_CBS!$A$5:$A$16,0)),"Yes"))</f>
        <v/>
      </c>
      <c r="W77" s="150">
        <f>IF($D77="","",IFERROR(INDEX(WBS_CBS!$K$5:$K$16,MATCH($D77,WBS_CBS!$A$5:$A$16,0)),""))</f>
        <v/>
      </c>
      <c r="X77" s="150">
        <f>IF($D77="","",IFERROR(INDEX(WBS_CBS!$F$5:$F$16,MATCH($D77,WBS_CBS!$A$5:$A$16,0)),""))</f>
        <v/>
      </c>
      <c r="Y77" s="149" t="n"/>
      <c r="Z77" s="149" t="n"/>
      <c r="AA77" s="150">
        <f>IF($D77="","",IFERROR(INDEX(WBS_CBS!$L$5:$L$16,MATCH($D77,WBS_CBS!$A$5:$A$16,0)),""))</f>
        <v/>
      </c>
      <c r="AB77" s="149" t="n"/>
    </row>
    <row r="78">
      <c r="A78" s="149" t="n"/>
      <c r="B78" s="149" t="n"/>
      <c r="C78" s="150">
        <f>IF($D78="","",IFERROR(INDEX(WBS_CBS!$E$5:$E$16,MATCH($D78,WBS_CBS!$A$5:$A$16,0)),""))</f>
        <v/>
      </c>
      <c r="D78" s="149" t="n"/>
      <c r="E78" s="150">
        <f>IF($D78="","",IFERROR(INDEX(WBS_CBS!$C$5:$C$16,MATCH($D78,WBS_CBS!$A$5:$A$16,0)),""))</f>
        <v/>
      </c>
      <c r="F78" s="150">
        <f>IF($D78="","",IFERROR(INDEX(WBS_CBS!$J$5:$J$16,MATCH($D78,WBS_CBS!$A$5:$A$16,0)),""))</f>
        <v/>
      </c>
      <c r="G78" s="149" t="n"/>
      <c r="H78" s="151" t="n"/>
      <c r="I78" s="149" t="n"/>
      <c r="J78" s="152" t="n"/>
      <c r="K78" s="149" t="n"/>
      <c r="L78" s="153">
        <f>IF($K78="","",IFERROR(INDEX(FX_Rates!$B$5:$B$14,MATCH($K78,FX_Rates!$A$5:$A$14,0)),""))</f>
        <v/>
      </c>
      <c r="M78" s="153">
        <f>IF(OR($H78="",$J78=""),"",$H78*$J78)</f>
        <v/>
      </c>
      <c r="N78" s="153">
        <f>IF(OR($M78="",$L78=""),"",$M78*$L78)</f>
        <v/>
      </c>
      <c r="O78" s="149" t="n"/>
      <c r="P78" s="154">
        <f>IF($O78="","",IFERROR(INDEX(Basis_of_Estimate!$C$5:$C$9,MATCH($O78,Basis_of_Estimate!$A$5:$A$9,0)),""))</f>
        <v/>
      </c>
      <c r="Q78" s="154">
        <f>IF($O78="","",IFERROR(INDEX(Basis_of_Estimate!$D$5:$D$9,MATCH($O78,Basis_of_Estimate!$A$5:$A$9,0)),""))</f>
        <v/>
      </c>
      <c r="R78" s="153">
        <f>IF($N78="","",$N78*(1+$P78))</f>
        <v/>
      </c>
      <c r="S78" s="153">
        <f>IF($N78="","",$N78)</f>
        <v/>
      </c>
      <c r="T78" s="153">
        <f>IF($N78="","",$N78*(1+$Q78))</f>
        <v/>
      </c>
      <c r="U78" s="150">
        <f>IF($D78="","",IFERROR(INDEX(WBS_CBS!$M$5:$M$16,MATCH($D78,WBS_CBS!$A$5:$A$16,0)),"Yes"))</f>
        <v/>
      </c>
      <c r="V78" s="150">
        <f>IF($D78="","",IFERROR(INDEX(WBS_CBS!$N$5:$N$16,MATCH($D78,WBS_CBS!$A$5:$A$16,0)),"Yes"))</f>
        <v/>
      </c>
      <c r="W78" s="150">
        <f>IF($D78="","",IFERROR(INDEX(WBS_CBS!$K$5:$K$16,MATCH($D78,WBS_CBS!$A$5:$A$16,0)),""))</f>
        <v/>
      </c>
      <c r="X78" s="150">
        <f>IF($D78="","",IFERROR(INDEX(WBS_CBS!$F$5:$F$16,MATCH($D78,WBS_CBS!$A$5:$A$16,0)),""))</f>
        <v/>
      </c>
      <c r="Y78" s="149" t="n"/>
      <c r="Z78" s="149" t="n"/>
      <c r="AA78" s="150">
        <f>IF($D78="","",IFERROR(INDEX(WBS_CBS!$L$5:$L$16,MATCH($D78,WBS_CBS!$A$5:$A$16,0)),""))</f>
        <v/>
      </c>
      <c r="AB78" s="149" t="n"/>
    </row>
    <row r="79">
      <c r="A79" s="149" t="n"/>
      <c r="B79" s="149" t="n"/>
      <c r="C79" s="150">
        <f>IF($D79="","",IFERROR(INDEX(WBS_CBS!$E$5:$E$16,MATCH($D79,WBS_CBS!$A$5:$A$16,0)),""))</f>
        <v/>
      </c>
      <c r="D79" s="149" t="n"/>
      <c r="E79" s="150">
        <f>IF($D79="","",IFERROR(INDEX(WBS_CBS!$C$5:$C$16,MATCH($D79,WBS_CBS!$A$5:$A$16,0)),""))</f>
        <v/>
      </c>
      <c r="F79" s="150">
        <f>IF($D79="","",IFERROR(INDEX(WBS_CBS!$J$5:$J$16,MATCH($D79,WBS_CBS!$A$5:$A$16,0)),""))</f>
        <v/>
      </c>
      <c r="G79" s="149" t="n"/>
      <c r="H79" s="151" t="n"/>
      <c r="I79" s="149" t="n"/>
      <c r="J79" s="152" t="n"/>
      <c r="K79" s="149" t="n"/>
      <c r="L79" s="153">
        <f>IF($K79="","",IFERROR(INDEX(FX_Rates!$B$5:$B$14,MATCH($K79,FX_Rates!$A$5:$A$14,0)),""))</f>
        <v/>
      </c>
      <c r="M79" s="153">
        <f>IF(OR($H79="",$J79=""),"",$H79*$J79)</f>
        <v/>
      </c>
      <c r="N79" s="153">
        <f>IF(OR($M79="",$L79=""),"",$M79*$L79)</f>
        <v/>
      </c>
      <c r="O79" s="149" t="n"/>
      <c r="P79" s="154">
        <f>IF($O79="","",IFERROR(INDEX(Basis_of_Estimate!$C$5:$C$9,MATCH($O79,Basis_of_Estimate!$A$5:$A$9,0)),""))</f>
        <v/>
      </c>
      <c r="Q79" s="154">
        <f>IF($O79="","",IFERROR(INDEX(Basis_of_Estimate!$D$5:$D$9,MATCH($O79,Basis_of_Estimate!$A$5:$A$9,0)),""))</f>
        <v/>
      </c>
      <c r="R79" s="153">
        <f>IF($N79="","",$N79*(1+$P79))</f>
        <v/>
      </c>
      <c r="S79" s="153">
        <f>IF($N79="","",$N79)</f>
        <v/>
      </c>
      <c r="T79" s="153">
        <f>IF($N79="","",$N79*(1+$Q79))</f>
        <v/>
      </c>
      <c r="U79" s="150">
        <f>IF($D79="","",IFERROR(INDEX(WBS_CBS!$M$5:$M$16,MATCH($D79,WBS_CBS!$A$5:$A$16,0)),"Yes"))</f>
        <v/>
      </c>
      <c r="V79" s="150">
        <f>IF($D79="","",IFERROR(INDEX(WBS_CBS!$N$5:$N$16,MATCH($D79,WBS_CBS!$A$5:$A$16,0)),"Yes"))</f>
        <v/>
      </c>
      <c r="W79" s="150">
        <f>IF($D79="","",IFERROR(INDEX(WBS_CBS!$K$5:$K$16,MATCH($D79,WBS_CBS!$A$5:$A$16,0)),""))</f>
        <v/>
      </c>
      <c r="X79" s="150">
        <f>IF($D79="","",IFERROR(INDEX(WBS_CBS!$F$5:$F$16,MATCH($D79,WBS_CBS!$A$5:$A$16,0)),""))</f>
        <v/>
      </c>
      <c r="Y79" s="149" t="n"/>
      <c r="Z79" s="149" t="n"/>
      <c r="AA79" s="150">
        <f>IF($D79="","",IFERROR(INDEX(WBS_CBS!$L$5:$L$16,MATCH($D79,WBS_CBS!$A$5:$A$16,0)),""))</f>
        <v/>
      </c>
      <c r="AB79" s="149" t="n"/>
    </row>
    <row r="80">
      <c r="A80" s="149" t="n"/>
      <c r="B80" s="149" t="n"/>
      <c r="C80" s="150">
        <f>IF($D80="","",IFERROR(INDEX(WBS_CBS!$E$5:$E$16,MATCH($D80,WBS_CBS!$A$5:$A$16,0)),""))</f>
        <v/>
      </c>
      <c r="D80" s="149" t="n"/>
      <c r="E80" s="150">
        <f>IF($D80="","",IFERROR(INDEX(WBS_CBS!$C$5:$C$16,MATCH($D80,WBS_CBS!$A$5:$A$16,0)),""))</f>
        <v/>
      </c>
      <c r="F80" s="150">
        <f>IF($D80="","",IFERROR(INDEX(WBS_CBS!$J$5:$J$16,MATCH($D80,WBS_CBS!$A$5:$A$16,0)),""))</f>
        <v/>
      </c>
      <c r="G80" s="149" t="n"/>
      <c r="H80" s="151" t="n"/>
      <c r="I80" s="149" t="n"/>
      <c r="J80" s="152" t="n"/>
      <c r="K80" s="149" t="n"/>
      <c r="L80" s="153">
        <f>IF($K80="","",IFERROR(INDEX(FX_Rates!$B$5:$B$14,MATCH($K80,FX_Rates!$A$5:$A$14,0)),""))</f>
        <v/>
      </c>
      <c r="M80" s="153">
        <f>IF(OR($H80="",$J80=""),"",$H80*$J80)</f>
        <v/>
      </c>
      <c r="N80" s="153">
        <f>IF(OR($M80="",$L80=""),"",$M80*$L80)</f>
        <v/>
      </c>
      <c r="O80" s="149" t="n"/>
      <c r="P80" s="154">
        <f>IF($O80="","",IFERROR(INDEX(Basis_of_Estimate!$C$5:$C$9,MATCH($O80,Basis_of_Estimate!$A$5:$A$9,0)),""))</f>
        <v/>
      </c>
      <c r="Q80" s="154">
        <f>IF($O80="","",IFERROR(INDEX(Basis_of_Estimate!$D$5:$D$9,MATCH($O80,Basis_of_Estimate!$A$5:$A$9,0)),""))</f>
        <v/>
      </c>
      <c r="R80" s="153">
        <f>IF($N80="","",$N80*(1+$P80))</f>
        <v/>
      </c>
      <c r="S80" s="153">
        <f>IF($N80="","",$N80)</f>
        <v/>
      </c>
      <c r="T80" s="153">
        <f>IF($N80="","",$N80*(1+$Q80))</f>
        <v/>
      </c>
      <c r="U80" s="150">
        <f>IF($D80="","",IFERROR(INDEX(WBS_CBS!$M$5:$M$16,MATCH($D80,WBS_CBS!$A$5:$A$16,0)),"Yes"))</f>
        <v/>
      </c>
      <c r="V80" s="150">
        <f>IF($D80="","",IFERROR(INDEX(WBS_CBS!$N$5:$N$16,MATCH($D80,WBS_CBS!$A$5:$A$16,0)),"Yes"))</f>
        <v/>
      </c>
      <c r="W80" s="150">
        <f>IF($D80="","",IFERROR(INDEX(WBS_CBS!$K$5:$K$16,MATCH($D80,WBS_CBS!$A$5:$A$16,0)),""))</f>
        <v/>
      </c>
      <c r="X80" s="150">
        <f>IF($D80="","",IFERROR(INDEX(WBS_CBS!$F$5:$F$16,MATCH($D80,WBS_CBS!$A$5:$A$16,0)),""))</f>
        <v/>
      </c>
      <c r="Y80" s="149" t="n"/>
      <c r="Z80" s="149" t="n"/>
      <c r="AA80" s="150">
        <f>IF($D80="","",IFERROR(INDEX(WBS_CBS!$L$5:$L$16,MATCH($D80,WBS_CBS!$A$5:$A$16,0)),""))</f>
        <v/>
      </c>
      <c r="AB80" s="149" t="n"/>
    </row>
    <row r="81">
      <c r="A81" s="149" t="n"/>
      <c r="B81" s="149" t="n"/>
      <c r="C81" s="150">
        <f>IF($D81="","",IFERROR(INDEX(WBS_CBS!$E$5:$E$16,MATCH($D81,WBS_CBS!$A$5:$A$16,0)),""))</f>
        <v/>
      </c>
      <c r="D81" s="149" t="n"/>
      <c r="E81" s="150">
        <f>IF($D81="","",IFERROR(INDEX(WBS_CBS!$C$5:$C$16,MATCH($D81,WBS_CBS!$A$5:$A$16,0)),""))</f>
        <v/>
      </c>
      <c r="F81" s="150">
        <f>IF($D81="","",IFERROR(INDEX(WBS_CBS!$J$5:$J$16,MATCH($D81,WBS_CBS!$A$5:$A$16,0)),""))</f>
        <v/>
      </c>
      <c r="G81" s="149" t="n"/>
      <c r="H81" s="151" t="n"/>
      <c r="I81" s="149" t="n"/>
      <c r="J81" s="152" t="n"/>
      <c r="K81" s="149" t="n"/>
      <c r="L81" s="153">
        <f>IF($K81="","",IFERROR(INDEX(FX_Rates!$B$5:$B$14,MATCH($K81,FX_Rates!$A$5:$A$14,0)),""))</f>
        <v/>
      </c>
      <c r="M81" s="153">
        <f>IF(OR($H81="",$J81=""),"",$H81*$J81)</f>
        <v/>
      </c>
      <c r="N81" s="153">
        <f>IF(OR($M81="",$L81=""),"",$M81*$L81)</f>
        <v/>
      </c>
      <c r="O81" s="149" t="n"/>
      <c r="P81" s="154">
        <f>IF($O81="","",IFERROR(INDEX(Basis_of_Estimate!$C$5:$C$9,MATCH($O81,Basis_of_Estimate!$A$5:$A$9,0)),""))</f>
        <v/>
      </c>
      <c r="Q81" s="154">
        <f>IF($O81="","",IFERROR(INDEX(Basis_of_Estimate!$D$5:$D$9,MATCH($O81,Basis_of_Estimate!$A$5:$A$9,0)),""))</f>
        <v/>
      </c>
      <c r="R81" s="153">
        <f>IF($N81="","",$N81*(1+$P81))</f>
        <v/>
      </c>
      <c r="S81" s="153">
        <f>IF($N81="","",$N81)</f>
        <v/>
      </c>
      <c r="T81" s="153">
        <f>IF($N81="","",$N81*(1+$Q81))</f>
        <v/>
      </c>
      <c r="U81" s="150">
        <f>IF($D81="","",IFERROR(INDEX(WBS_CBS!$M$5:$M$16,MATCH($D81,WBS_CBS!$A$5:$A$16,0)),"Yes"))</f>
        <v/>
      </c>
      <c r="V81" s="150">
        <f>IF($D81="","",IFERROR(INDEX(WBS_CBS!$N$5:$N$16,MATCH($D81,WBS_CBS!$A$5:$A$16,0)),"Yes"))</f>
        <v/>
      </c>
      <c r="W81" s="150">
        <f>IF($D81="","",IFERROR(INDEX(WBS_CBS!$K$5:$K$16,MATCH($D81,WBS_CBS!$A$5:$A$16,0)),""))</f>
        <v/>
      </c>
      <c r="X81" s="150">
        <f>IF($D81="","",IFERROR(INDEX(WBS_CBS!$F$5:$F$16,MATCH($D81,WBS_CBS!$A$5:$A$16,0)),""))</f>
        <v/>
      </c>
      <c r="Y81" s="149" t="n"/>
      <c r="Z81" s="149" t="n"/>
      <c r="AA81" s="150">
        <f>IF($D81="","",IFERROR(INDEX(WBS_CBS!$L$5:$L$16,MATCH($D81,WBS_CBS!$A$5:$A$16,0)),""))</f>
        <v/>
      </c>
      <c r="AB81" s="149" t="n"/>
    </row>
    <row r="82">
      <c r="A82" s="149" t="n"/>
      <c r="B82" s="149" t="n"/>
      <c r="C82" s="150">
        <f>IF($D82="","",IFERROR(INDEX(WBS_CBS!$E$5:$E$16,MATCH($D82,WBS_CBS!$A$5:$A$16,0)),""))</f>
        <v/>
      </c>
      <c r="D82" s="149" t="n"/>
      <c r="E82" s="150">
        <f>IF($D82="","",IFERROR(INDEX(WBS_CBS!$C$5:$C$16,MATCH($D82,WBS_CBS!$A$5:$A$16,0)),""))</f>
        <v/>
      </c>
      <c r="F82" s="150">
        <f>IF($D82="","",IFERROR(INDEX(WBS_CBS!$J$5:$J$16,MATCH($D82,WBS_CBS!$A$5:$A$16,0)),""))</f>
        <v/>
      </c>
      <c r="G82" s="149" t="n"/>
      <c r="H82" s="151" t="n"/>
      <c r="I82" s="149" t="n"/>
      <c r="J82" s="152" t="n"/>
      <c r="K82" s="149" t="n"/>
      <c r="L82" s="153">
        <f>IF($K82="","",IFERROR(INDEX(FX_Rates!$B$5:$B$14,MATCH($K82,FX_Rates!$A$5:$A$14,0)),""))</f>
        <v/>
      </c>
      <c r="M82" s="153">
        <f>IF(OR($H82="",$J82=""),"",$H82*$J82)</f>
        <v/>
      </c>
      <c r="N82" s="153">
        <f>IF(OR($M82="",$L82=""),"",$M82*$L82)</f>
        <v/>
      </c>
      <c r="O82" s="149" t="n"/>
      <c r="P82" s="154">
        <f>IF($O82="","",IFERROR(INDEX(Basis_of_Estimate!$C$5:$C$9,MATCH($O82,Basis_of_Estimate!$A$5:$A$9,0)),""))</f>
        <v/>
      </c>
      <c r="Q82" s="154">
        <f>IF($O82="","",IFERROR(INDEX(Basis_of_Estimate!$D$5:$D$9,MATCH($O82,Basis_of_Estimate!$A$5:$A$9,0)),""))</f>
        <v/>
      </c>
      <c r="R82" s="153">
        <f>IF($N82="","",$N82*(1+$P82))</f>
        <v/>
      </c>
      <c r="S82" s="153">
        <f>IF($N82="","",$N82)</f>
        <v/>
      </c>
      <c r="T82" s="153">
        <f>IF($N82="","",$N82*(1+$Q82))</f>
        <v/>
      </c>
      <c r="U82" s="150">
        <f>IF($D82="","",IFERROR(INDEX(WBS_CBS!$M$5:$M$16,MATCH($D82,WBS_CBS!$A$5:$A$16,0)),"Yes"))</f>
        <v/>
      </c>
      <c r="V82" s="150">
        <f>IF($D82="","",IFERROR(INDEX(WBS_CBS!$N$5:$N$16,MATCH($D82,WBS_CBS!$A$5:$A$16,0)),"Yes"))</f>
        <v/>
      </c>
      <c r="W82" s="150">
        <f>IF($D82="","",IFERROR(INDEX(WBS_CBS!$K$5:$K$16,MATCH($D82,WBS_CBS!$A$5:$A$16,0)),""))</f>
        <v/>
      </c>
      <c r="X82" s="150">
        <f>IF($D82="","",IFERROR(INDEX(WBS_CBS!$F$5:$F$16,MATCH($D82,WBS_CBS!$A$5:$A$16,0)),""))</f>
        <v/>
      </c>
      <c r="Y82" s="149" t="n"/>
      <c r="Z82" s="149" t="n"/>
      <c r="AA82" s="150">
        <f>IF($D82="","",IFERROR(INDEX(WBS_CBS!$L$5:$L$16,MATCH($D82,WBS_CBS!$A$5:$A$16,0)),""))</f>
        <v/>
      </c>
      <c r="AB82" s="149" t="n"/>
    </row>
    <row r="83">
      <c r="A83" s="149" t="n"/>
      <c r="B83" s="149" t="n"/>
      <c r="C83" s="150">
        <f>IF($D83="","",IFERROR(INDEX(WBS_CBS!$E$5:$E$16,MATCH($D83,WBS_CBS!$A$5:$A$16,0)),""))</f>
        <v/>
      </c>
      <c r="D83" s="149" t="n"/>
      <c r="E83" s="150">
        <f>IF($D83="","",IFERROR(INDEX(WBS_CBS!$C$5:$C$16,MATCH($D83,WBS_CBS!$A$5:$A$16,0)),""))</f>
        <v/>
      </c>
      <c r="F83" s="150">
        <f>IF($D83="","",IFERROR(INDEX(WBS_CBS!$J$5:$J$16,MATCH($D83,WBS_CBS!$A$5:$A$16,0)),""))</f>
        <v/>
      </c>
      <c r="G83" s="149" t="n"/>
      <c r="H83" s="151" t="n"/>
      <c r="I83" s="149" t="n"/>
      <c r="J83" s="152" t="n"/>
      <c r="K83" s="149" t="n"/>
      <c r="L83" s="153">
        <f>IF($K83="","",IFERROR(INDEX(FX_Rates!$B$5:$B$14,MATCH($K83,FX_Rates!$A$5:$A$14,0)),""))</f>
        <v/>
      </c>
      <c r="M83" s="153">
        <f>IF(OR($H83="",$J83=""),"",$H83*$J83)</f>
        <v/>
      </c>
      <c r="N83" s="153">
        <f>IF(OR($M83="",$L83=""),"",$M83*$L83)</f>
        <v/>
      </c>
      <c r="O83" s="149" t="n"/>
      <c r="P83" s="154">
        <f>IF($O83="","",IFERROR(INDEX(Basis_of_Estimate!$C$5:$C$9,MATCH($O83,Basis_of_Estimate!$A$5:$A$9,0)),""))</f>
        <v/>
      </c>
      <c r="Q83" s="154">
        <f>IF($O83="","",IFERROR(INDEX(Basis_of_Estimate!$D$5:$D$9,MATCH($O83,Basis_of_Estimate!$A$5:$A$9,0)),""))</f>
        <v/>
      </c>
      <c r="R83" s="153">
        <f>IF($N83="","",$N83*(1+$P83))</f>
        <v/>
      </c>
      <c r="S83" s="153">
        <f>IF($N83="","",$N83)</f>
        <v/>
      </c>
      <c r="T83" s="153">
        <f>IF($N83="","",$N83*(1+$Q83))</f>
        <v/>
      </c>
      <c r="U83" s="150">
        <f>IF($D83="","",IFERROR(INDEX(WBS_CBS!$M$5:$M$16,MATCH($D83,WBS_CBS!$A$5:$A$16,0)),"Yes"))</f>
        <v/>
      </c>
      <c r="V83" s="150">
        <f>IF($D83="","",IFERROR(INDEX(WBS_CBS!$N$5:$N$16,MATCH($D83,WBS_CBS!$A$5:$A$16,0)),"Yes"))</f>
        <v/>
      </c>
      <c r="W83" s="150">
        <f>IF($D83="","",IFERROR(INDEX(WBS_CBS!$K$5:$K$16,MATCH($D83,WBS_CBS!$A$5:$A$16,0)),""))</f>
        <v/>
      </c>
      <c r="X83" s="150">
        <f>IF($D83="","",IFERROR(INDEX(WBS_CBS!$F$5:$F$16,MATCH($D83,WBS_CBS!$A$5:$A$16,0)),""))</f>
        <v/>
      </c>
      <c r="Y83" s="149" t="n"/>
      <c r="Z83" s="149" t="n"/>
      <c r="AA83" s="150">
        <f>IF($D83="","",IFERROR(INDEX(WBS_CBS!$L$5:$L$16,MATCH($D83,WBS_CBS!$A$5:$A$16,0)),""))</f>
        <v/>
      </c>
      <c r="AB83" s="149" t="n"/>
    </row>
    <row r="84">
      <c r="A84" s="149" t="n"/>
      <c r="B84" s="149" t="n"/>
      <c r="C84" s="150">
        <f>IF($D84="","",IFERROR(INDEX(WBS_CBS!$E$5:$E$16,MATCH($D84,WBS_CBS!$A$5:$A$16,0)),""))</f>
        <v/>
      </c>
      <c r="D84" s="149" t="n"/>
      <c r="E84" s="150">
        <f>IF($D84="","",IFERROR(INDEX(WBS_CBS!$C$5:$C$16,MATCH($D84,WBS_CBS!$A$5:$A$16,0)),""))</f>
        <v/>
      </c>
      <c r="F84" s="150">
        <f>IF($D84="","",IFERROR(INDEX(WBS_CBS!$J$5:$J$16,MATCH($D84,WBS_CBS!$A$5:$A$16,0)),""))</f>
        <v/>
      </c>
      <c r="G84" s="149" t="n"/>
      <c r="H84" s="151" t="n"/>
      <c r="I84" s="149" t="n"/>
      <c r="J84" s="152" t="n"/>
      <c r="K84" s="149" t="n"/>
      <c r="L84" s="153">
        <f>IF($K84="","",IFERROR(INDEX(FX_Rates!$B$5:$B$14,MATCH($K84,FX_Rates!$A$5:$A$14,0)),""))</f>
        <v/>
      </c>
      <c r="M84" s="153">
        <f>IF(OR($H84="",$J84=""),"",$H84*$J84)</f>
        <v/>
      </c>
      <c r="N84" s="153">
        <f>IF(OR($M84="",$L84=""),"",$M84*$L84)</f>
        <v/>
      </c>
      <c r="O84" s="149" t="n"/>
      <c r="P84" s="154">
        <f>IF($O84="","",IFERROR(INDEX(Basis_of_Estimate!$C$5:$C$9,MATCH($O84,Basis_of_Estimate!$A$5:$A$9,0)),""))</f>
        <v/>
      </c>
      <c r="Q84" s="154">
        <f>IF($O84="","",IFERROR(INDEX(Basis_of_Estimate!$D$5:$D$9,MATCH($O84,Basis_of_Estimate!$A$5:$A$9,0)),""))</f>
        <v/>
      </c>
      <c r="R84" s="153">
        <f>IF($N84="","",$N84*(1+$P84))</f>
        <v/>
      </c>
      <c r="S84" s="153">
        <f>IF($N84="","",$N84)</f>
        <v/>
      </c>
      <c r="T84" s="153">
        <f>IF($N84="","",$N84*(1+$Q84))</f>
        <v/>
      </c>
      <c r="U84" s="150">
        <f>IF($D84="","",IFERROR(INDEX(WBS_CBS!$M$5:$M$16,MATCH($D84,WBS_CBS!$A$5:$A$16,0)),"Yes"))</f>
        <v/>
      </c>
      <c r="V84" s="150">
        <f>IF($D84="","",IFERROR(INDEX(WBS_CBS!$N$5:$N$16,MATCH($D84,WBS_CBS!$A$5:$A$16,0)),"Yes"))</f>
        <v/>
      </c>
      <c r="W84" s="150">
        <f>IF($D84="","",IFERROR(INDEX(WBS_CBS!$K$5:$K$16,MATCH($D84,WBS_CBS!$A$5:$A$16,0)),""))</f>
        <v/>
      </c>
      <c r="X84" s="150">
        <f>IF($D84="","",IFERROR(INDEX(WBS_CBS!$F$5:$F$16,MATCH($D84,WBS_CBS!$A$5:$A$16,0)),""))</f>
        <v/>
      </c>
      <c r="Y84" s="149" t="n"/>
      <c r="Z84" s="149" t="n"/>
      <c r="AA84" s="150">
        <f>IF($D84="","",IFERROR(INDEX(WBS_CBS!$L$5:$L$16,MATCH($D84,WBS_CBS!$A$5:$A$16,0)),""))</f>
        <v/>
      </c>
      <c r="AB84" s="149" t="n"/>
    </row>
    <row r="85">
      <c r="A85" s="149" t="n"/>
      <c r="B85" s="149" t="n"/>
      <c r="C85" s="150">
        <f>IF($D85="","",IFERROR(INDEX(WBS_CBS!$E$5:$E$16,MATCH($D85,WBS_CBS!$A$5:$A$16,0)),""))</f>
        <v/>
      </c>
      <c r="D85" s="149" t="n"/>
      <c r="E85" s="150">
        <f>IF($D85="","",IFERROR(INDEX(WBS_CBS!$C$5:$C$16,MATCH($D85,WBS_CBS!$A$5:$A$16,0)),""))</f>
        <v/>
      </c>
      <c r="F85" s="150">
        <f>IF($D85="","",IFERROR(INDEX(WBS_CBS!$J$5:$J$16,MATCH($D85,WBS_CBS!$A$5:$A$16,0)),""))</f>
        <v/>
      </c>
      <c r="G85" s="149" t="n"/>
      <c r="H85" s="151" t="n"/>
      <c r="I85" s="149" t="n"/>
      <c r="J85" s="152" t="n"/>
      <c r="K85" s="149" t="n"/>
      <c r="L85" s="153">
        <f>IF($K85="","",IFERROR(INDEX(FX_Rates!$B$5:$B$14,MATCH($K85,FX_Rates!$A$5:$A$14,0)),""))</f>
        <v/>
      </c>
      <c r="M85" s="153">
        <f>IF(OR($H85="",$J85=""),"",$H85*$J85)</f>
        <v/>
      </c>
      <c r="N85" s="153">
        <f>IF(OR($M85="",$L85=""),"",$M85*$L85)</f>
        <v/>
      </c>
      <c r="O85" s="149" t="n"/>
      <c r="P85" s="154">
        <f>IF($O85="","",IFERROR(INDEX(Basis_of_Estimate!$C$5:$C$9,MATCH($O85,Basis_of_Estimate!$A$5:$A$9,0)),""))</f>
        <v/>
      </c>
      <c r="Q85" s="154">
        <f>IF($O85="","",IFERROR(INDEX(Basis_of_Estimate!$D$5:$D$9,MATCH($O85,Basis_of_Estimate!$A$5:$A$9,0)),""))</f>
        <v/>
      </c>
      <c r="R85" s="153">
        <f>IF($N85="","",$N85*(1+$P85))</f>
        <v/>
      </c>
      <c r="S85" s="153">
        <f>IF($N85="","",$N85)</f>
        <v/>
      </c>
      <c r="T85" s="153">
        <f>IF($N85="","",$N85*(1+$Q85))</f>
        <v/>
      </c>
      <c r="U85" s="150">
        <f>IF($D85="","",IFERROR(INDEX(WBS_CBS!$M$5:$M$16,MATCH($D85,WBS_CBS!$A$5:$A$16,0)),"Yes"))</f>
        <v/>
      </c>
      <c r="V85" s="150">
        <f>IF($D85="","",IFERROR(INDEX(WBS_CBS!$N$5:$N$16,MATCH($D85,WBS_CBS!$A$5:$A$16,0)),"Yes"))</f>
        <v/>
      </c>
      <c r="W85" s="150">
        <f>IF($D85="","",IFERROR(INDEX(WBS_CBS!$K$5:$K$16,MATCH($D85,WBS_CBS!$A$5:$A$16,0)),""))</f>
        <v/>
      </c>
      <c r="X85" s="150">
        <f>IF($D85="","",IFERROR(INDEX(WBS_CBS!$F$5:$F$16,MATCH($D85,WBS_CBS!$A$5:$A$16,0)),""))</f>
        <v/>
      </c>
      <c r="Y85" s="149" t="n"/>
      <c r="Z85" s="149" t="n"/>
      <c r="AA85" s="150">
        <f>IF($D85="","",IFERROR(INDEX(WBS_CBS!$L$5:$L$16,MATCH($D85,WBS_CBS!$A$5:$A$16,0)),""))</f>
        <v/>
      </c>
      <c r="AB85" s="149" t="n"/>
    </row>
    <row r="86">
      <c r="A86" s="149" t="n"/>
      <c r="B86" s="149" t="n"/>
      <c r="C86" s="150">
        <f>IF($D86="","",IFERROR(INDEX(WBS_CBS!$E$5:$E$16,MATCH($D86,WBS_CBS!$A$5:$A$16,0)),""))</f>
        <v/>
      </c>
      <c r="D86" s="149" t="n"/>
      <c r="E86" s="150">
        <f>IF($D86="","",IFERROR(INDEX(WBS_CBS!$C$5:$C$16,MATCH($D86,WBS_CBS!$A$5:$A$16,0)),""))</f>
        <v/>
      </c>
      <c r="F86" s="150">
        <f>IF($D86="","",IFERROR(INDEX(WBS_CBS!$J$5:$J$16,MATCH($D86,WBS_CBS!$A$5:$A$16,0)),""))</f>
        <v/>
      </c>
      <c r="G86" s="149" t="n"/>
      <c r="H86" s="151" t="n"/>
      <c r="I86" s="149" t="n"/>
      <c r="J86" s="152" t="n"/>
      <c r="K86" s="149" t="n"/>
      <c r="L86" s="153">
        <f>IF($K86="","",IFERROR(INDEX(FX_Rates!$B$5:$B$14,MATCH($K86,FX_Rates!$A$5:$A$14,0)),""))</f>
        <v/>
      </c>
      <c r="M86" s="153">
        <f>IF(OR($H86="",$J86=""),"",$H86*$J86)</f>
        <v/>
      </c>
      <c r="N86" s="153">
        <f>IF(OR($M86="",$L86=""),"",$M86*$L86)</f>
        <v/>
      </c>
      <c r="O86" s="149" t="n"/>
      <c r="P86" s="154">
        <f>IF($O86="","",IFERROR(INDEX(Basis_of_Estimate!$C$5:$C$9,MATCH($O86,Basis_of_Estimate!$A$5:$A$9,0)),""))</f>
        <v/>
      </c>
      <c r="Q86" s="154">
        <f>IF($O86="","",IFERROR(INDEX(Basis_of_Estimate!$D$5:$D$9,MATCH($O86,Basis_of_Estimate!$A$5:$A$9,0)),""))</f>
        <v/>
      </c>
      <c r="R86" s="153">
        <f>IF($N86="","",$N86*(1+$P86))</f>
        <v/>
      </c>
      <c r="S86" s="153">
        <f>IF($N86="","",$N86)</f>
        <v/>
      </c>
      <c r="T86" s="153">
        <f>IF($N86="","",$N86*(1+$Q86))</f>
        <v/>
      </c>
      <c r="U86" s="150">
        <f>IF($D86="","",IFERROR(INDEX(WBS_CBS!$M$5:$M$16,MATCH($D86,WBS_CBS!$A$5:$A$16,0)),"Yes"))</f>
        <v/>
      </c>
      <c r="V86" s="150">
        <f>IF($D86="","",IFERROR(INDEX(WBS_CBS!$N$5:$N$16,MATCH($D86,WBS_CBS!$A$5:$A$16,0)),"Yes"))</f>
        <v/>
      </c>
      <c r="W86" s="150">
        <f>IF($D86="","",IFERROR(INDEX(WBS_CBS!$K$5:$K$16,MATCH($D86,WBS_CBS!$A$5:$A$16,0)),""))</f>
        <v/>
      </c>
      <c r="X86" s="150">
        <f>IF($D86="","",IFERROR(INDEX(WBS_CBS!$F$5:$F$16,MATCH($D86,WBS_CBS!$A$5:$A$16,0)),""))</f>
        <v/>
      </c>
      <c r="Y86" s="149" t="n"/>
      <c r="Z86" s="149" t="n"/>
      <c r="AA86" s="150">
        <f>IF($D86="","",IFERROR(INDEX(WBS_CBS!$L$5:$L$16,MATCH($D86,WBS_CBS!$A$5:$A$16,0)),""))</f>
        <v/>
      </c>
      <c r="AB86" s="149" t="n"/>
    </row>
    <row r="87">
      <c r="A87" s="149" t="n"/>
      <c r="B87" s="149" t="n"/>
      <c r="C87" s="150">
        <f>IF($D87="","",IFERROR(INDEX(WBS_CBS!$E$5:$E$16,MATCH($D87,WBS_CBS!$A$5:$A$16,0)),""))</f>
        <v/>
      </c>
      <c r="D87" s="149" t="n"/>
      <c r="E87" s="150">
        <f>IF($D87="","",IFERROR(INDEX(WBS_CBS!$C$5:$C$16,MATCH($D87,WBS_CBS!$A$5:$A$16,0)),""))</f>
        <v/>
      </c>
      <c r="F87" s="150">
        <f>IF($D87="","",IFERROR(INDEX(WBS_CBS!$J$5:$J$16,MATCH($D87,WBS_CBS!$A$5:$A$16,0)),""))</f>
        <v/>
      </c>
      <c r="G87" s="149" t="n"/>
      <c r="H87" s="151" t="n"/>
      <c r="I87" s="149" t="n"/>
      <c r="J87" s="152" t="n"/>
      <c r="K87" s="149" t="n"/>
      <c r="L87" s="153">
        <f>IF($K87="","",IFERROR(INDEX(FX_Rates!$B$5:$B$14,MATCH($K87,FX_Rates!$A$5:$A$14,0)),""))</f>
        <v/>
      </c>
      <c r="M87" s="153">
        <f>IF(OR($H87="",$J87=""),"",$H87*$J87)</f>
        <v/>
      </c>
      <c r="N87" s="153">
        <f>IF(OR($M87="",$L87=""),"",$M87*$L87)</f>
        <v/>
      </c>
      <c r="O87" s="149" t="n"/>
      <c r="P87" s="154">
        <f>IF($O87="","",IFERROR(INDEX(Basis_of_Estimate!$C$5:$C$9,MATCH($O87,Basis_of_Estimate!$A$5:$A$9,0)),""))</f>
        <v/>
      </c>
      <c r="Q87" s="154">
        <f>IF($O87="","",IFERROR(INDEX(Basis_of_Estimate!$D$5:$D$9,MATCH($O87,Basis_of_Estimate!$A$5:$A$9,0)),""))</f>
        <v/>
      </c>
      <c r="R87" s="153">
        <f>IF($N87="","",$N87*(1+$P87))</f>
        <v/>
      </c>
      <c r="S87" s="153">
        <f>IF($N87="","",$N87)</f>
        <v/>
      </c>
      <c r="T87" s="153">
        <f>IF($N87="","",$N87*(1+$Q87))</f>
        <v/>
      </c>
      <c r="U87" s="150">
        <f>IF($D87="","",IFERROR(INDEX(WBS_CBS!$M$5:$M$16,MATCH($D87,WBS_CBS!$A$5:$A$16,0)),"Yes"))</f>
        <v/>
      </c>
      <c r="V87" s="150">
        <f>IF($D87="","",IFERROR(INDEX(WBS_CBS!$N$5:$N$16,MATCH($D87,WBS_CBS!$A$5:$A$16,0)),"Yes"))</f>
        <v/>
      </c>
      <c r="W87" s="150">
        <f>IF($D87="","",IFERROR(INDEX(WBS_CBS!$K$5:$K$16,MATCH($D87,WBS_CBS!$A$5:$A$16,0)),""))</f>
        <v/>
      </c>
      <c r="X87" s="150">
        <f>IF($D87="","",IFERROR(INDEX(WBS_CBS!$F$5:$F$16,MATCH($D87,WBS_CBS!$A$5:$A$16,0)),""))</f>
        <v/>
      </c>
      <c r="Y87" s="149" t="n"/>
      <c r="Z87" s="149" t="n"/>
      <c r="AA87" s="150">
        <f>IF($D87="","",IFERROR(INDEX(WBS_CBS!$L$5:$L$16,MATCH($D87,WBS_CBS!$A$5:$A$16,0)),""))</f>
        <v/>
      </c>
      <c r="AB87" s="149" t="n"/>
    </row>
    <row r="88">
      <c r="A88" s="149" t="n"/>
      <c r="B88" s="149" t="n"/>
      <c r="C88" s="150">
        <f>IF($D88="","",IFERROR(INDEX(WBS_CBS!$E$5:$E$16,MATCH($D88,WBS_CBS!$A$5:$A$16,0)),""))</f>
        <v/>
      </c>
      <c r="D88" s="149" t="n"/>
      <c r="E88" s="150">
        <f>IF($D88="","",IFERROR(INDEX(WBS_CBS!$C$5:$C$16,MATCH($D88,WBS_CBS!$A$5:$A$16,0)),""))</f>
        <v/>
      </c>
      <c r="F88" s="150">
        <f>IF($D88="","",IFERROR(INDEX(WBS_CBS!$J$5:$J$16,MATCH($D88,WBS_CBS!$A$5:$A$16,0)),""))</f>
        <v/>
      </c>
      <c r="G88" s="149" t="n"/>
      <c r="H88" s="151" t="n"/>
      <c r="I88" s="149" t="n"/>
      <c r="J88" s="152" t="n"/>
      <c r="K88" s="149" t="n"/>
      <c r="L88" s="153">
        <f>IF($K88="","",IFERROR(INDEX(FX_Rates!$B$5:$B$14,MATCH($K88,FX_Rates!$A$5:$A$14,0)),""))</f>
        <v/>
      </c>
      <c r="M88" s="153">
        <f>IF(OR($H88="",$J88=""),"",$H88*$J88)</f>
        <v/>
      </c>
      <c r="N88" s="153">
        <f>IF(OR($M88="",$L88=""),"",$M88*$L88)</f>
        <v/>
      </c>
      <c r="O88" s="149" t="n"/>
      <c r="P88" s="154">
        <f>IF($O88="","",IFERROR(INDEX(Basis_of_Estimate!$C$5:$C$9,MATCH($O88,Basis_of_Estimate!$A$5:$A$9,0)),""))</f>
        <v/>
      </c>
      <c r="Q88" s="154">
        <f>IF($O88="","",IFERROR(INDEX(Basis_of_Estimate!$D$5:$D$9,MATCH($O88,Basis_of_Estimate!$A$5:$A$9,0)),""))</f>
        <v/>
      </c>
      <c r="R88" s="153">
        <f>IF($N88="","",$N88*(1+$P88))</f>
        <v/>
      </c>
      <c r="S88" s="153">
        <f>IF($N88="","",$N88)</f>
        <v/>
      </c>
      <c r="T88" s="153">
        <f>IF($N88="","",$N88*(1+$Q88))</f>
        <v/>
      </c>
      <c r="U88" s="150">
        <f>IF($D88="","",IFERROR(INDEX(WBS_CBS!$M$5:$M$16,MATCH($D88,WBS_CBS!$A$5:$A$16,0)),"Yes"))</f>
        <v/>
      </c>
      <c r="V88" s="150">
        <f>IF($D88="","",IFERROR(INDEX(WBS_CBS!$N$5:$N$16,MATCH($D88,WBS_CBS!$A$5:$A$16,0)),"Yes"))</f>
        <v/>
      </c>
      <c r="W88" s="150">
        <f>IF($D88="","",IFERROR(INDEX(WBS_CBS!$K$5:$K$16,MATCH($D88,WBS_CBS!$A$5:$A$16,0)),""))</f>
        <v/>
      </c>
      <c r="X88" s="150">
        <f>IF($D88="","",IFERROR(INDEX(WBS_CBS!$F$5:$F$16,MATCH($D88,WBS_CBS!$A$5:$A$16,0)),""))</f>
        <v/>
      </c>
      <c r="Y88" s="149" t="n"/>
      <c r="Z88" s="149" t="n"/>
      <c r="AA88" s="150">
        <f>IF($D88="","",IFERROR(INDEX(WBS_CBS!$L$5:$L$16,MATCH($D88,WBS_CBS!$A$5:$A$16,0)),""))</f>
        <v/>
      </c>
      <c r="AB88" s="149" t="n"/>
    </row>
    <row r="89">
      <c r="A89" s="149" t="n"/>
      <c r="B89" s="149" t="n"/>
      <c r="C89" s="150">
        <f>IF($D89="","",IFERROR(INDEX(WBS_CBS!$E$5:$E$16,MATCH($D89,WBS_CBS!$A$5:$A$16,0)),""))</f>
        <v/>
      </c>
      <c r="D89" s="149" t="n"/>
      <c r="E89" s="150">
        <f>IF($D89="","",IFERROR(INDEX(WBS_CBS!$C$5:$C$16,MATCH($D89,WBS_CBS!$A$5:$A$16,0)),""))</f>
        <v/>
      </c>
      <c r="F89" s="150">
        <f>IF($D89="","",IFERROR(INDEX(WBS_CBS!$J$5:$J$16,MATCH($D89,WBS_CBS!$A$5:$A$16,0)),""))</f>
        <v/>
      </c>
      <c r="G89" s="149" t="n"/>
      <c r="H89" s="151" t="n"/>
      <c r="I89" s="149" t="n"/>
      <c r="J89" s="152" t="n"/>
      <c r="K89" s="149" t="n"/>
      <c r="L89" s="153">
        <f>IF($K89="","",IFERROR(INDEX(FX_Rates!$B$5:$B$14,MATCH($K89,FX_Rates!$A$5:$A$14,0)),""))</f>
        <v/>
      </c>
      <c r="M89" s="153">
        <f>IF(OR($H89="",$J89=""),"",$H89*$J89)</f>
        <v/>
      </c>
      <c r="N89" s="153">
        <f>IF(OR($M89="",$L89=""),"",$M89*$L89)</f>
        <v/>
      </c>
      <c r="O89" s="149" t="n"/>
      <c r="P89" s="154">
        <f>IF($O89="","",IFERROR(INDEX(Basis_of_Estimate!$C$5:$C$9,MATCH($O89,Basis_of_Estimate!$A$5:$A$9,0)),""))</f>
        <v/>
      </c>
      <c r="Q89" s="154">
        <f>IF($O89="","",IFERROR(INDEX(Basis_of_Estimate!$D$5:$D$9,MATCH($O89,Basis_of_Estimate!$A$5:$A$9,0)),""))</f>
        <v/>
      </c>
      <c r="R89" s="153">
        <f>IF($N89="","",$N89*(1+$P89))</f>
        <v/>
      </c>
      <c r="S89" s="153">
        <f>IF($N89="","",$N89)</f>
        <v/>
      </c>
      <c r="T89" s="153">
        <f>IF($N89="","",$N89*(1+$Q89))</f>
        <v/>
      </c>
      <c r="U89" s="150">
        <f>IF($D89="","",IFERROR(INDEX(WBS_CBS!$M$5:$M$16,MATCH($D89,WBS_CBS!$A$5:$A$16,0)),"Yes"))</f>
        <v/>
      </c>
      <c r="V89" s="150">
        <f>IF($D89="","",IFERROR(INDEX(WBS_CBS!$N$5:$N$16,MATCH($D89,WBS_CBS!$A$5:$A$16,0)),"Yes"))</f>
        <v/>
      </c>
      <c r="W89" s="150">
        <f>IF($D89="","",IFERROR(INDEX(WBS_CBS!$K$5:$K$16,MATCH($D89,WBS_CBS!$A$5:$A$16,0)),""))</f>
        <v/>
      </c>
      <c r="X89" s="150">
        <f>IF($D89="","",IFERROR(INDEX(WBS_CBS!$F$5:$F$16,MATCH($D89,WBS_CBS!$A$5:$A$16,0)),""))</f>
        <v/>
      </c>
      <c r="Y89" s="149" t="n"/>
      <c r="Z89" s="149" t="n"/>
      <c r="AA89" s="150">
        <f>IF($D89="","",IFERROR(INDEX(WBS_CBS!$L$5:$L$16,MATCH($D89,WBS_CBS!$A$5:$A$16,0)),""))</f>
        <v/>
      </c>
      <c r="AB89" s="149" t="n"/>
    </row>
    <row r="90">
      <c r="A90" s="149" t="n"/>
      <c r="B90" s="149" t="n"/>
      <c r="C90" s="150">
        <f>IF($D90="","",IFERROR(INDEX(WBS_CBS!$E$5:$E$16,MATCH($D90,WBS_CBS!$A$5:$A$16,0)),""))</f>
        <v/>
      </c>
      <c r="D90" s="149" t="n"/>
      <c r="E90" s="150">
        <f>IF($D90="","",IFERROR(INDEX(WBS_CBS!$C$5:$C$16,MATCH($D90,WBS_CBS!$A$5:$A$16,0)),""))</f>
        <v/>
      </c>
      <c r="F90" s="150">
        <f>IF($D90="","",IFERROR(INDEX(WBS_CBS!$J$5:$J$16,MATCH($D90,WBS_CBS!$A$5:$A$16,0)),""))</f>
        <v/>
      </c>
      <c r="G90" s="149" t="n"/>
      <c r="H90" s="151" t="n"/>
      <c r="I90" s="149" t="n"/>
      <c r="J90" s="152" t="n"/>
      <c r="K90" s="149" t="n"/>
      <c r="L90" s="153">
        <f>IF($K90="","",IFERROR(INDEX(FX_Rates!$B$5:$B$14,MATCH($K90,FX_Rates!$A$5:$A$14,0)),""))</f>
        <v/>
      </c>
      <c r="M90" s="153">
        <f>IF(OR($H90="",$J90=""),"",$H90*$J90)</f>
        <v/>
      </c>
      <c r="N90" s="153">
        <f>IF(OR($M90="",$L90=""),"",$M90*$L90)</f>
        <v/>
      </c>
      <c r="O90" s="149" t="n"/>
      <c r="P90" s="154">
        <f>IF($O90="","",IFERROR(INDEX(Basis_of_Estimate!$C$5:$C$9,MATCH($O90,Basis_of_Estimate!$A$5:$A$9,0)),""))</f>
        <v/>
      </c>
      <c r="Q90" s="154">
        <f>IF($O90="","",IFERROR(INDEX(Basis_of_Estimate!$D$5:$D$9,MATCH($O90,Basis_of_Estimate!$A$5:$A$9,0)),""))</f>
        <v/>
      </c>
      <c r="R90" s="153">
        <f>IF($N90="","",$N90*(1+$P90))</f>
        <v/>
      </c>
      <c r="S90" s="153">
        <f>IF($N90="","",$N90)</f>
        <v/>
      </c>
      <c r="T90" s="153">
        <f>IF($N90="","",$N90*(1+$Q90))</f>
        <v/>
      </c>
      <c r="U90" s="150">
        <f>IF($D90="","",IFERROR(INDEX(WBS_CBS!$M$5:$M$16,MATCH($D90,WBS_CBS!$A$5:$A$16,0)),"Yes"))</f>
        <v/>
      </c>
      <c r="V90" s="150">
        <f>IF($D90="","",IFERROR(INDEX(WBS_CBS!$N$5:$N$16,MATCH($D90,WBS_CBS!$A$5:$A$16,0)),"Yes"))</f>
        <v/>
      </c>
      <c r="W90" s="150">
        <f>IF($D90="","",IFERROR(INDEX(WBS_CBS!$K$5:$K$16,MATCH($D90,WBS_CBS!$A$5:$A$16,0)),""))</f>
        <v/>
      </c>
      <c r="X90" s="150">
        <f>IF($D90="","",IFERROR(INDEX(WBS_CBS!$F$5:$F$16,MATCH($D90,WBS_CBS!$A$5:$A$16,0)),""))</f>
        <v/>
      </c>
      <c r="Y90" s="149" t="n"/>
      <c r="Z90" s="149" t="n"/>
      <c r="AA90" s="150">
        <f>IF($D90="","",IFERROR(INDEX(WBS_CBS!$L$5:$L$16,MATCH($D90,WBS_CBS!$A$5:$A$16,0)),""))</f>
        <v/>
      </c>
      <c r="AB90" s="149" t="n"/>
    </row>
    <row r="91">
      <c r="A91" s="149" t="n"/>
      <c r="B91" s="149" t="n"/>
      <c r="C91" s="150">
        <f>IF($D91="","",IFERROR(INDEX(WBS_CBS!$E$5:$E$16,MATCH($D91,WBS_CBS!$A$5:$A$16,0)),""))</f>
        <v/>
      </c>
      <c r="D91" s="149" t="n"/>
      <c r="E91" s="150">
        <f>IF($D91="","",IFERROR(INDEX(WBS_CBS!$C$5:$C$16,MATCH($D91,WBS_CBS!$A$5:$A$16,0)),""))</f>
        <v/>
      </c>
      <c r="F91" s="150">
        <f>IF($D91="","",IFERROR(INDEX(WBS_CBS!$J$5:$J$16,MATCH($D91,WBS_CBS!$A$5:$A$16,0)),""))</f>
        <v/>
      </c>
      <c r="G91" s="149" t="n"/>
      <c r="H91" s="151" t="n"/>
      <c r="I91" s="149" t="n"/>
      <c r="J91" s="152" t="n"/>
      <c r="K91" s="149" t="n"/>
      <c r="L91" s="153">
        <f>IF($K91="","",IFERROR(INDEX(FX_Rates!$B$5:$B$14,MATCH($K91,FX_Rates!$A$5:$A$14,0)),""))</f>
        <v/>
      </c>
      <c r="M91" s="153">
        <f>IF(OR($H91="",$J91=""),"",$H91*$J91)</f>
        <v/>
      </c>
      <c r="N91" s="153">
        <f>IF(OR($M91="",$L91=""),"",$M91*$L91)</f>
        <v/>
      </c>
      <c r="O91" s="149" t="n"/>
      <c r="P91" s="154">
        <f>IF($O91="","",IFERROR(INDEX(Basis_of_Estimate!$C$5:$C$9,MATCH($O91,Basis_of_Estimate!$A$5:$A$9,0)),""))</f>
        <v/>
      </c>
      <c r="Q91" s="154">
        <f>IF($O91="","",IFERROR(INDEX(Basis_of_Estimate!$D$5:$D$9,MATCH($O91,Basis_of_Estimate!$A$5:$A$9,0)),""))</f>
        <v/>
      </c>
      <c r="R91" s="153">
        <f>IF($N91="","",$N91*(1+$P91))</f>
        <v/>
      </c>
      <c r="S91" s="153">
        <f>IF($N91="","",$N91)</f>
        <v/>
      </c>
      <c r="T91" s="153">
        <f>IF($N91="","",$N91*(1+$Q91))</f>
        <v/>
      </c>
      <c r="U91" s="150">
        <f>IF($D91="","",IFERROR(INDEX(WBS_CBS!$M$5:$M$16,MATCH($D91,WBS_CBS!$A$5:$A$16,0)),"Yes"))</f>
        <v/>
      </c>
      <c r="V91" s="150">
        <f>IF($D91="","",IFERROR(INDEX(WBS_CBS!$N$5:$N$16,MATCH($D91,WBS_CBS!$A$5:$A$16,0)),"Yes"))</f>
        <v/>
      </c>
      <c r="W91" s="150">
        <f>IF($D91="","",IFERROR(INDEX(WBS_CBS!$K$5:$K$16,MATCH($D91,WBS_CBS!$A$5:$A$16,0)),""))</f>
        <v/>
      </c>
      <c r="X91" s="150">
        <f>IF($D91="","",IFERROR(INDEX(WBS_CBS!$F$5:$F$16,MATCH($D91,WBS_CBS!$A$5:$A$16,0)),""))</f>
        <v/>
      </c>
      <c r="Y91" s="149" t="n"/>
      <c r="Z91" s="149" t="n"/>
      <c r="AA91" s="150">
        <f>IF($D91="","",IFERROR(INDEX(WBS_CBS!$L$5:$L$16,MATCH($D91,WBS_CBS!$A$5:$A$16,0)),""))</f>
        <v/>
      </c>
      <c r="AB91" s="149" t="n"/>
    </row>
    <row r="92">
      <c r="A92" s="149" t="n"/>
      <c r="B92" s="149" t="n"/>
      <c r="C92" s="150">
        <f>IF($D92="","",IFERROR(INDEX(WBS_CBS!$E$5:$E$16,MATCH($D92,WBS_CBS!$A$5:$A$16,0)),""))</f>
        <v/>
      </c>
      <c r="D92" s="149" t="n"/>
      <c r="E92" s="150">
        <f>IF($D92="","",IFERROR(INDEX(WBS_CBS!$C$5:$C$16,MATCH($D92,WBS_CBS!$A$5:$A$16,0)),""))</f>
        <v/>
      </c>
      <c r="F92" s="150">
        <f>IF($D92="","",IFERROR(INDEX(WBS_CBS!$J$5:$J$16,MATCH($D92,WBS_CBS!$A$5:$A$16,0)),""))</f>
        <v/>
      </c>
      <c r="G92" s="149" t="n"/>
      <c r="H92" s="151" t="n"/>
      <c r="I92" s="149" t="n"/>
      <c r="J92" s="152" t="n"/>
      <c r="K92" s="149" t="n"/>
      <c r="L92" s="153">
        <f>IF($K92="","",IFERROR(INDEX(FX_Rates!$B$5:$B$14,MATCH($K92,FX_Rates!$A$5:$A$14,0)),""))</f>
        <v/>
      </c>
      <c r="M92" s="153">
        <f>IF(OR($H92="",$J92=""),"",$H92*$J92)</f>
        <v/>
      </c>
      <c r="N92" s="153">
        <f>IF(OR($M92="",$L92=""),"",$M92*$L92)</f>
        <v/>
      </c>
      <c r="O92" s="149" t="n"/>
      <c r="P92" s="154">
        <f>IF($O92="","",IFERROR(INDEX(Basis_of_Estimate!$C$5:$C$9,MATCH($O92,Basis_of_Estimate!$A$5:$A$9,0)),""))</f>
        <v/>
      </c>
      <c r="Q92" s="154">
        <f>IF($O92="","",IFERROR(INDEX(Basis_of_Estimate!$D$5:$D$9,MATCH($O92,Basis_of_Estimate!$A$5:$A$9,0)),""))</f>
        <v/>
      </c>
      <c r="R92" s="153">
        <f>IF($N92="","",$N92*(1+$P92))</f>
        <v/>
      </c>
      <c r="S92" s="153">
        <f>IF($N92="","",$N92)</f>
        <v/>
      </c>
      <c r="T92" s="153">
        <f>IF($N92="","",$N92*(1+$Q92))</f>
        <v/>
      </c>
      <c r="U92" s="150">
        <f>IF($D92="","",IFERROR(INDEX(WBS_CBS!$M$5:$M$16,MATCH($D92,WBS_CBS!$A$5:$A$16,0)),"Yes"))</f>
        <v/>
      </c>
      <c r="V92" s="150">
        <f>IF($D92="","",IFERROR(INDEX(WBS_CBS!$N$5:$N$16,MATCH($D92,WBS_CBS!$A$5:$A$16,0)),"Yes"))</f>
        <v/>
      </c>
      <c r="W92" s="150">
        <f>IF($D92="","",IFERROR(INDEX(WBS_CBS!$K$5:$K$16,MATCH($D92,WBS_CBS!$A$5:$A$16,0)),""))</f>
        <v/>
      </c>
      <c r="X92" s="150">
        <f>IF($D92="","",IFERROR(INDEX(WBS_CBS!$F$5:$F$16,MATCH($D92,WBS_CBS!$A$5:$A$16,0)),""))</f>
        <v/>
      </c>
      <c r="Y92" s="149" t="n"/>
      <c r="Z92" s="149" t="n"/>
      <c r="AA92" s="150">
        <f>IF($D92="","",IFERROR(INDEX(WBS_CBS!$L$5:$L$16,MATCH($D92,WBS_CBS!$A$5:$A$16,0)),""))</f>
        <v/>
      </c>
      <c r="AB92" s="149" t="n"/>
    </row>
    <row r="93">
      <c r="A93" s="149" t="n"/>
      <c r="B93" s="149" t="n"/>
      <c r="C93" s="150">
        <f>IF($D93="","",IFERROR(INDEX(WBS_CBS!$E$5:$E$16,MATCH($D93,WBS_CBS!$A$5:$A$16,0)),""))</f>
        <v/>
      </c>
      <c r="D93" s="149" t="n"/>
      <c r="E93" s="150">
        <f>IF($D93="","",IFERROR(INDEX(WBS_CBS!$C$5:$C$16,MATCH($D93,WBS_CBS!$A$5:$A$16,0)),""))</f>
        <v/>
      </c>
      <c r="F93" s="150">
        <f>IF($D93="","",IFERROR(INDEX(WBS_CBS!$J$5:$J$16,MATCH($D93,WBS_CBS!$A$5:$A$16,0)),""))</f>
        <v/>
      </c>
      <c r="G93" s="149" t="n"/>
      <c r="H93" s="151" t="n"/>
      <c r="I93" s="149" t="n"/>
      <c r="J93" s="152" t="n"/>
      <c r="K93" s="149" t="n"/>
      <c r="L93" s="153">
        <f>IF($K93="","",IFERROR(INDEX(FX_Rates!$B$5:$B$14,MATCH($K93,FX_Rates!$A$5:$A$14,0)),""))</f>
        <v/>
      </c>
      <c r="M93" s="153">
        <f>IF(OR($H93="",$J93=""),"",$H93*$J93)</f>
        <v/>
      </c>
      <c r="N93" s="153">
        <f>IF(OR($M93="",$L93=""),"",$M93*$L93)</f>
        <v/>
      </c>
      <c r="O93" s="149" t="n"/>
      <c r="P93" s="154">
        <f>IF($O93="","",IFERROR(INDEX(Basis_of_Estimate!$C$5:$C$9,MATCH($O93,Basis_of_Estimate!$A$5:$A$9,0)),""))</f>
        <v/>
      </c>
      <c r="Q93" s="154">
        <f>IF($O93="","",IFERROR(INDEX(Basis_of_Estimate!$D$5:$D$9,MATCH($O93,Basis_of_Estimate!$A$5:$A$9,0)),""))</f>
        <v/>
      </c>
      <c r="R93" s="153">
        <f>IF($N93="","",$N93*(1+$P93))</f>
        <v/>
      </c>
      <c r="S93" s="153">
        <f>IF($N93="","",$N93)</f>
        <v/>
      </c>
      <c r="T93" s="153">
        <f>IF($N93="","",$N93*(1+$Q93))</f>
        <v/>
      </c>
      <c r="U93" s="150">
        <f>IF($D93="","",IFERROR(INDEX(WBS_CBS!$M$5:$M$16,MATCH($D93,WBS_CBS!$A$5:$A$16,0)),"Yes"))</f>
        <v/>
      </c>
      <c r="V93" s="150">
        <f>IF($D93="","",IFERROR(INDEX(WBS_CBS!$N$5:$N$16,MATCH($D93,WBS_CBS!$A$5:$A$16,0)),"Yes"))</f>
        <v/>
      </c>
      <c r="W93" s="150">
        <f>IF($D93="","",IFERROR(INDEX(WBS_CBS!$K$5:$K$16,MATCH($D93,WBS_CBS!$A$5:$A$16,0)),""))</f>
        <v/>
      </c>
      <c r="X93" s="150">
        <f>IF($D93="","",IFERROR(INDEX(WBS_CBS!$F$5:$F$16,MATCH($D93,WBS_CBS!$A$5:$A$16,0)),""))</f>
        <v/>
      </c>
      <c r="Y93" s="149" t="n"/>
      <c r="Z93" s="149" t="n"/>
      <c r="AA93" s="150">
        <f>IF($D93="","",IFERROR(INDEX(WBS_CBS!$L$5:$L$16,MATCH($D93,WBS_CBS!$A$5:$A$16,0)),""))</f>
        <v/>
      </c>
      <c r="AB93" s="149" t="n"/>
    </row>
    <row r="94">
      <c r="A94" s="149" t="n"/>
      <c r="B94" s="149" t="n"/>
      <c r="C94" s="150">
        <f>IF($D94="","",IFERROR(INDEX(WBS_CBS!$E$5:$E$16,MATCH($D94,WBS_CBS!$A$5:$A$16,0)),""))</f>
        <v/>
      </c>
      <c r="D94" s="149" t="n"/>
      <c r="E94" s="150">
        <f>IF($D94="","",IFERROR(INDEX(WBS_CBS!$C$5:$C$16,MATCH($D94,WBS_CBS!$A$5:$A$16,0)),""))</f>
        <v/>
      </c>
      <c r="F94" s="150">
        <f>IF($D94="","",IFERROR(INDEX(WBS_CBS!$J$5:$J$16,MATCH($D94,WBS_CBS!$A$5:$A$16,0)),""))</f>
        <v/>
      </c>
      <c r="G94" s="149" t="n"/>
      <c r="H94" s="151" t="n"/>
      <c r="I94" s="149" t="n"/>
      <c r="J94" s="152" t="n"/>
      <c r="K94" s="149" t="n"/>
      <c r="L94" s="153">
        <f>IF($K94="","",IFERROR(INDEX(FX_Rates!$B$5:$B$14,MATCH($K94,FX_Rates!$A$5:$A$14,0)),""))</f>
        <v/>
      </c>
      <c r="M94" s="153">
        <f>IF(OR($H94="",$J94=""),"",$H94*$J94)</f>
        <v/>
      </c>
      <c r="N94" s="153">
        <f>IF(OR($M94="",$L94=""),"",$M94*$L94)</f>
        <v/>
      </c>
      <c r="O94" s="149" t="n"/>
      <c r="P94" s="154">
        <f>IF($O94="","",IFERROR(INDEX(Basis_of_Estimate!$C$5:$C$9,MATCH($O94,Basis_of_Estimate!$A$5:$A$9,0)),""))</f>
        <v/>
      </c>
      <c r="Q94" s="154">
        <f>IF($O94="","",IFERROR(INDEX(Basis_of_Estimate!$D$5:$D$9,MATCH($O94,Basis_of_Estimate!$A$5:$A$9,0)),""))</f>
        <v/>
      </c>
      <c r="R94" s="153">
        <f>IF($N94="","",$N94*(1+$P94))</f>
        <v/>
      </c>
      <c r="S94" s="153">
        <f>IF($N94="","",$N94)</f>
        <v/>
      </c>
      <c r="T94" s="153">
        <f>IF($N94="","",$N94*(1+$Q94))</f>
        <v/>
      </c>
      <c r="U94" s="150">
        <f>IF($D94="","",IFERROR(INDEX(WBS_CBS!$M$5:$M$16,MATCH($D94,WBS_CBS!$A$5:$A$16,0)),"Yes"))</f>
        <v/>
      </c>
      <c r="V94" s="150">
        <f>IF($D94="","",IFERROR(INDEX(WBS_CBS!$N$5:$N$16,MATCH($D94,WBS_CBS!$A$5:$A$16,0)),"Yes"))</f>
        <v/>
      </c>
      <c r="W94" s="150">
        <f>IF($D94="","",IFERROR(INDEX(WBS_CBS!$K$5:$K$16,MATCH($D94,WBS_CBS!$A$5:$A$16,0)),""))</f>
        <v/>
      </c>
      <c r="X94" s="150">
        <f>IF($D94="","",IFERROR(INDEX(WBS_CBS!$F$5:$F$16,MATCH($D94,WBS_CBS!$A$5:$A$16,0)),""))</f>
        <v/>
      </c>
      <c r="Y94" s="149" t="n"/>
      <c r="Z94" s="149" t="n"/>
      <c r="AA94" s="150">
        <f>IF($D94="","",IFERROR(INDEX(WBS_CBS!$L$5:$L$16,MATCH($D94,WBS_CBS!$A$5:$A$16,0)),""))</f>
        <v/>
      </c>
      <c r="AB94" s="149" t="n"/>
    </row>
    <row r="95">
      <c r="A95" s="149" t="n"/>
      <c r="B95" s="149" t="n"/>
      <c r="C95" s="150">
        <f>IF($D95="","",IFERROR(INDEX(WBS_CBS!$E$5:$E$16,MATCH($D95,WBS_CBS!$A$5:$A$16,0)),""))</f>
        <v/>
      </c>
      <c r="D95" s="149" t="n"/>
      <c r="E95" s="150">
        <f>IF($D95="","",IFERROR(INDEX(WBS_CBS!$C$5:$C$16,MATCH($D95,WBS_CBS!$A$5:$A$16,0)),""))</f>
        <v/>
      </c>
      <c r="F95" s="150">
        <f>IF($D95="","",IFERROR(INDEX(WBS_CBS!$J$5:$J$16,MATCH($D95,WBS_CBS!$A$5:$A$16,0)),""))</f>
        <v/>
      </c>
      <c r="G95" s="149" t="n"/>
      <c r="H95" s="151" t="n"/>
      <c r="I95" s="149" t="n"/>
      <c r="J95" s="152" t="n"/>
      <c r="K95" s="149" t="n"/>
      <c r="L95" s="153">
        <f>IF($K95="","",IFERROR(INDEX(FX_Rates!$B$5:$B$14,MATCH($K95,FX_Rates!$A$5:$A$14,0)),""))</f>
        <v/>
      </c>
      <c r="M95" s="153">
        <f>IF(OR($H95="",$J95=""),"",$H95*$J95)</f>
        <v/>
      </c>
      <c r="N95" s="153">
        <f>IF(OR($M95="",$L95=""),"",$M95*$L95)</f>
        <v/>
      </c>
      <c r="O95" s="149" t="n"/>
      <c r="P95" s="154">
        <f>IF($O95="","",IFERROR(INDEX(Basis_of_Estimate!$C$5:$C$9,MATCH($O95,Basis_of_Estimate!$A$5:$A$9,0)),""))</f>
        <v/>
      </c>
      <c r="Q95" s="154">
        <f>IF($O95="","",IFERROR(INDEX(Basis_of_Estimate!$D$5:$D$9,MATCH($O95,Basis_of_Estimate!$A$5:$A$9,0)),""))</f>
        <v/>
      </c>
      <c r="R95" s="153">
        <f>IF($N95="","",$N95*(1+$P95))</f>
        <v/>
      </c>
      <c r="S95" s="153">
        <f>IF($N95="","",$N95)</f>
        <v/>
      </c>
      <c r="T95" s="153">
        <f>IF($N95="","",$N95*(1+$Q95))</f>
        <v/>
      </c>
      <c r="U95" s="150">
        <f>IF($D95="","",IFERROR(INDEX(WBS_CBS!$M$5:$M$16,MATCH($D95,WBS_CBS!$A$5:$A$16,0)),"Yes"))</f>
        <v/>
      </c>
      <c r="V95" s="150">
        <f>IF($D95="","",IFERROR(INDEX(WBS_CBS!$N$5:$N$16,MATCH($D95,WBS_CBS!$A$5:$A$16,0)),"Yes"))</f>
        <v/>
      </c>
      <c r="W95" s="150">
        <f>IF($D95="","",IFERROR(INDEX(WBS_CBS!$K$5:$K$16,MATCH($D95,WBS_CBS!$A$5:$A$16,0)),""))</f>
        <v/>
      </c>
      <c r="X95" s="150">
        <f>IF($D95="","",IFERROR(INDEX(WBS_CBS!$F$5:$F$16,MATCH($D95,WBS_CBS!$A$5:$A$16,0)),""))</f>
        <v/>
      </c>
      <c r="Y95" s="149" t="n"/>
      <c r="Z95" s="149" t="n"/>
      <c r="AA95" s="150">
        <f>IF($D95="","",IFERROR(INDEX(WBS_CBS!$L$5:$L$16,MATCH($D95,WBS_CBS!$A$5:$A$16,0)),""))</f>
        <v/>
      </c>
      <c r="AB95" s="149" t="n"/>
    </row>
    <row r="96">
      <c r="A96" s="149" t="n"/>
      <c r="B96" s="149" t="n"/>
      <c r="C96" s="150">
        <f>IF($D96="","",IFERROR(INDEX(WBS_CBS!$E$5:$E$16,MATCH($D96,WBS_CBS!$A$5:$A$16,0)),""))</f>
        <v/>
      </c>
      <c r="D96" s="149" t="n"/>
      <c r="E96" s="150">
        <f>IF($D96="","",IFERROR(INDEX(WBS_CBS!$C$5:$C$16,MATCH($D96,WBS_CBS!$A$5:$A$16,0)),""))</f>
        <v/>
      </c>
      <c r="F96" s="150">
        <f>IF($D96="","",IFERROR(INDEX(WBS_CBS!$J$5:$J$16,MATCH($D96,WBS_CBS!$A$5:$A$16,0)),""))</f>
        <v/>
      </c>
      <c r="G96" s="149" t="n"/>
      <c r="H96" s="151" t="n"/>
      <c r="I96" s="149" t="n"/>
      <c r="J96" s="152" t="n"/>
      <c r="K96" s="149" t="n"/>
      <c r="L96" s="153">
        <f>IF($K96="","",IFERROR(INDEX(FX_Rates!$B$5:$B$14,MATCH($K96,FX_Rates!$A$5:$A$14,0)),""))</f>
        <v/>
      </c>
      <c r="M96" s="153">
        <f>IF(OR($H96="",$J96=""),"",$H96*$J96)</f>
        <v/>
      </c>
      <c r="N96" s="153">
        <f>IF(OR($M96="",$L96=""),"",$M96*$L96)</f>
        <v/>
      </c>
      <c r="O96" s="149" t="n"/>
      <c r="P96" s="154">
        <f>IF($O96="","",IFERROR(INDEX(Basis_of_Estimate!$C$5:$C$9,MATCH($O96,Basis_of_Estimate!$A$5:$A$9,0)),""))</f>
        <v/>
      </c>
      <c r="Q96" s="154">
        <f>IF($O96="","",IFERROR(INDEX(Basis_of_Estimate!$D$5:$D$9,MATCH($O96,Basis_of_Estimate!$A$5:$A$9,0)),""))</f>
        <v/>
      </c>
      <c r="R96" s="153">
        <f>IF($N96="","",$N96*(1+$P96))</f>
        <v/>
      </c>
      <c r="S96" s="153">
        <f>IF($N96="","",$N96)</f>
        <v/>
      </c>
      <c r="T96" s="153">
        <f>IF($N96="","",$N96*(1+$Q96))</f>
        <v/>
      </c>
      <c r="U96" s="150">
        <f>IF($D96="","",IFERROR(INDEX(WBS_CBS!$M$5:$M$16,MATCH($D96,WBS_CBS!$A$5:$A$16,0)),"Yes"))</f>
        <v/>
      </c>
      <c r="V96" s="150">
        <f>IF($D96="","",IFERROR(INDEX(WBS_CBS!$N$5:$N$16,MATCH($D96,WBS_CBS!$A$5:$A$16,0)),"Yes"))</f>
        <v/>
      </c>
      <c r="W96" s="150">
        <f>IF($D96="","",IFERROR(INDEX(WBS_CBS!$K$5:$K$16,MATCH($D96,WBS_CBS!$A$5:$A$16,0)),""))</f>
        <v/>
      </c>
      <c r="X96" s="150">
        <f>IF($D96="","",IFERROR(INDEX(WBS_CBS!$F$5:$F$16,MATCH($D96,WBS_CBS!$A$5:$A$16,0)),""))</f>
        <v/>
      </c>
      <c r="Y96" s="149" t="n"/>
      <c r="Z96" s="149" t="n"/>
      <c r="AA96" s="150">
        <f>IF($D96="","",IFERROR(INDEX(WBS_CBS!$L$5:$L$16,MATCH($D96,WBS_CBS!$A$5:$A$16,0)),""))</f>
        <v/>
      </c>
      <c r="AB96" s="149" t="n"/>
    </row>
    <row r="97">
      <c r="A97" s="149" t="n"/>
      <c r="B97" s="149" t="n"/>
      <c r="C97" s="150">
        <f>IF($D97="","",IFERROR(INDEX(WBS_CBS!$E$5:$E$16,MATCH($D97,WBS_CBS!$A$5:$A$16,0)),""))</f>
        <v/>
      </c>
      <c r="D97" s="149" t="n"/>
      <c r="E97" s="150">
        <f>IF($D97="","",IFERROR(INDEX(WBS_CBS!$C$5:$C$16,MATCH($D97,WBS_CBS!$A$5:$A$16,0)),""))</f>
        <v/>
      </c>
      <c r="F97" s="150">
        <f>IF($D97="","",IFERROR(INDEX(WBS_CBS!$J$5:$J$16,MATCH($D97,WBS_CBS!$A$5:$A$16,0)),""))</f>
        <v/>
      </c>
      <c r="G97" s="149" t="n"/>
      <c r="H97" s="151" t="n"/>
      <c r="I97" s="149" t="n"/>
      <c r="J97" s="152" t="n"/>
      <c r="K97" s="149" t="n"/>
      <c r="L97" s="153">
        <f>IF($K97="","",IFERROR(INDEX(FX_Rates!$B$5:$B$14,MATCH($K97,FX_Rates!$A$5:$A$14,0)),""))</f>
        <v/>
      </c>
      <c r="M97" s="153">
        <f>IF(OR($H97="",$J97=""),"",$H97*$J97)</f>
        <v/>
      </c>
      <c r="N97" s="153">
        <f>IF(OR($M97="",$L97=""),"",$M97*$L97)</f>
        <v/>
      </c>
      <c r="O97" s="149" t="n"/>
      <c r="P97" s="154">
        <f>IF($O97="","",IFERROR(INDEX(Basis_of_Estimate!$C$5:$C$9,MATCH($O97,Basis_of_Estimate!$A$5:$A$9,0)),""))</f>
        <v/>
      </c>
      <c r="Q97" s="154">
        <f>IF($O97="","",IFERROR(INDEX(Basis_of_Estimate!$D$5:$D$9,MATCH($O97,Basis_of_Estimate!$A$5:$A$9,0)),""))</f>
        <v/>
      </c>
      <c r="R97" s="153">
        <f>IF($N97="","",$N97*(1+$P97))</f>
        <v/>
      </c>
      <c r="S97" s="153">
        <f>IF($N97="","",$N97)</f>
        <v/>
      </c>
      <c r="T97" s="153">
        <f>IF($N97="","",$N97*(1+$Q97))</f>
        <v/>
      </c>
      <c r="U97" s="150">
        <f>IF($D97="","",IFERROR(INDEX(WBS_CBS!$M$5:$M$16,MATCH($D97,WBS_CBS!$A$5:$A$16,0)),"Yes"))</f>
        <v/>
      </c>
      <c r="V97" s="150">
        <f>IF($D97="","",IFERROR(INDEX(WBS_CBS!$N$5:$N$16,MATCH($D97,WBS_CBS!$A$5:$A$16,0)),"Yes"))</f>
        <v/>
      </c>
      <c r="W97" s="150">
        <f>IF($D97="","",IFERROR(INDEX(WBS_CBS!$K$5:$K$16,MATCH($D97,WBS_CBS!$A$5:$A$16,0)),""))</f>
        <v/>
      </c>
      <c r="X97" s="150">
        <f>IF($D97="","",IFERROR(INDEX(WBS_CBS!$F$5:$F$16,MATCH($D97,WBS_CBS!$A$5:$A$16,0)),""))</f>
        <v/>
      </c>
      <c r="Y97" s="149" t="n"/>
      <c r="Z97" s="149" t="n"/>
      <c r="AA97" s="150">
        <f>IF($D97="","",IFERROR(INDEX(WBS_CBS!$L$5:$L$16,MATCH($D97,WBS_CBS!$A$5:$A$16,0)),""))</f>
        <v/>
      </c>
      <c r="AB97" s="149" t="n"/>
    </row>
    <row r="98">
      <c r="A98" s="149" t="n"/>
      <c r="B98" s="149" t="n"/>
      <c r="C98" s="150">
        <f>IF($D98="","",IFERROR(INDEX(WBS_CBS!$E$5:$E$16,MATCH($D98,WBS_CBS!$A$5:$A$16,0)),""))</f>
        <v/>
      </c>
      <c r="D98" s="149" t="n"/>
      <c r="E98" s="150">
        <f>IF($D98="","",IFERROR(INDEX(WBS_CBS!$C$5:$C$16,MATCH($D98,WBS_CBS!$A$5:$A$16,0)),""))</f>
        <v/>
      </c>
      <c r="F98" s="150">
        <f>IF($D98="","",IFERROR(INDEX(WBS_CBS!$J$5:$J$16,MATCH($D98,WBS_CBS!$A$5:$A$16,0)),""))</f>
        <v/>
      </c>
      <c r="G98" s="149" t="n"/>
      <c r="H98" s="151" t="n"/>
      <c r="I98" s="149" t="n"/>
      <c r="J98" s="152" t="n"/>
      <c r="K98" s="149" t="n"/>
      <c r="L98" s="153">
        <f>IF($K98="","",IFERROR(INDEX(FX_Rates!$B$5:$B$14,MATCH($K98,FX_Rates!$A$5:$A$14,0)),""))</f>
        <v/>
      </c>
      <c r="M98" s="153">
        <f>IF(OR($H98="",$J98=""),"",$H98*$J98)</f>
        <v/>
      </c>
      <c r="N98" s="153">
        <f>IF(OR($M98="",$L98=""),"",$M98*$L98)</f>
        <v/>
      </c>
      <c r="O98" s="149" t="n"/>
      <c r="P98" s="154">
        <f>IF($O98="","",IFERROR(INDEX(Basis_of_Estimate!$C$5:$C$9,MATCH($O98,Basis_of_Estimate!$A$5:$A$9,0)),""))</f>
        <v/>
      </c>
      <c r="Q98" s="154">
        <f>IF($O98="","",IFERROR(INDEX(Basis_of_Estimate!$D$5:$D$9,MATCH($O98,Basis_of_Estimate!$A$5:$A$9,0)),""))</f>
        <v/>
      </c>
      <c r="R98" s="153">
        <f>IF($N98="","",$N98*(1+$P98))</f>
        <v/>
      </c>
      <c r="S98" s="153">
        <f>IF($N98="","",$N98)</f>
        <v/>
      </c>
      <c r="T98" s="153">
        <f>IF($N98="","",$N98*(1+$Q98))</f>
        <v/>
      </c>
      <c r="U98" s="150">
        <f>IF($D98="","",IFERROR(INDEX(WBS_CBS!$M$5:$M$16,MATCH($D98,WBS_CBS!$A$5:$A$16,0)),"Yes"))</f>
        <v/>
      </c>
      <c r="V98" s="150">
        <f>IF($D98="","",IFERROR(INDEX(WBS_CBS!$N$5:$N$16,MATCH($D98,WBS_CBS!$A$5:$A$16,0)),"Yes"))</f>
        <v/>
      </c>
      <c r="W98" s="150">
        <f>IF($D98="","",IFERROR(INDEX(WBS_CBS!$K$5:$K$16,MATCH($D98,WBS_CBS!$A$5:$A$16,0)),""))</f>
        <v/>
      </c>
      <c r="X98" s="150">
        <f>IF($D98="","",IFERROR(INDEX(WBS_CBS!$F$5:$F$16,MATCH($D98,WBS_CBS!$A$5:$A$16,0)),""))</f>
        <v/>
      </c>
      <c r="Y98" s="149" t="n"/>
      <c r="Z98" s="149" t="n"/>
      <c r="AA98" s="150">
        <f>IF($D98="","",IFERROR(INDEX(WBS_CBS!$L$5:$L$16,MATCH($D98,WBS_CBS!$A$5:$A$16,0)),""))</f>
        <v/>
      </c>
      <c r="AB98" s="149" t="n"/>
    </row>
    <row r="99">
      <c r="A99" s="149" t="n"/>
      <c r="B99" s="149" t="n"/>
      <c r="C99" s="150">
        <f>IF($D99="","",IFERROR(INDEX(WBS_CBS!$E$5:$E$16,MATCH($D99,WBS_CBS!$A$5:$A$16,0)),""))</f>
        <v/>
      </c>
      <c r="D99" s="149" t="n"/>
      <c r="E99" s="150">
        <f>IF($D99="","",IFERROR(INDEX(WBS_CBS!$C$5:$C$16,MATCH($D99,WBS_CBS!$A$5:$A$16,0)),""))</f>
        <v/>
      </c>
      <c r="F99" s="150">
        <f>IF($D99="","",IFERROR(INDEX(WBS_CBS!$J$5:$J$16,MATCH($D99,WBS_CBS!$A$5:$A$16,0)),""))</f>
        <v/>
      </c>
      <c r="G99" s="149" t="n"/>
      <c r="H99" s="151" t="n"/>
      <c r="I99" s="149" t="n"/>
      <c r="J99" s="152" t="n"/>
      <c r="K99" s="149" t="n"/>
      <c r="L99" s="153">
        <f>IF($K99="","",IFERROR(INDEX(FX_Rates!$B$5:$B$14,MATCH($K99,FX_Rates!$A$5:$A$14,0)),""))</f>
        <v/>
      </c>
      <c r="M99" s="153">
        <f>IF(OR($H99="",$J99=""),"",$H99*$J99)</f>
        <v/>
      </c>
      <c r="N99" s="153">
        <f>IF(OR($M99="",$L99=""),"",$M99*$L99)</f>
        <v/>
      </c>
      <c r="O99" s="149" t="n"/>
      <c r="P99" s="154">
        <f>IF($O99="","",IFERROR(INDEX(Basis_of_Estimate!$C$5:$C$9,MATCH($O99,Basis_of_Estimate!$A$5:$A$9,0)),""))</f>
        <v/>
      </c>
      <c r="Q99" s="154">
        <f>IF($O99="","",IFERROR(INDEX(Basis_of_Estimate!$D$5:$D$9,MATCH($O99,Basis_of_Estimate!$A$5:$A$9,0)),""))</f>
        <v/>
      </c>
      <c r="R99" s="153">
        <f>IF($N99="","",$N99*(1+$P99))</f>
        <v/>
      </c>
      <c r="S99" s="153">
        <f>IF($N99="","",$N99)</f>
        <v/>
      </c>
      <c r="T99" s="153">
        <f>IF($N99="","",$N99*(1+$Q99))</f>
        <v/>
      </c>
      <c r="U99" s="150">
        <f>IF($D99="","",IFERROR(INDEX(WBS_CBS!$M$5:$M$16,MATCH($D99,WBS_CBS!$A$5:$A$16,0)),"Yes"))</f>
        <v/>
      </c>
      <c r="V99" s="150">
        <f>IF($D99="","",IFERROR(INDEX(WBS_CBS!$N$5:$N$16,MATCH($D99,WBS_CBS!$A$5:$A$16,0)),"Yes"))</f>
        <v/>
      </c>
      <c r="W99" s="150">
        <f>IF($D99="","",IFERROR(INDEX(WBS_CBS!$K$5:$K$16,MATCH($D99,WBS_CBS!$A$5:$A$16,0)),""))</f>
        <v/>
      </c>
      <c r="X99" s="150">
        <f>IF($D99="","",IFERROR(INDEX(WBS_CBS!$F$5:$F$16,MATCH($D99,WBS_CBS!$A$5:$A$16,0)),""))</f>
        <v/>
      </c>
      <c r="Y99" s="149" t="n"/>
      <c r="Z99" s="149" t="n"/>
      <c r="AA99" s="150">
        <f>IF($D99="","",IFERROR(INDEX(WBS_CBS!$L$5:$L$16,MATCH($D99,WBS_CBS!$A$5:$A$16,0)),""))</f>
        <v/>
      </c>
      <c r="AB99" s="149" t="n"/>
    </row>
    <row r="100">
      <c r="A100" s="149" t="n"/>
      <c r="B100" s="149" t="n"/>
      <c r="C100" s="150">
        <f>IF($D100="","",IFERROR(INDEX(WBS_CBS!$E$5:$E$16,MATCH($D100,WBS_CBS!$A$5:$A$16,0)),""))</f>
        <v/>
      </c>
      <c r="D100" s="149" t="n"/>
      <c r="E100" s="150">
        <f>IF($D100="","",IFERROR(INDEX(WBS_CBS!$C$5:$C$16,MATCH($D100,WBS_CBS!$A$5:$A$16,0)),""))</f>
        <v/>
      </c>
      <c r="F100" s="150">
        <f>IF($D100="","",IFERROR(INDEX(WBS_CBS!$J$5:$J$16,MATCH($D100,WBS_CBS!$A$5:$A$16,0)),""))</f>
        <v/>
      </c>
      <c r="G100" s="149" t="n"/>
      <c r="H100" s="151" t="n"/>
      <c r="I100" s="149" t="n"/>
      <c r="J100" s="152" t="n"/>
      <c r="K100" s="149" t="n"/>
      <c r="L100" s="153">
        <f>IF($K100="","",IFERROR(INDEX(FX_Rates!$B$5:$B$14,MATCH($K100,FX_Rates!$A$5:$A$14,0)),""))</f>
        <v/>
      </c>
      <c r="M100" s="153">
        <f>IF(OR($H100="",$J100=""),"",$H100*$J100)</f>
        <v/>
      </c>
      <c r="N100" s="153">
        <f>IF(OR($M100="",$L100=""),"",$M100*$L100)</f>
        <v/>
      </c>
      <c r="O100" s="149" t="n"/>
      <c r="P100" s="154">
        <f>IF($O100="","",IFERROR(INDEX(Basis_of_Estimate!$C$5:$C$9,MATCH($O100,Basis_of_Estimate!$A$5:$A$9,0)),""))</f>
        <v/>
      </c>
      <c r="Q100" s="154">
        <f>IF($O100="","",IFERROR(INDEX(Basis_of_Estimate!$D$5:$D$9,MATCH($O100,Basis_of_Estimate!$A$5:$A$9,0)),""))</f>
        <v/>
      </c>
      <c r="R100" s="153">
        <f>IF($N100="","",$N100*(1+$P100))</f>
        <v/>
      </c>
      <c r="S100" s="153">
        <f>IF($N100="","",$N100)</f>
        <v/>
      </c>
      <c r="T100" s="153">
        <f>IF($N100="","",$N100*(1+$Q100))</f>
        <v/>
      </c>
      <c r="U100" s="150">
        <f>IF($D100="","",IFERROR(INDEX(WBS_CBS!$M$5:$M$16,MATCH($D100,WBS_CBS!$A$5:$A$16,0)),"Yes"))</f>
        <v/>
      </c>
      <c r="V100" s="150">
        <f>IF($D100="","",IFERROR(INDEX(WBS_CBS!$N$5:$N$16,MATCH($D100,WBS_CBS!$A$5:$A$16,0)),"Yes"))</f>
        <v/>
      </c>
      <c r="W100" s="150">
        <f>IF($D100="","",IFERROR(INDEX(WBS_CBS!$K$5:$K$16,MATCH($D100,WBS_CBS!$A$5:$A$16,0)),""))</f>
        <v/>
      </c>
      <c r="X100" s="150">
        <f>IF($D100="","",IFERROR(INDEX(WBS_CBS!$F$5:$F$16,MATCH($D100,WBS_CBS!$A$5:$A$16,0)),""))</f>
        <v/>
      </c>
      <c r="Y100" s="149" t="n"/>
      <c r="Z100" s="149" t="n"/>
      <c r="AA100" s="150">
        <f>IF($D100="","",IFERROR(INDEX(WBS_CBS!$L$5:$L$16,MATCH($D100,WBS_CBS!$A$5:$A$16,0)),""))</f>
        <v/>
      </c>
      <c r="AB100" s="149" t="n"/>
    </row>
    <row r="101">
      <c r="A101" s="149" t="n"/>
      <c r="B101" s="149" t="n"/>
      <c r="C101" s="150">
        <f>IF($D101="","",IFERROR(INDEX(WBS_CBS!$E$5:$E$16,MATCH($D101,WBS_CBS!$A$5:$A$16,0)),""))</f>
        <v/>
      </c>
      <c r="D101" s="149" t="n"/>
      <c r="E101" s="150">
        <f>IF($D101="","",IFERROR(INDEX(WBS_CBS!$C$5:$C$16,MATCH($D101,WBS_CBS!$A$5:$A$16,0)),""))</f>
        <v/>
      </c>
      <c r="F101" s="150">
        <f>IF($D101="","",IFERROR(INDEX(WBS_CBS!$J$5:$J$16,MATCH($D101,WBS_CBS!$A$5:$A$16,0)),""))</f>
        <v/>
      </c>
      <c r="G101" s="149" t="n"/>
      <c r="H101" s="151" t="n"/>
      <c r="I101" s="149" t="n"/>
      <c r="J101" s="152" t="n"/>
      <c r="K101" s="149" t="n"/>
      <c r="L101" s="153">
        <f>IF($K101="","",IFERROR(INDEX(FX_Rates!$B$5:$B$14,MATCH($K101,FX_Rates!$A$5:$A$14,0)),""))</f>
        <v/>
      </c>
      <c r="M101" s="153">
        <f>IF(OR($H101="",$J101=""),"",$H101*$J101)</f>
        <v/>
      </c>
      <c r="N101" s="153">
        <f>IF(OR($M101="",$L101=""),"",$M101*$L101)</f>
        <v/>
      </c>
      <c r="O101" s="149" t="n"/>
      <c r="P101" s="154">
        <f>IF($O101="","",IFERROR(INDEX(Basis_of_Estimate!$C$5:$C$9,MATCH($O101,Basis_of_Estimate!$A$5:$A$9,0)),""))</f>
        <v/>
      </c>
      <c r="Q101" s="154">
        <f>IF($O101="","",IFERROR(INDEX(Basis_of_Estimate!$D$5:$D$9,MATCH($O101,Basis_of_Estimate!$A$5:$A$9,0)),""))</f>
        <v/>
      </c>
      <c r="R101" s="153">
        <f>IF($N101="","",$N101*(1+$P101))</f>
        <v/>
      </c>
      <c r="S101" s="153">
        <f>IF($N101="","",$N101)</f>
        <v/>
      </c>
      <c r="T101" s="153">
        <f>IF($N101="","",$N101*(1+$Q101))</f>
        <v/>
      </c>
      <c r="U101" s="150">
        <f>IF($D101="","",IFERROR(INDEX(WBS_CBS!$M$5:$M$16,MATCH($D101,WBS_CBS!$A$5:$A$16,0)),"Yes"))</f>
        <v/>
      </c>
      <c r="V101" s="150">
        <f>IF($D101="","",IFERROR(INDEX(WBS_CBS!$N$5:$N$16,MATCH($D101,WBS_CBS!$A$5:$A$16,0)),"Yes"))</f>
        <v/>
      </c>
      <c r="W101" s="150">
        <f>IF($D101="","",IFERROR(INDEX(WBS_CBS!$K$5:$K$16,MATCH($D101,WBS_CBS!$A$5:$A$16,0)),""))</f>
        <v/>
      </c>
      <c r="X101" s="150">
        <f>IF($D101="","",IFERROR(INDEX(WBS_CBS!$F$5:$F$16,MATCH($D101,WBS_CBS!$A$5:$A$16,0)),""))</f>
        <v/>
      </c>
      <c r="Y101" s="149" t="n"/>
      <c r="Z101" s="149" t="n"/>
      <c r="AA101" s="150">
        <f>IF($D101="","",IFERROR(INDEX(WBS_CBS!$L$5:$L$16,MATCH($D101,WBS_CBS!$A$5:$A$16,0)),""))</f>
        <v/>
      </c>
      <c r="AB101" s="149" t="n"/>
    </row>
    <row r="102">
      <c r="A102" s="149" t="n"/>
      <c r="B102" s="149" t="n"/>
      <c r="C102" s="150">
        <f>IF($D102="","",IFERROR(INDEX(WBS_CBS!$E$5:$E$16,MATCH($D102,WBS_CBS!$A$5:$A$16,0)),""))</f>
        <v/>
      </c>
      <c r="D102" s="149" t="n"/>
      <c r="E102" s="150">
        <f>IF($D102="","",IFERROR(INDEX(WBS_CBS!$C$5:$C$16,MATCH($D102,WBS_CBS!$A$5:$A$16,0)),""))</f>
        <v/>
      </c>
      <c r="F102" s="150">
        <f>IF($D102="","",IFERROR(INDEX(WBS_CBS!$J$5:$J$16,MATCH($D102,WBS_CBS!$A$5:$A$16,0)),""))</f>
        <v/>
      </c>
      <c r="G102" s="149" t="n"/>
      <c r="H102" s="151" t="n"/>
      <c r="I102" s="149" t="n"/>
      <c r="J102" s="152" t="n"/>
      <c r="K102" s="149" t="n"/>
      <c r="L102" s="153">
        <f>IF($K102="","",IFERROR(INDEX(FX_Rates!$B$5:$B$14,MATCH($K102,FX_Rates!$A$5:$A$14,0)),""))</f>
        <v/>
      </c>
      <c r="M102" s="153">
        <f>IF(OR($H102="",$J102=""),"",$H102*$J102)</f>
        <v/>
      </c>
      <c r="N102" s="153">
        <f>IF(OR($M102="",$L102=""),"",$M102*$L102)</f>
        <v/>
      </c>
      <c r="O102" s="149" t="n"/>
      <c r="P102" s="154">
        <f>IF($O102="","",IFERROR(INDEX(Basis_of_Estimate!$C$5:$C$9,MATCH($O102,Basis_of_Estimate!$A$5:$A$9,0)),""))</f>
        <v/>
      </c>
      <c r="Q102" s="154">
        <f>IF($O102="","",IFERROR(INDEX(Basis_of_Estimate!$D$5:$D$9,MATCH($O102,Basis_of_Estimate!$A$5:$A$9,0)),""))</f>
        <v/>
      </c>
      <c r="R102" s="153">
        <f>IF($N102="","",$N102*(1+$P102))</f>
        <v/>
      </c>
      <c r="S102" s="153">
        <f>IF($N102="","",$N102)</f>
        <v/>
      </c>
      <c r="T102" s="153">
        <f>IF($N102="","",$N102*(1+$Q102))</f>
        <v/>
      </c>
      <c r="U102" s="150">
        <f>IF($D102="","",IFERROR(INDEX(WBS_CBS!$M$5:$M$16,MATCH($D102,WBS_CBS!$A$5:$A$16,0)),"Yes"))</f>
        <v/>
      </c>
      <c r="V102" s="150">
        <f>IF($D102="","",IFERROR(INDEX(WBS_CBS!$N$5:$N$16,MATCH($D102,WBS_CBS!$A$5:$A$16,0)),"Yes"))</f>
        <v/>
      </c>
      <c r="W102" s="150">
        <f>IF($D102="","",IFERROR(INDEX(WBS_CBS!$K$5:$K$16,MATCH($D102,WBS_CBS!$A$5:$A$16,0)),""))</f>
        <v/>
      </c>
      <c r="X102" s="150">
        <f>IF($D102="","",IFERROR(INDEX(WBS_CBS!$F$5:$F$16,MATCH($D102,WBS_CBS!$A$5:$A$16,0)),""))</f>
        <v/>
      </c>
      <c r="Y102" s="149" t="n"/>
      <c r="Z102" s="149" t="n"/>
      <c r="AA102" s="150">
        <f>IF($D102="","",IFERROR(INDEX(WBS_CBS!$L$5:$L$16,MATCH($D102,WBS_CBS!$A$5:$A$16,0)),""))</f>
        <v/>
      </c>
      <c r="AB102" s="149" t="n"/>
    </row>
    <row r="103">
      <c r="A103" s="149" t="n"/>
      <c r="B103" s="149" t="n"/>
      <c r="C103" s="150">
        <f>IF($D103="","",IFERROR(INDEX(WBS_CBS!$E$5:$E$16,MATCH($D103,WBS_CBS!$A$5:$A$16,0)),""))</f>
        <v/>
      </c>
      <c r="D103" s="149" t="n"/>
      <c r="E103" s="150">
        <f>IF($D103="","",IFERROR(INDEX(WBS_CBS!$C$5:$C$16,MATCH($D103,WBS_CBS!$A$5:$A$16,0)),""))</f>
        <v/>
      </c>
      <c r="F103" s="150">
        <f>IF($D103="","",IFERROR(INDEX(WBS_CBS!$J$5:$J$16,MATCH($D103,WBS_CBS!$A$5:$A$16,0)),""))</f>
        <v/>
      </c>
      <c r="G103" s="149" t="n"/>
      <c r="H103" s="151" t="n"/>
      <c r="I103" s="149" t="n"/>
      <c r="J103" s="152" t="n"/>
      <c r="K103" s="149" t="n"/>
      <c r="L103" s="153">
        <f>IF($K103="","",IFERROR(INDEX(FX_Rates!$B$5:$B$14,MATCH($K103,FX_Rates!$A$5:$A$14,0)),""))</f>
        <v/>
      </c>
      <c r="M103" s="153">
        <f>IF(OR($H103="",$J103=""),"",$H103*$J103)</f>
        <v/>
      </c>
      <c r="N103" s="153">
        <f>IF(OR($M103="",$L103=""),"",$M103*$L103)</f>
        <v/>
      </c>
      <c r="O103" s="149" t="n"/>
      <c r="P103" s="154">
        <f>IF($O103="","",IFERROR(INDEX(Basis_of_Estimate!$C$5:$C$9,MATCH($O103,Basis_of_Estimate!$A$5:$A$9,0)),""))</f>
        <v/>
      </c>
      <c r="Q103" s="154">
        <f>IF($O103="","",IFERROR(INDEX(Basis_of_Estimate!$D$5:$D$9,MATCH($O103,Basis_of_Estimate!$A$5:$A$9,0)),""))</f>
        <v/>
      </c>
      <c r="R103" s="153">
        <f>IF($N103="","",$N103*(1+$P103))</f>
        <v/>
      </c>
      <c r="S103" s="153">
        <f>IF($N103="","",$N103)</f>
        <v/>
      </c>
      <c r="T103" s="153">
        <f>IF($N103="","",$N103*(1+$Q103))</f>
        <v/>
      </c>
      <c r="U103" s="150">
        <f>IF($D103="","",IFERROR(INDEX(WBS_CBS!$M$5:$M$16,MATCH($D103,WBS_CBS!$A$5:$A$16,0)),"Yes"))</f>
        <v/>
      </c>
      <c r="V103" s="150">
        <f>IF($D103="","",IFERROR(INDEX(WBS_CBS!$N$5:$N$16,MATCH($D103,WBS_CBS!$A$5:$A$16,0)),"Yes"))</f>
        <v/>
      </c>
      <c r="W103" s="150">
        <f>IF($D103="","",IFERROR(INDEX(WBS_CBS!$K$5:$K$16,MATCH($D103,WBS_CBS!$A$5:$A$16,0)),""))</f>
        <v/>
      </c>
      <c r="X103" s="150">
        <f>IF($D103="","",IFERROR(INDEX(WBS_CBS!$F$5:$F$16,MATCH($D103,WBS_CBS!$A$5:$A$16,0)),""))</f>
        <v/>
      </c>
      <c r="Y103" s="149" t="n"/>
      <c r="Z103" s="149" t="n"/>
      <c r="AA103" s="150">
        <f>IF($D103="","",IFERROR(INDEX(WBS_CBS!$L$5:$L$16,MATCH($D103,WBS_CBS!$A$5:$A$16,0)),""))</f>
        <v/>
      </c>
      <c r="AB103" s="149" t="n"/>
    </row>
    <row r="104">
      <c r="A104" s="149" t="n"/>
      <c r="B104" s="149" t="n"/>
      <c r="C104" s="150">
        <f>IF($D104="","",IFERROR(INDEX(WBS_CBS!$E$5:$E$16,MATCH($D104,WBS_CBS!$A$5:$A$16,0)),""))</f>
        <v/>
      </c>
      <c r="D104" s="149" t="n"/>
      <c r="E104" s="150">
        <f>IF($D104="","",IFERROR(INDEX(WBS_CBS!$C$5:$C$16,MATCH($D104,WBS_CBS!$A$5:$A$16,0)),""))</f>
        <v/>
      </c>
      <c r="F104" s="150">
        <f>IF($D104="","",IFERROR(INDEX(WBS_CBS!$J$5:$J$16,MATCH($D104,WBS_CBS!$A$5:$A$16,0)),""))</f>
        <v/>
      </c>
      <c r="G104" s="149" t="n"/>
      <c r="H104" s="151" t="n"/>
      <c r="I104" s="149" t="n"/>
      <c r="J104" s="152" t="n"/>
      <c r="K104" s="149" t="n"/>
      <c r="L104" s="153">
        <f>IF($K104="","",IFERROR(INDEX(FX_Rates!$B$5:$B$14,MATCH($K104,FX_Rates!$A$5:$A$14,0)),""))</f>
        <v/>
      </c>
      <c r="M104" s="153">
        <f>IF(OR($H104="",$J104=""),"",$H104*$J104)</f>
        <v/>
      </c>
      <c r="N104" s="153">
        <f>IF(OR($M104="",$L104=""),"",$M104*$L104)</f>
        <v/>
      </c>
      <c r="O104" s="149" t="n"/>
      <c r="P104" s="154">
        <f>IF($O104="","",IFERROR(INDEX(Basis_of_Estimate!$C$5:$C$9,MATCH($O104,Basis_of_Estimate!$A$5:$A$9,0)),""))</f>
        <v/>
      </c>
      <c r="Q104" s="154">
        <f>IF($O104="","",IFERROR(INDEX(Basis_of_Estimate!$D$5:$D$9,MATCH($O104,Basis_of_Estimate!$A$5:$A$9,0)),""))</f>
        <v/>
      </c>
      <c r="R104" s="153">
        <f>IF($N104="","",$N104*(1+$P104))</f>
        <v/>
      </c>
      <c r="S104" s="153">
        <f>IF($N104="","",$N104)</f>
        <v/>
      </c>
      <c r="T104" s="153">
        <f>IF($N104="","",$N104*(1+$Q104))</f>
        <v/>
      </c>
      <c r="U104" s="150">
        <f>IF($D104="","",IFERROR(INDEX(WBS_CBS!$M$5:$M$16,MATCH($D104,WBS_CBS!$A$5:$A$16,0)),"Yes"))</f>
        <v/>
      </c>
      <c r="V104" s="150">
        <f>IF($D104="","",IFERROR(INDEX(WBS_CBS!$N$5:$N$16,MATCH($D104,WBS_CBS!$A$5:$A$16,0)),"Yes"))</f>
        <v/>
      </c>
      <c r="W104" s="150">
        <f>IF($D104="","",IFERROR(INDEX(WBS_CBS!$K$5:$K$16,MATCH($D104,WBS_CBS!$A$5:$A$16,0)),""))</f>
        <v/>
      </c>
      <c r="X104" s="150">
        <f>IF($D104="","",IFERROR(INDEX(WBS_CBS!$F$5:$F$16,MATCH($D104,WBS_CBS!$A$5:$A$16,0)),""))</f>
        <v/>
      </c>
      <c r="Y104" s="149" t="n"/>
      <c r="Z104" s="149" t="n"/>
      <c r="AA104" s="150">
        <f>IF($D104="","",IFERROR(INDEX(WBS_CBS!$L$5:$L$16,MATCH($D104,WBS_CBS!$A$5:$A$16,0)),""))</f>
        <v/>
      </c>
      <c r="AB104" s="149" t="n"/>
    </row>
  </sheetData>
  <mergeCells count="2">
    <mergeCell ref="A2:AB2"/>
    <mergeCell ref="A1:AB1"/>
  </mergeCells>
  <dataValidations count="19">
    <dataValidation sqref="C5:C104" showDropDown="0" showInputMessage="0" showErrorMessage="0" allowBlank="0" type="list">
      <formula1>"Process,Mechanical,Piping,Civil,Electrical,Instrumentation,Automation,Construction,Project Management,Procurement,HSE,Commissioning,Owner,Other"</formula1>
    </dataValidation>
    <dataValidation sqref="D5:D104" showDropDown="0" showInputMessage="0" showErrorMessage="0" allowBlank="0" type="list">
      <formula1>"1.0,2.0,3.0,4.0,5.0,6.0,7.0,8.0,9.0,10.0,11.0,12.0"</formula1>
    </dataValidation>
    <dataValidation sqref="E5:E104" showDropDown="0" showInputMessage="0" showErrorMessage="0" allowBlank="0" type="list">
      <formula1>"PM,ENG,PROC,EQP,BULK,CIV,ELE,I&amp;A,CON,COM,OWN,OTH"</formula1>
    </dataValidation>
    <dataValidation sqref="F5:F104" showDropDown="0" showInputMessage="0" showErrorMessage="0" allowBlank="0" type="list">
      <formula1>"Direct Cost,Indirect Cost,Owner Cost,Manpower Cost,Other Cost"</formula1>
    </dataValidation>
    <dataValidation sqref="G5:G104" showDropDown="0" showInputMessage="0" showErrorMessage="0" allowBlank="0" type="list">
      <formula1>"Equipment,Bulk Material,Construction,Engineering,EPCM,Owner,Labour,Freight,Spares,Other"</formula1>
    </dataValidation>
    <dataValidation sqref="I5:I104" showDropDown="0" showInputMessage="0" showErrorMessage="0" allowBlank="0" type="list">
      <formula1>"lot,each,m,m2,m3,kg,ton,h,month,FTE-month"</formula1>
    </dataValidation>
    <dataValidation sqref="K5:K104" showDropDown="0" showInputMessage="0" showErrorMessage="0" allowBlank="0" type="list">
      <formula1>"EUR,USD,GBP,CHF,DKK,SEK,NOK,PLN,TRY,MAD"</formula1>
    </dataValidation>
    <dataValidation sqref="O5:O104" showDropDown="0" showInputMessage="0" showErrorMessage="0" allowBlank="0" type="list">
      <formula1>"Class 5,Class 4,Class 3,Class 2,Class 1"</formula1>
    </dataValidation>
    <dataValidation sqref="U5:V104" showDropDown="0" showInputMessage="0" showErrorMessage="0" allowBlank="0" type="list">
      <formula1>"Yes,No"</formula1>
    </dataValidation>
    <dataValidation sqref="W5:X104" showDropDown="0" showInputMessage="0" showErrorMessage="0" allowBlank="0" type="list">
      <formula1>"Engineering,Procurement,Construction,Commissioning,Other"</formula1>
    </dataValidation>
    <dataValidation sqref="AA5:AA104" showDropDown="0" showInputMessage="0" showErrorMessage="0" allowBlank="0" type="list">
      <formula1>"Linear,Front Loaded,Back Loaded,Bell Curve,Manual"</formula1>
    </dataValidation>
    <dataValidation sqref="D5:D104" showDropDown="0" showInputMessage="0" showErrorMessage="0" allowBlank="1" errorTitle="Invalid selection" error="Select a value from the list." type="list">
      <formula1>WBS_CBS!$A$5:$A$16</formula1>
    </dataValidation>
    <dataValidation sqref="K5:K104" showDropDown="0" showInputMessage="0" showErrorMessage="0" allowBlank="1" errorTitle="Invalid selection" error="Select a value from the list." type="list">
      <formula1>FX_Rates!$A$5:$A$14</formula1>
    </dataValidation>
    <dataValidation sqref="O5:O104" showDropDown="0" showInputMessage="0" showErrorMessage="0" allowBlank="1" errorTitle="Invalid selection" error="Select a value from the list." type="list">
      <formula1>Basis_of_Estimate!$A$5:$A$9</formula1>
    </dataValidation>
    <dataValidation sqref="U5:U104" showDropDown="0" showInputMessage="0" showErrorMessage="0" allowBlank="1" errorTitle="Invalid selection" error="Select a value from the list." type="list">
      <formula1>Lists_Config!$E$5:$E$6</formula1>
    </dataValidation>
    <dataValidation sqref="V5:V104" showDropDown="0" showInputMessage="0" showErrorMessage="0" allowBlank="1" errorTitle="Invalid selection" error="Select a value from the list." type="list">
      <formula1>Lists_Config!$E$5:$E$6</formula1>
    </dataValidation>
    <dataValidation sqref="AA5:AA104" showDropDown="0" showInputMessage="0" showErrorMessage="0" allowBlank="1" errorTitle="Invalid selection" error="Select a value from the list." type="list">
      <formula1>Lists_Config!$I$5:$I$8</formula1>
    </dataValidation>
    <dataValidation sqref="I5:I104" showDropDown="0" showInputMessage="0" showErrorMessage="0" allowBlank="1" errorTitle="Invalid selection" error="Select a value from the list." type="list">
      <formula1>Lists_Config!$J$5:$J$14</formula1>
    </dataValidation>
    <dataValidation sqref="G5:G104" showDropDown="0" showInputMessage="0" showErrorMessage="0" allowBlank="1" errorTitle="Invalid selection" error="Select a value from the list." type="list">
      <formula1>Lists_Config!$C$5:$C$13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AD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25"/>
  <cols>
    <col width="12" customWidth="1" style="70" min="1" max="1"/>
    <col width="32" customWidth="1" style="70" min="2" max="2"/>
    <col width="16" customWidth="1" style="70" min="3" max="7"/>
    <col width="10" customWidth="1" style="70" min="4" max="4"/>
    <col width="12" customWidth="1" style="70" min="5" max="5"/>
    <col width="16" customWidth="1" style="70" min="6" max="6"/>
    <col width="14" customWidth="1" style="70" min="7" max="7"/>
    <col width="10" customWidth="1" style="70" min="8" max="8"/>
    <col width="10" customWidth="1" style="70" min="9" max="9"/>
    <col width="14" customWidth="1" style="70" min="10" max="14"/>
    <col width="12" customWidth="1" style="70" min="11" max="11"/>
    <col width="12" customWidth="1" style="70" min="12" max="12"/>
    <col width="14" customWidth="1" style="70" min="13" max="13"/>
    <col width="14" customWidth="1" style="70" min="14" max="14"/>
    <col width="14" customWidth="1" style="70" min="15" max="20"/>
    <col width="12" customWidth="1" style="70" min="16" max="16"/>
    <col width="12" customWidth="1" style="70" min="17" max="17"/>
    <col width="14" customWidth="1" style="70" min="18" max="18"/>
    <col width="14" customWidth="1" style="70" min="19" max="19"/>
    <col width="14" customWidth="1" style="70" min="20" max="20"/>
    <col width="12" customWidth="1" style="70" min="21" max="27"/>
    <col width="12" customWidth="1" style="70" min="22" max="22"/>
    <col width="14" customWidth="1" style="70" min="23" max="23"/>
    <col width="14" customWidth="1" style="70" min="24" max="24"/>
    <col width="12" customWidth="1" style="70" min="25" max="25"/>
    <col width="12" customWidth="1" style="70" min="26" max="26"/>
    <col width="14" customWidth="1" style="70" min="27" max="27"/>
    <col width="24" customWidth="1" style="70" min="28" max="28"/>
  </cols>
  <sheetData>
    <row r="1" ht="24" customHeight="1" s="70">
      <c r="A1" s="144" t="inlineStr">
        <is>
          <t>Bulk Materials QTO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100" t="n"/>
      <c r="AD1" s="100" t="n"/>
    </row>
    <row r="2" ht="21.95000076293945" customHeight="1" s="70">
      <c r="A2" s="67" t="inlineStr">
        <is>
          <t>User input layer. Cost_Register must be rebuilt from these sheets via BuildCostRegister.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</row>
    <row r="4" ht="28" customHeight="1" s="70">
      <c r="A4" s="148" t="inlineStr">
        <is>
          <t>Item ID</t>
        </is>
      </c>
      <c r="B4" s="148" t="inlineStr">
        <is>
          <t>Description</t>
        </is>
      </c>
      <c r="C4" s="148" t="inlineStr">
        <is>
          <t>Discipline</t>
        </is>
      </c>
      <c r="D4" s="148" t="inlineStr">
        <is>
          <t>WBS</t>
        </is>
      </c>
      <c r="E4" s="148" t="inlineStr">
        <is>
          <t>CBS</t>
        </is>
      </c>
      <c r="F4" s="148" t="inlineStr">
        <is>
          <t>Cost Category</t>
        </is>
      </c>
      <c r="G4" s="148" t="inlineStr">
        <is>
          <t>Cost Type</t>
        </is>
      </c>
      <c r="H4" s="148" t="inlineStr">
        <is>
          <t>Quantity</t>
        </is>
      </c>
      <c r="I4" s="148" t="inlineStr">
        <is>
          <t>Unit</t>
        </is>
      </c>
      <c r="J4" s="148" t="inlineStr">
        <is>
          <t>Unit Rate</t>
        </is>
      </c>
      <c r="K4" s="148" t="inlineStr">
        <is>
          <t>Currency</t>
        </is>
      </c>
      <c r="L4" s="148" t="inlineStr">
        <is>
          <t>FX Rate</t>
        </is>
      </c>
      <c r="M4" s="148" t="inlineStr">
        <is>
          <t>Base Cost</t>
        </is>
      </c>
      <c r="N4" s="148" t="inlineStr">
        <is>
          <t>Base Cost EUR</t>
        </is>
      </c>
      <c r="O4" s="148" t="inlineStr">
        <is>
          <t>Estimate Basis</t>
        </is>
      </c>
      <c r="P4" s="148" t="inlineStr">
        <is>
          <t>Accuracy Low %</t>
        </is>
      </c>
      <c r="Q4" s="148" t="inlineStr">
        <is>
          <t>Accuracy High %</t>
        </is>
      </c>
      <c r="R4" s="148" t="inlineStr">
        <is>
          <t>Low Cost</t>
        </is>
      </c>
      <c r="S4" s="148" t="inlineStr">
        <is>
          <t>Most Likely Cost</t>
        </is>
      </c>
      <c r="T4" s="148" t="inlineStr">
        <is>
          <t>High Cost</t>
        </is>
      </c>
      <c r="U4" s="148" t="inlineStr">
        <is>
          <t>Contingency Eligible</t>
        </is>
      </c>
      <c r="V4" s="148" t="inlineStr">
        <is>
          <t>Escalation Eligible</t>
        </is>
      </c>
      <c r="W4" s="148" t="inlineStr">
        <is>
          <t>Spend Category</t>
        </is>
      </c>
      <c r="X4" s="148" t="inlineStr">
        <is>
          <t>Phase</t>
        </is>
      </c>
      <c r="Y4" s="148" t="inlineStr">
        <is>
          <t>Start Month</t>
        </is>
      </c>
      <c r="Z4" s="148" t="inlineStr">
        <is>
          <t>End Month</t>
        </is>
      </c>
      <c r="AA4" s="148" t="inlineStr">
        <is>
          <t>Spend Curve</t>
        </is>
      </c>
      <c r="AB4" s="148" t="inlineStr">
        <is>
          <t>Notes</t>
        </is>
      </c>
    </row>
    <row r="5">
      <c r="A5" s="149" t="inlineStr">
        <is>
          <t>BM-001</t>
        </is>
      </c>
      <c r="B5" s="149" t="inlineStr">
        <is>
          <t>Process piping supply</t>
        </is>
      </c>
      <c r="C5" s="150">
        <f>IF($D5="","",IFERROR(INDEX(WBS_CBS!$E$5:$E$16,MATCH($D5,WBS_CBS!$A$5:$A$16,0)),""))</f>
        <v/>
      </c>
      <c r="D5" s="149" t="inlineStr">
        <is>
          <t>5.0</t>
        </is>
      </c>
      <c r="E5" s="150">
        <f>IF($D5="","",IFERROR(INDEX(WBS_CBS!$C$5:$C$16,MATCH($D5,WBS_CBS!$A$5:$A$16,0)),""))</f>
        <v/>
      </c>
      <c r="F5" s="150">
        <f>IF($D5="","",IFERROR(INDEX(WBS_CBS!$J$5:$J$16,MATCH($D5,WBS_CBS!$A$5:$A$16,0)),""))</f>
        <v/>
      </c>
      <c r="G5" s="149" t="inlineStr">
        <is>
          <t>Bulk Material</t>
        </is>
      </c>
      <c r="H5" s="151" t="n">
        <v>1</v>
      </c>
      <c r="I5" s="149" t="inlineStr">
        <is>
          <t>lot</t>
        </is>
      </c>
      <c r="J5" s="152" t="n">
        <v>2100000</v>
      </c>
      <c r="K5" s="149" t="inlineStr">
        <is>
          <t>EUR</t>
        </is>
      </c>
      <c r="L5" s="153">
        <f>IF($K5="","",IFERROR(INDEX(FX_Rates!$B$5:$B$14,MATCH($K5,FX_Rates!$A$5:$A$14,0)),""))</f>
        <v/>
      </c>
      <c r="M5" s="153">
        <f>IF(OR($H5="",$J5=""),"",$H5*$J5)</f>
        <v/>
      </c>
      <c r="N5" s="153">
        <f>IF(OR($M5="",$L5=""),"",$M5*$L5)</f>
        <v/>
      </c>
      <c r="O5" s="149" t="inlineStr">
        <is>
          <t>Class 3</t>
        </is>
      </c>
      <c r="P5" s="154">
        <f>IF($O5="","",IFERROR(INDEX(Basis_of_Estimate!$C$5:$C$9,MATCH($O5,Basis_of_Estimate!$A$5:$A$9,0)),""))</f>
        <v/>
      </c>
      <c r="Q5" s="154">
        <f>IF($O5="","",IFERROR(INDEX(Basis_of_Estimate!$D$5:$D$9,MATCH($O5,Basis_of_Estimate!$A$5:$A$9,0)),""))</f>
        <v/>
      </c>
      <c r="R5" s="153">
        <f>IF($N5="","",$N5*(1+$P5))</f>
        <v/>
      </c>
      <c r="S5" s="153">
        <f>IF($N5="","",$N5)</f>
        <v/>
      </c>
      <c r="T5" s="153">
        <f>IF($N5="","",$N5*(1+$Q5))</f>
        <v/>
      </c>
      <c r="U5" s="150">
        <f>IF($D5="","",IFERROR(INDEX(WBS_CBS!$M$5:$M$16,MATCH($D5,WBS_CBS!$A$5:$A$16,0)),"Yes"))</f>
        <v/>
      </c>
      <c r="V5" s="150">
        <f>IF($D5="","",IFERROR(INDEX(WBS_CBS!$N$5:$N$16,MATCH($D5,WBS_CBS!$A$5:$A$16,0)),"Yes"))</f>
        <v/>
      </c>
      <c r="W5" s="150">
        <f>IF($D5="","",IFERROR(INDEX(WBS_CBS!$K$5:$K$16,MATCH($D5,WBS_CBS!$A$5:$A$16,0)),""))</f>
        <v/>
      </c>
      <c r="X5" s="150">
        <f>IF($D5="","",IFERROR(INDEX(WBS_CBS!$F$5:$F$16,MATCH($D5,WBS_CBS!$A$5:$A$16,0)),""))</f>
        <v/>
      </c>
      <c r="Y5" s="149" t="n">
        <v>10</v>
      </c>
      <c r="Z5" s="149" t="n">
        <v>25</v>
      </c>
      <c r="AA5" s="150">
        <f>IF($D5="","",IFERROR(INDEX(WBS_CBS!$L$5:$L$16,MATCH($D5,WBS_CBS!$A$5:$A$16,0)),""))</f>
        <v/>
      </c>
      <c r="AB5" s="149" t="n"/>
    </row>
    <row r="6">
      <c r="A6" s="149" t="inlineStr">
        <is>
          <t>BM-002</t>
        </is>
      </c>
      <c r="B6" s="149" t="inlineStr">
        <is>
          <t>Manual and control valves</t>
        </is>
      </c>
      <c r="C6" s="150">
        <f>IF($D6="","",IFERROR(INDEX(WBS_CBS!$E$5:$E$16,MATCH($D6,WBS_CBS!$A$5:$A$16,0)),""))</f>
        <v/>
      </c>
      <c r="D6" s="149" t="inlineStr">
        <is>
          <t>5.0</t>
        </is>
      </c>
      <c r="E6" s="150">
        <f>IF($D6="","",IFERROR(INDEX(WBS_CBS!$C$5:$C$16,MATCH($D6,WBS_CBS!$A$5:$A$16,0)),""))</f>
        <v/>
      </c>
      <c r="F6" s="150">
        <f>IF($D6="","",IFERROR(INDEX(WBS_CBS!$J$5:$J$16,MATCH($D6,WBS_CBS!$A$5:$A$16,0)),""))</f>
        <v/>
      </c>
      <c r="G6" s="149" t="inlineStr">
        <is>
          <t>Bulk Material</t>
        </is>
      </c>
      <c r="H6" s="151" t="n">
        <v>1</v>
      </c>
      <c r="I6" s="149" t="inlineStr">
        <is>
          <t>lot</t>
        </is>
      </c>
      <c r="J6" s="152" t="n">
        <v>1100000</v>
      </c>
      <c r="K6" s="149" t="inlineStr">
        <is>
          <t>EUR</t>
        </is>
      </c>
      <c r="L6" s="153">
        <f>IF($K6="","",IFERROR(INDEX(FX_Rates!$B$5:$B$14,MATCH($K6,FX_Rates!$A$5:$A$14,0)),""))</f>
        <v/>
      </c>
      <c r="M6" s="153">
        <f>IF(OR($H6="",$J6=""),"",$H6*$J6)</f>
        <v/>
      </c>
      <c r="N6" s="153">
        <f>IF(OR($M6="",$L6=""),"",$M6*$L6)</f>
        <v/>
      </c>
      <c r="O6" s="149" t="inlineStr">
        <is>
          <t>Class 3</t>
        </is>
      </c>
      <c r="P6" s="154">
        <f>IF($O6="","",IFERROR(INDEX(Basis_of_Estimate!$C$5:$C$9,MATCH($O6,Basis_of_Estimate!$A$5:$A$9,0)),""))</f>
        <v/>
      </c>
      <c r="Q6" s="154">
        <f>IF($O6="","",IFERROR(INDEX(Basis_of_Estimate!$D$5:$D$9,MATCH($O6,Basis_of_Estimate!$A$5:$A$9,0)),""))</f>
        <v/>
      </c>
      <c r="R6" s="153">
        <f>IF($N6="","",$N6*(1+$P6))</f>
        <v/>
      </c>
      <c r="S6" s="153">
        <f>IF($N6="","",$N6)</f>
        <v/>
      </c>
      <c r="T6" s="153">
        <f>IF($N6="","",$N6*(1+$Q6))</f>
        <v/>
      </c>
      <c r="U6" s="150">
        <f>IF($D6="","",IFERROR(INDEX(WBS_CBS!$M$5:$M$16,MATCH($D6,WBS_CBS!$A$5:$A$16,0)),"Yes"))</f>
        <v/>
      </c>
      <c r="V6" s="150">
        <f>IF($D6="","",IFERROR(INDEX(WBS_CBS!$N$5:$N$16,MATCH($D6,WBS_CBS!$A$5:$A$16,0)),"Yes"))</f>
        <v/>
      </c>
      <c r="W6" s="150">
        <f>IF($D6="","",IFERROR(INDEX(WBS_CBS!$K$5:$K$16,MATCH($D6,WBS_CBS!$A$5:$A$16,0)),""))</f>
        <v/>
      </c>
      <c r="X6" s="150">
        <f>IF($D6="","",IFERROR(INDEX(WBS_CBS!$F$5:$F$16,MATCH($D6,WBS_CBS!$A$5:$A$16,0)),""))</f>
        <v/>
      </c>
      <c r="Y6" s="149" t="n">
        <v>9</v>
      </c>
      <c r="Z6" s="149" t="n">
        <v>24</v>
      </c>
      <c r="AA6" s="150">
        <f>IF($D6="","",IFERROR(INDEX(WBS_CBS!$L$5:$L$16,MATCH($D6,WBS_CBS!$A$5:$A$16,0)),""))</f>
        <v/>
      </c>
      <c r="AB6" s="149" t="n"/>
    </row>
    <row r="7">
      <c r="A7" s="149" t="inlineStr">
        <is>
          <t>BM-003</t>
        </is>
      </c>
      <c r="B7" s="149" t="inlineStr">
        <is>
          <t>Insulation, painting and tracing</t>
        </is>
      </c>
      <c r="C7" s="150">
        <f>IF($D7="","",IFERROR(INDEX(WBS_CBS!$E$5:$E$16,MATCH($D7,WBS_CBS!$A$5:$A$16,0)),""))</f>
        <v/>
      </c>
      <c r="D7" s="149" t="inlineStr">
        <is>
          <t>5.0</t>
        </is>
      </c>
      <c r="E7" s="150">
        <f>IF($D7="","",IFERROR(INDEX(WBS_CBS!$C$5:$C$16,MATCH($D7,WBS_CBS!$A$5:$A$16,0)),""))</f>
        <v/>
      </c>
      <c r="F7" s="150">
        <f>IF($D7="","",IFERROR(INDEX(WBS_CBS!$J$5:$J$16,MATCH($D7,WBS_CBS!$A$5:$A$16,0)),""))</f>
        <v/>
      </c>
      <c r="G7" s="149" t="inlineStr">
        <is>
          <t>Bulk Material</t>
        </is>
      </c>
      <c r="H7" s="151" t="n">
        <v>1</v>
      </c>
      <c r="I7" s="149" t="inlineStr">
        <is>
          <t>lot</t>
        </is>
      </c>
      <c r="J7" s="152" t="n">
        <v>800000</v>
      </c>
      <c r="K7" s="149" t="inlineStr">
        <is>
          <t>EUR</t>
        </is>
      </c>
      <c r="L7" s="153">
        <f>IF($K7="","",IFERROR(INDEX(FX_Rates!$B$5:$B$14,MATCH($K7,FX_Rates!$A$5:$A$14,0)),""))</f>
        <v/>
      </c>
      <c r="M7" s="153">
        <f>IF(OR($H7="",$J7=""),"",$H7*$J7)</f>
        <v/>
      </c>
      <c r="N7" s="153">
        <f>IF(OR($M7="",$L7=""),"",$M7*$L7)</f>
        <v/>
      </c>
      <c r="O7" s="149" t="inlineStr">
        <is>
          <t>Class 3</t>
        </is>
      </c>
      <c r="P7" s="154">
        <f>IF($O7="","",IFERROR(INDEX(Basis_of_Estimate!$C$5:$C$9,MATCH($O7,Basis_of_Estimate!$A$5:$A$9,0)),""))</f>
        <v/>
      </c>
      <c r="Q7" s="154">
        <f>IF($O7="","",IFERROR(INDEX(Basis_of_Estimate!$D$5:$D$9,MATCH($O7,Basis_of_Estimate!$A$5:$A$9,0)),""))</f>
        <v/>
      </c>
      <c r="R7" s="153">
        <f>IF($N7="","",$N7*(1+$P7))</f>
        <v/>
      </c>
      <c r="S7" s="153">
        <f>IF($N7="","",$N7)</f>
        <v/>
      </c>
      <c r="T7" s="153">
        <f>IF($N7="","",$N7*(1+$Q7))</f>
        <v/>
      </c>
      <c r="U7" s="150">
        <f>IF($D7="","",IFERROR(INDEX(WBS_CBS!$M$5:$M$16,MATCH($D7,WBS_CBS!$A$5:$A$16,0)),"Yes"))</f>
        <v/>
      </c>
      <c r="V7" s="150">
        <f>IF($D7="","",IFERROR(INDEX(WBS_CBS!$N$5:$N$16,MATCH($D7,WBS_CBS!$A$5:$A$16,0)),"Yes"))</f>
        <v/>
      </c>
      <c r="W7" s="150">
        <f>IF($D7="","",IFERROR(INDEX(WBS_CBS!$K$5:$K$16,MATCH($D7,WBS_CBS!$A$5:$A$16,0)),""))</f>
        <v/>
      </c>
      <c r="X7" s="150">
        <f>IF($D7="","",IFERROR(INDEX(WBS_CBS!$F$5:$F$16,MATCH($D7,WBS_CBS!$A$5:$A$16,0)),""))</f>
        <v/>
      </c>
      <c r="Y7" s="149" t="n">
        <v>18</v>
      </c>
      <c r="Z7" s="149" t="n">
        <v>33</v>
      </c>
      <c r="AA7" s="150">
        <f>IF($D7="","",IFERROR(INDEX(WBS_CBS!$L$5:$L$16,MATCH($D7,WBS_CBS!$A$5:$A$16,0)),""))</f>
        <v/>
      </c>
      <c r="AB7" s="149" t="n"/>
    </row>
    <row r="8">
      <c r="A8" s="149" t="n"/>
      <c r="B8" s="149" t="n"/>
      <c r="C8" s="150">
        <f>IF($D8="","",IFERROR(INDEX(WBS_CBS!$E$5:$E$16,MATCH($D8,WBS_CBS!$A$5:$A$16,0)),""))</f>
        <v/>
      </c>
      <c r="D8" s="149" t="n"/>
      <c r="E8" s="150">
        <f>IF($D8="","",IFERROR(INDEX(WBS_CBS!$C$5:$C$16,MATCH($D8,WBS_CBS!$A$5:$A$16,0)),""))</f>
        <v/>
      </c>
      <c r="F8" s="150">
        <f>IF($D8="","",IFERROR(INDEX(WBS_CBS!$J$5:$J$16,MATCH($D8,WBS_CBS!$A$5:$A$16,0)),""))</f>
        <v/>
      </c>
      <c r="G8" s="149" t="n"/>
      <c r="H8" s="151" t="n"/>
      <c r="I8" s="149" t="n"/>
      <c r="J8" s="152" t="n"/>
      <c r="K8" s="149" t="n"/>
      <c r="L8" s="153">
        <f>IF($K8="","",IFERROR(INDEX(FX_Rates!$B$5:$B$14,MATCH($K8,FX_Rates!$A$5:$A$14,0)),""))</f>
        <v/>
      </c>
      <c r="M8" s="153">
        <f>IF(OR($H8="",$J8=""),"",$H8*$J8)</f>
        <v/>
      </c>
      <c r="N8" s="153">
        <f>IF(OR($M8="",$L8=""),"",$M8*$L8)</f>
        <v/>
      </c>
      <c r="O8" s="149" t="n"/>
      <c r="P8" s="154">
        <f>IF($O8="","",IFERROR(INDEX(Basis_of_Estimate!$C$5:$C$9,MATCH($O8,Basis_of_Estimate!$A$5:$A$9,0)),""))</f>
        <v/>
      </c>
      <c r="Q8" s="154">
        <f>IF($O8="","",IFERROR(INDEX(Basis_of_Estimate!$D$5:$D$9,MATCH($O8,Basis_of_Estimate!$A$5:$A$9,0)),""))</f>
        <v/>
      </c>
      <c r="R8" s="153">
        <f>IF($N8="","",$N8*(1+$P8))</f>
        <v/>
      </c>
      <c r="S8" s="153">
        <f>IF($N8="","",$N8)</f>
        <v/>
      </c>
      <c r="T8" s="153">
        <f>IF($N8="","",$N8*(1+$Q8))</f>
        <v/>
      </c>
      <c r="U8" s="150">
        <f>IF($D8="","",IFERROR(INDEX(WBS_CBS!$M$5:$M$16,MATCH($D8,WBS_CBS!$A$5:$A$16,0)),"Yes"))</f>
        <v/>
      </c>
      <c r="V8" s="150">
        <f>IF($D8="","",IFERROR(INDEX(WBS_CBS!$N$5:$N$16,MATCH($D8,WBS_CBS!$A$5:$A$16,0)),"Yes"))</f>
        <v/>
      </c>
      <c r="W8" s="150">
        <f>IF($D8="","",IFERROR(INDEX(WBS_CBS!$K$5:$K$16,MATCH($D8,WBS_CBS!$A$5:$A$16,0)),""))</f>
        <v/>
      </c>
      <c r="X8" s="150">
        <f>IF($D8="","",IFERROR(INDEX(WBS_CBS!$F$5:$F$16,MATCH($D8,WBS_CBS!$A$5:$A$16,0)),""))</f>
        <v/>
      </c>
      <c r="Y8" s="149" t="n"/>
      <c r="Z8" s="149" t="n"/>
      <c r="AA8" s="150">
        <f>IF($D8="","",IFERROR(INDEX(WBS_CBS!$L$5:$L$16,MATCH($D8,WBS_CBS!$A$5:$A$16,0)),""))</f>
        <v/>
      </c>
      <c r="AB8" s="149" t="n"/>
    </row>
    <row r="9">
      <c r="A9" s="149" t="n"/>
      <c r="B9" s="149" t="n"/>
      <c r="C9" s="150">
        <f>IF($D9="","",IFERROR(INDEX(WBS_CBS!$E$5:$E$16,MATCH($D9,WBS_CBS!$A$5:$A$16,0)),""))</f>
        <v/>
      </c>
      <c r="D9" s="149" t="n"/>
      <c r="E9" s="150">
        <f>IF($D9="","",IFERROR(INDEX(WBS_CBS!$C$5:$C$16,MATCH($D9,WBS_CBS!$A$5:$A$16,0)),""))</f>
        <v/>
      </c>
      <c r="F9" s="150">
        <f>IF($D9="","",IFERROR(INDEX(WBS_CBS!$J$5:$J$16,MATCH($D9,WBS_CBS!$A$5:$A$16,0)),""))</f>
        <v/>
      </c>
      <c r="G9" s="149" t="n"/>
      <c r="H9" s="151" t="n"/>
      <c r="I9" s="149" t="n"/>
      <c r="J9" s="152" t="n"/>
      <c r="K9" s="149" t="n"/>
      <c r="L9" s="153">
        <f>IF($K9="","",IFERROR(INDEX(FX_Rates!$B$5:$B$14,MATCH($K9,FX_Rates!$A$5:$A$14,0)),""))</f>
        <v/>
      </c>
      <c r="M9" s="153">
        <f>IF(OR($H9="",$J9=""),"",$H9*$J9)</f>
        <v/>
      </c>
      <c r="N9" s="153">
        <f>IF(OR($M9="",$L9=""),"",$M9*$L9)</f>
        <v/>
      </c>
      <c r="O9" s="149" t="n"/>
      <c r="P9" s="154">
        <f>IF($O9="","",IFERROR(INDEX(Basis_of_Estimate!$C$5:$C$9,MATCH($O9,Basis_of_Estimate!$A$5:$A$9,0)),""))</f>
        <v/>
      </c>
      <c r="Q9" s="154">
        <f>IF($O9="","",IFERROR(INDEX(Basis_of_Estimate!$D$5:$D$9,MATCH($O9,Basis_of_Estimate!$A$5:$A$9,0)),""))</f>
        <v/>
      </c>
      <c r="R9" s="153">
        <f>IF($N9="","",$N9*(1+$P9))</f>
        <v/>
      </c>
      <c r="S9" s="153">
        <f>IF($N9="","",$N9)</f>
        <v/>
      </c>
      <c r="T9" s="153">
        <f>IF($N9="","",$N9*(1+$Q9))</f>
        <v/>
      </c>
      <c r="U9" s="150">
        <f>IF($D9="","",IFERROR(INDEX(WBS_CBS!$M$5:$M$16,MATCH($D9,WBS_CBS!$A$5:$A$16,0)),"Yes"))</f>
        <v/>
      </c>
      <c r="V9" s="150">
        <f>IF($D9="","",IFERROR(INDEX(WBS_CBS!$N$5:$N$16,MATCH($D9,WBS_CBS!$A$5:$A$16,0)),"Yes"))</f>
        <v/>
      </c>
      <c r="W9" s="150">
        <f>IF($D9="","",IFERROR(INDEX(WBS_CBS!$K$5:$K$16,MATCH($D9,WBS_CBS!$A$5:$A$16,0)),""))</f>
        <v/>
      </c>
      <c r="X9" s="150">
        <f>IF($D9="","",IFERROR(INDEX(WBS_CBS!$F$5:$F$16,MATCH($D9,WBS_CBS!$A$5:$A$16,0)),""))</f>
        <v/>
      </c>
      <c r="Y9" s="149" t="n"/>
      <c r="Z9" s="149" t="n"/>
      <c r="AA9" s="150">
        <f>IF($D9="","",IFERROR(INDEX(WBS_CBS!$L$5:$L$16,MATCH($D9,WBS_CBS!$A$5:$A$16,0)),""))</f>
        <v/>
      </c>
      <c r="AB9" s="149" t="n"/>
    </row>
    <row r="10">
      <c r="A10" s="149" t="n"/>
      <c r="B10" s="149" t="n"/>
      <c r="C10" s="150">
        <f>IF($D10="","",IFERROR(INDEX(WBS_CBS!$E$5:$E$16,MATCH($D10,WBS_CBS!$A$5:$A$16,0)),""))</f>
        <v/>
      </c>
      <c r="D10" s="149" t="n"/>
      <c r="E10" s="150">
        <f>IF($D10="","",IFERROR(INDEX(WBS_CBS!$C$5:$C$16,MATCH($D10,WBS_CBS!$A$5:$A$16,0)),""))</f>
        <v/>
      </c>
      <c r="F10" s="150">
        <f>IF($D10="","",IFERROR(INDEX(WBS_CBS!$J$5:$J$16,MATCH($D10,WBS_CBS!$A$5:$A$16,0)),""))</f>
        <v/>
      </c>
      <c r="G10" s="149" t="n"/>
      <c r="H10" s="151" t="n"/>
      <c r="I10" s="149" t="n"/>
      <c r="J10" s="152" t="n"/>
      <c r="K10" s="149" t="n"/>
      <c r="L10" s="153">
        <f>IF($K10="","",IFERROR(INDEX(FX_Rates!$B$5:$B$14,MATCH($K10,FX_Rates!$A$5:$A$14,0)),""))</f>
        <v/>
      </c>
      <c r="M10" s="153">
        <f>IF(OR($H10="",$J10=""),"",$H10*$J10)</f>
        <v/>
      </c>
      <c r="N10" s="153">
        <f>IF(OR($M10="",$L10=""),"",$M10*$L10)</f>
        <v/>
      </c>
      <c r="O10" s="149" t="n"/>
      <c r="P10" s="154">
        <f>IF($O10="","",IFERROR(INDEX(Basis_of_Estimate!$C$5:$C$9,MATCH($O10,Basis_of_Estimate!$A$5:$A$9,0)),""))</f>
        <v/>
      </c>
      <c r="Q10" s="154">
        <f>IF($O10="","",IFERROR(INDEX(Basis_of_Estimate!$D$5:$D$9,MATCH($O10,Basis_of_Estimate!$A$5:$A$9,0)),""))</f>
        <v/>
      </c>
      <c r="R10" s="153">
        <f>IF($N10="","",$N10*(1+$P10))</f>
        <v/>
      </c>
      <c r="S10" s="153">
        <f>IF($N10="","",$N10)</f>
        <v/>
      </c>
      <c r="T10" s="153">
        <f>IF($N10="","",$N10*(1+$Q10))</f>
        <v/>
      </c>
      <c r="U10" s="150">
        <f>IF($D10="","",IFERROR(INDEX(WBS_CBS!$M$5:$M$16,MATCH($D10,WBS_CBS!$A$5:$A$16,0)),"Yes"))</f>
        <v/>
      </c>
      <c r="V10" s="150">
        <f>IF($D10="","",IFERROR(INDEX(WBS_CBS!$N$5:$N$16,MATCH($D10,WBS_CBS!$A$5:$A$16,0)),"Yes"))</f>
        <v/>
      </c>
      <c r="W10" s="150">
        <f>IF($D10="","",IFERROR(INDEX(WBS_CBS!$K$5:$K$16,MATCH($D10,WBS_CBS!$A$5:$A$16,0)),""))</f>
        <v/>
      </c>
      <c r="X10" s="150">
        <f>IF($D10="","",IFERROR(INDEX(WBS_CBS!$F$5:$F$16,MATCH($D10,WBS_CBS!$A$5:$A$16,0)),""))</f>
        <v/>
      </c>
      <c r="Y10" s="149" t="n"/>
      <c r="Z10" s="149" t="n"/>
      <c r="AA10" s="150">
        <f>IF($D10="","",IFERROR(INDEX(WBS_CBS!$L$5:$L$16,MATCH($D10,WBS_CBS!$A$5:$A$16,0)),""))</f>
        <v/>
      </c>
      <c r="AB10" s="149" t="n"/>
    </row>
    <row r="11">
      <c r="A11" s="149" t="n"/>
      <c r="B11" s="149" t="n"/>
      <c r="C11" s="150">
        <f>IF($D11="","",IFERROR(INDEX(WBS_CBS!$E$5:$E$16,MATCH($D11,WBS_CBS!$A$5:$A$16,0)),""))</f>
        <v/>
      </c>
      <c r="D11" s="149" t="n"/>
      <c r="E11" s="150">
        <f>IF($D11="","",IFERROR(INDEX(WBS_CBS!$C$5:$C$16,MATCH($D11,WBS_CBS!$A$5:$A$16,0)),""))</f>
        <v/>
      </c>
      <c r="F11" s="150">
        <f>IF($D11="","",IFERROR(INDEX(WBS_CBS!$J$5:$J$16,MATCH($D11,WBS_CBS!$A$5:$A$16,0)),""))</f>
        <v/>
      </c>
      <c r="G11" s="149" t="n"/>
      <c r="H11" s="151" t="n"/>
      <c r="I11" s="149" t="n"/>
      <c r="J11" s="152" t="n"/>
      <c r="K11" s="149" t="n"/>
      <c r="L11" s="153">
        <f>IF($K11="","",IFERROR(INDEX(FX_Rates!$B$5:$B$14,MATCH($K11,FX_Rates!$A$5:$A$14,0)),""))</f>
        <v/>
      </c>
      <c r="M11" s="153">
        <f>IF(OR($H11="",$J11=""),"",$H11*$J11)</f>
        <v/>
      </c>
      <c r="N11" s="153">
        <f>IF(OR($M11="",$L11=""),"",$M11*$L11)</f>
        <v/>
      </c>
      <c r="O11" s="149" t="n"/>
      <c r="P11" s="154">
        <f>IF($O11="","",IFERROR(INDEX(Basis_of_Estimate!$C$5:$C$9,MATCH($O11,Basis_of_Estimate!$A$5:$A$9,0)),""))</f>
        <v/>
      </c>
      <c r="Q11" s="154">
        <f>IF($O11="","",IFERROR(INDEX(Basis_of_Estimate!$D$5:$D$9,MATCH($O11,Basis_of_Estimate!$A$5:$A$9,0)),""))</f>
        <v/>
      </c>
      <c r="R11" s="153">
        <f>IF($N11="","",$N11*(1+$P11))</f>
        <v/>
      </c>
      <c r="S11" s="153">
        <f>IF($N11="","",$N11)</f>
        <v/>
      </c>
      <c r="T11" s="153">
        <f>IF($N11="","",$N11*(1+$Q11))</f>
        <v/>
      </c>
      <c r="U11" s="150">
        <f>IF($D11="","",IFERROR(INDEX(WBS_CBS!$M$5:$M$16,MATCH($D11,WBS_CBS!$A$5:$A$16,0)),"Yes"))</f>
        <v/>
      </c>
      <c r="V11" s="150">
        <f>IF($D11="","",IFERROR(INDEX(WBS_CBS!$N$5:$N$16,MATCH($D11,WBS_CBS!$A$5:$A$16,0)),"Yes"))</f>
        <v/>
      </c>
      <c r="W11" s="150">
        <f>IF($D11="","",IFERROR(INDEX(WBS_CBS!$K$5:$K$16,MATCH($D11,WBS_CBS!$A$5:$A$16,0)),""))</f>
        <v/>
      </c>
      <c r="X11" s="150">
        <f>IF($D11="","",IFERROR(INDEX(WBS_CBS!$F$5:$F$16,MATCH($D11,WBS_CBS!$A$5:$A$16,0)),""))</f>
        <v/>
      </c>
      <c r="Y11" s="149" t="n"/>
      <c r="Z11" s="149" t="n"/>
      <c r="AA11" s="150">
        <f>IF($D11="","",IFERROR(INDEX(WBS_CBS!$L$5:$L$16,MATCH($D11,WBS_CBS!$A$5:$A$16,0)),""))</f>
        <v/>
      </c>
      <c r="AB11" s="149" t="n"/>
    </row>
    <row r="12">
      <c r="A12" s="149" t="n"/>
      <c r="B12" s="149" t="n"/>
      <c r="C12" s="150">
        <f>IF($D12="","",IFERROR(INDEX(WBS_CBS!$E$5:$E$16,MATCH($D12,WBS_CBS!$A$5:$A$16,0)),""))</f>
        <v/>
      </c>
      <c r="D12" s="149" t="n"/>
      <c r="E12" s="150">
        <f>IF($D12="","",IFERROR(INDEX(WBS_CBS!$C$5:$C$16,MATCH($D12,WBS_CBS!$A$5:$A$16,0)),""))</f>
        <v/>
      </c>
      <c r="F12" s="150">
        <f>IF($D12="","",IFERROR(INDEX(WBS_CBS!$J$5:$J$16,MATCH($D12,WBS_CBS!$A$5:$A$16,0)),""))</f>
        <v/>
      </c>
      <c r="G12" s="149" t="n"/>
      <c r="H12" s="151" t="n"/>
      <c r="I12" s="149" t="n"/>
      <c r="J12" s="152" t="n"/>
      <c r="K12" s="149" t="n"/>
      <c r="L12" s="153">
        <f>IF($K12="","",IFERROR(INDEX(FX_Rates!$B$5:$B$14,MATCH($K12,FX_Rates!$A$5:$A$14,0)),""))</f>
        <v/>
      </c>
      <c r="M12" s="153">
        <f>IF(OR($H12="",$J12=""),"",$H12*$J12)</f>
        <v/>
      </c>
      <c r="N12" s="153">
        <f>IF(OR($M12="",$L12=""),"",$M12*$L12)</f>
        <v/>
      </c>
      <c r="O12" s="149" t="n"/>
      <c r="P12" s="154">
        <f>IF($O12="","",IFERROR(INDEX(Basis_of_Estimate!$C$5:$C$9,MATCH($O12,Basis_of_Estimate!$A$5:$A$9,0)),""))</f>
        <v/>
      </c>
      <c r="Q12" s="154">
        <f>IF($O12="","",IFERROR(INDEX(Basis_of_Estimate!$D$5:$D$9,MATCH($O12,Basis_of_Estimate!$A$5:$A$9,0)),""))</f>
        <v/>
      </c>
      <c r="R12" s="153">
        <f>IF($N12="","",$N12*(1+$P12))</f>
        <v/>
      </c>
      <c r="S12" s="153">
        <f>IF($N12="","",$N12)</f>
        <v/>
      </c>
      <c r="T12" s="153">
        <f>IF($N12="","",$N12*(1+$Q12))</f>
        <v/>
      </c>
      <c r="U12" s="150">
        <f>IF($D12="","",IFERROR(INDEX(WBS_CBS!$M$5:$M$16,MATCH($D12,WBS_CBS!$A$5:$A$16,0)),"Yes"))</f>
        <v/>
      </c>
      <c r="V12" s="150">
        <f>IF($D12="","",IFERROR(INDEX(WBS_CBS!$N$5:$N$16,MATCH($D12,WBS_CBS!$A$5:$A$16,0)),"Yes"))</f>
        <v/>
      </c>
      <c r="W12" s="150">
        <f>IF($D12="","",IFERROR(INDEX(WBS_CBS!$K$5:$K$16,MATCH($D12,WBS_CBS!$A$5:$A$16,0)),""))</f>
        <v/>
      </c>
      <c r="X12" s="150">
        <f>IF($D12="","",IFERROR(INDEX(WBS_CBS!$F$5:$F$16,MATCH($D12,WBS_CBS!$A$5:$A$16,0)),""))</f>
        <v/>
      </c>
      <c r="Y12" s="149" t="n"/>
      <c r="Z12" s="149" t="n"/>
      <c r="AA12" s="150">
        <f>IF($D12="","",IFERROR(INDEX(WBS_CBS!$L$5:$L$16,MATCH($D12,WBS_CBS!$A$5:$A$16,0)),""))</f>
        <v/>
      </c>
      <c r="AB12" s="149" t="n"/>
    </row>
    <row r="13">
      <c r="A13" s="149" t="n"/>
      <c r="B13" s="149" t="n"/>
      <c r="C13" s="150">
        <f>IF($D13="","",IFERROR(INDEX(WBS_CBS!$E$5:$E$16,MATCH($D13,WBS_CBS!$A$5:$A$16,0)),""))</f>
        <v/>
      </c>
      <c r="D13" s="149" t="n"/>
      <c r="E13" s="150">
        <f>IF($D13="","",IFERROR(INDEX(WBS_CBS!$C$5:$C$16,MATCH($D13,WBS_CBS!$A$5:$A$16,0)),""))</f>
        <v/>
      </c>
      <c r="F13" s="150">
        <f>IF($D13="","",IFERROR(INDEX(WBS_CBS!$J$5:$J$16,MATCH($D13,WBS_CBS!$A$5:$A$16,0)),""))</f>
        <v/>
      </c>
      <c r="G13" s="149" t="n"/>
      <c r="H13" s="151" t="n"/>
      <c r="I13" s="149" t="n"/>
      <c r="J13" s="152" t="n"/>
      <c r="K13" s="149" t="n"/>
      <c r="L13" s="153">
        <f>IF($K13="","",IFERROR(INDEX(FX_Rates!$B$5:$B$14,MATCH($K13,FX_Rates!$A$5:$A$14,0)),""))</f>
        <v/>
      </c>
      <c r="M13" s="153">
        <f>IF(OR($H13="",$J13=""),"",$H13*$J13)</f>
        <v/>
      </c>
      <c r="N13" s="153">
        <f>IF(OR($M13="",$L13=""),"",$M13*$L13)</f>
        <v/>
      </c>
      <c r="O13" s="149" t="n"/>
      <c r="P13" s="154">
        <f>IF($O13="","",IFERROR(INDEX(Basis_of_Estimate!$C$5:$C$9,MATCH($O13,Basis_of_Estimate!$A$5:$A$9,0)),""))</f>
        <v/>
      </c>
      <c r="Q13" s="154">
        <f>IF($O13="","",IFERROR(INDEX(Basis_of_Estimate!$D$5:$D$9,MATCH($O13,Basis_of_Estimate!$A$5:$A$9,0)),""))</f>
        <v/>
      </c>
      <c r="R13" s="153">
        <f>IF($N13="","",$N13*(1+$P13))</f>
        <v/>
      </c>
      <c r="S13" s="153">
        <f>IF($N13="","",$N13)</f>
        <v/>
      </c>
      <c r="T13" s="153">
        <f>IF($N13="","",$N13*(1+$Q13))</f>
        <v/>
      </c>
      <c r="U13" s="150">
        <f>IF($D13="","",IFERROR(INDEX(WBS_CBS!$M$5:$M$16,MATCH($D13,WBS_CBS!$A$5:$A$16,0)),"Yes"))</f>
        <v/>
      </c>
      <c r="V13" s="150">
        <f>IF($D13="","",IFERROR(INDEX(WBS_CBS!$N$5:$N$16,MATCH($D13,WBS_CBS!$A$5:$A$16,0)),"Yes"))</f>
        <v/>
      </c>
      <c r="W13" s="150">
        <f>IF($D13="","",IFERROR(INDEX(WBS_CBS!$K$5:$K$16,MATCH($D13,WBS_CBS!$A$5:$A$16,0)),""))</f>
        <v/>
      </c>
      <c r="X13" s="150">
        <f>IF($D13="","",IFERROR(INDEX(WBS_CBS!$F$5:$F$16,MATCH($D13,WBS_CBS!$A$5:$A$16,0)),""))</f>
        <v/>
      </c>
      <c r="Y13" s="149" t="n"/>
      <c r="Z13" s="149" t="n"/>
      <c r="AA13" s="150">
        <f>IF($D13="","",IFERROR(INDEX(WBS_CBS!$L$5:$L$16,MATCH($D13,WBS_CBS!$A$5:$A$16,0)),""))</f>
        <v/>
      </c>
      <c r="AB13" s="149" t="n"/>
    </row>
    <row r="14">
      <c r="A14" s="149" t="n"/>
      <c r="B14" s="149" t="n"/>
      <c r="C14" s="150">
        <f>IF($D14="","",IFERROR(INDEX(WBS_CBS!$E$5:$E$16,MATCH($D14,WBS_CBS!$A$5:$A$16,0)),""))</f>
        <v/>
      </c>
      <c r="D14" s="149" t="n"/>
      <c r="E14" s="150">
        <f>IF($D14="","",IFERROR(INDEX(WBS_CBS!$C$5:$C$16,MATCH($D14,WBS_CBS!$A$5:$A$16,0)),""))</f>
        <v/>
      </c>
      <c r="F14" s="150">
        <f>IF($D14="","",IFERROR(INDEX(WBS_CBS!$J$5:$J$16,MATCH($D14,WBS_CBS!$A$5:$A$16,0)),""))</f>
        <v/>
      </c>
      <c r="G14" s="149" t="n"/>
      <c r="H14" s="151" t="n"/>
      <c r="I14" s="149" t="n"/>
      <c r="J14" s="152" t="n"/>
      <c r="K14" s="149" t="n"/>
      <c r="L14" s="153">
        <f>IF($K14="","",IFERROR(INDEX(FX_Rates!$B$5:$B$14,MATCH($K14,FX_Rates!$A$5:$A$14,0)),""))</f>
        <v/>
      </c>
      <c r="M14" s="153">
        <f>IF(OR($H14="",$J14=""),"",$H14*$J14)</f>
        <v/>
      </c>
      <c r="N14" s="153">
        <f>IF(OR($M14="",$L14=""),"",$M14*$L14)</f>
        <v/>
      </c>
      <c r="O14" s="149" t="n"/>
      <c r="P14" s="154">
        <f>IF($O14="","",IFERROR(INDEX(Basis_of_Estimate!$C$5:$C$9,MATCH($O14,Basis_of_Estimate!$A$5:$A$9,0)),""))</f>
        <v/>
      </c>
      <c r="Q14" s="154">
        <f>IF($O14="","",IFERROR(INDEX(Basis_of_Estimate!$D$5:$D$9,MATCH($O14,Basis_of_Estimate!$A$5:$A$9,0)),""))</f>
        <v/>
      </c>
      <c r="R14" s="153">
        <f>IF($N14="","",$N14*(1+$P14))</f>
        <v/>
      </c>
      <c r="S14" s="153">
        <f>IF($N14="","",$N14)</f>
        <v/>
      </c>
      <c r="T14" s="153">
        <f>IF($N14="","",$N14*(1+$Q14))</f>
        <v/>
      </c>
      <c r="U14" s="150">
        <f>IF($D14="","",IFERROR(INDEX(WBS_CBS!$M$5:$M$16,MATCH($D14,WBS_CBS!$A$5:$A$16,0)),"Yes"))</f>
        <v/>
      </c>
      <c r="V14" s="150">
        <f>IF($D14="","",IFERROR(INDEX(WBS_CBS!$N$5:$N$16,MATCH($D14,WBS_CBS!$A$5:$A$16,0)),"Yes"))</f>
        <v/>
      </c>
      <c r="W14" s="150">
        <f>IF($D14="","",IFERROR(INDEX(WBS_CBS!$K$5:$K$16,MATCH($D14,WBS_CBS!$A$5:$A$16,0)),""))</f>
        <v/>
      </c>
      <c r="X14" s="150">
        <f>IF($D14="","",IFERROR(INDEX(WBS_CBS!$F$5:$F$16,MATCH($D14,WBS_CBS!$A$5:$A$16,0)),""))</f>
        <v/>
      </c>
      <c r="Y14" s="149" t="n"/>
      <c r="Z14" s="149" t="n"/>
      <c r="AA14" s="150">
        <f>IF($D14="","",IFERROR(INDEX(WBS_CBS!$L$5:$L$16,MATCH($D14,WBS_CBS!$A$5:$A$16,0)),""))</f>
        <v/>
      </c>
      <c r="AB14" s="149" t="n"/>
    </row>
    <row r="15">
      <c r="A15" s="149" t="n"/>
      <c r="B15" s="149" t="n"/>
      <c r="C15" s="150">
        <f>IF($D15="","",IFERROR(INDEX(WBS_CBS!$E$5:$E$16,MATCH($D15,WBS_CBS!$A$5:$A$16,0)),""))</f>
        <v/>
      </c>
      <c r="D15" s="149" t="n"/>
      <c r="E15" s="150">
        <f>IF($D15="","",IFERROR(INDEX(WBS_CBS!$C$5:$C$16,MATCH($D15,WBS_CBS!$A$5:$A$16,0)),""))</f>
        <v/>
      </c>
      <c r="F15" s="150">
        <f>IF($D15="","",IFERROR(INDEX(WBS_CBS!$J$5:$J$16,MATCH($D15,WBS_CBS!$A$5:$A$16,0)),""))</f>
        <v/>
      </c>
      <c r="G15" s="149" t="n"/>
      <c r="H15" s="151" t="n"/>
      <c r="I15" s="149" t="n"/>
      <c r="J15" s="152" t="n"/>
      <c r="K15" s="149" t="n"/>
      <c r="L15" s="153">
        <f>IF($K15="","",IFERROR(INDEX(FX_Rates!$B$5:$B$14,MATCH($K15,FX_Rates!$A$5:$A$14,0)),""))</f>
        <v/>
      </c>
      <c r="M15" s="153">
        <f>IF(OR($H15="",$J15=""),"",$H15*$J15)</f>
        <v/>
      </c>
      <c r="N15" s="153">
        <f>IF(OR($M15="",$L15=""),"",$M15*$L15)</f>
        <v/>
      </c>
      <c r="O15" s="149" t="n"/>
      <c r="P15" s="154">
        <f>IF($O15="","",IFERROR(INDEX(Basis_of_Estimate!$C$5:$C$9,MATCH($O15,Basis_of_Estimate!$A$5:$A$9,0)),""))</f>
        <v/>
      </c>
      <c r="Q15" s="154">
        <f>IF($O15="","",IFERROR(INDEX(Basis_of_Estimate!$D$5:$D$9,MATCH($O15,Basis_of_Estimate!$A$5:$A$9,0)),""))</f>
        <v/>
      </c>
      <c r="R15" s="153">
        <f>IF($N15="","",$N15*(1+$P15))</f>
        <v/>
      </c>
      <c r="S15" s="153">
        <f>IF($N15="","",$N15)</f>
        <v/>
      </c>
      <c r="T15" s="153">
        <f>IF($N15="","",$N15*(1+$Q15))</f>
        <v/>
      </c>
      <c r="U15" s="150">
        <f>IF($D15="","",IFERROR(INDEX(WBS_CBS!$M$5:$M$16,MATCH($D15,WBS_CBS!$A$5:$A$16,0)),"Yes"))</f>
        <v/>
      </c>
      <c r="V15" s="150">
        <f>IF($D15="","",IFERROR(INDEX(WBS_CBS!$N$5:$N$16,MATCH($D15,WBS_CBS!$A$5:$A$16,0)),"Yes"))</f>
        <v/>
      </c>
      <c r="W15" s="150">
        <f>IF($D15="","",IFERROR(INDEX(WBS_CBS!$K$5:$K$16,MATCH($D15,WBS_CBS!$A$5:$A$16,0)),""))</f>
        <v/>
      </c>
      <c r="X15" s="150">
        <f>IF($D15="","",IFERROR(INDEX(WBS_CBS!$F$5:$F$16,MATCH($D15,WBS_CBS!$A$5:$A$16,0)),""))</f>
        <v/>
      </c>
      <c r="Y15" s="149" t="n"/>
      <c r="Z15" s="149" t="n"/>
      <c r="AA15" s="150">
        <f>IF($D15="","",IFERROR(INDEX(WBS_CBS!$L$5:$L$16,MATCH($D15,WBS_CBS!$A$5:$A$16,0)),""))</f>
        <v/>
      </c>
      <c r="AB15" s="149" t="n"/>
    </row>
    <row r="16">
      <c r="A16" s="149" t="n"/>
      <c r="B16" s="149" t="n"/>
      <c r="C16" s="150">
        <f>IF($D16="","",IFERROR(INDEX(WBS_CBS!$E$5:$E$16,MATCH($D16,WBS_CBS!$A$5:$A$16,0)),""))</f>
        <v/>
      </c>
      <c r="D16" s="149" t="n"/>
      <c r="E16" s="150">
        <f>IF($D16="","",IFERROR(INDEX(WBS_CBS!$C$5:$C$16,MATCH($D16,WBS_CBS!$A$5:$A$16,0)),""))</f>
        <v/>
      </c>
      <c r="F16" s="150">
        <f>IF($D16="","",IFERROR(INDEX(WBS_CBS!$J$5:$J$16,MATCH($D16,WBS_CBS!$A$5:$A$16,0)),""))</f>
        <v/>
      </c>
      <c r="G16" s="149" t="n"/>
      <c r="H16" s="151" t="n"/>
      <c r="I16" s="149" t="n"/>
      <c r="J16" s="152" t="n"/>
      <c r="K16" s="149" t="n"/>
      <c r="L16" s="153">
        <f>IF($K16="","",IFERROR(INDEX(FX_Rates!$B$5:$B$14,MATCH($K16,FX_Rates!$A$5:$A$14,0)),""))</f>
        <v/>
      </c>
      <c r="M16" s="153">
        <f>IF(OR($H16="",$J16=""),"",$H16*$J16)</f>
        <v/>
      </c>
      <c r="N16" s="153">
        <f>IF(OR($M16="",$L16=""),"",$M16*$L16)</f>
        <v/>
      </c>
      <c r="O16" s="149" t="n"/>
      <c r="P16" s="154">
        <f>IF($O16="","",IFERROR(INDEX(Basis_of_Estimate!$C$5:$C$9,MATCH($O16,Basis_of_Estimate!$A$5:$A$9,0)),""))</f>
        <v/>
      </c>
      <c r="Q16" s="154">
        <f>IF($O16="","",IFERROR(INDEX(Basis_of_Estimate!$D$5:$D$9,MATCH($O16,Basis_of_Estimate!$A$5:$A$9,0)),""))</f>
        <v/>
      </c>
      <c r="R16" s="153">
        <f>IF($N16="","",$N16*(1+$P16))</f>
        <v/>
      </c>
      <c r="S16" s="153">
        <f>IF($N16="","",$N16)</f>
        <v/>
      </c>
      <c r="T16" s="153">
        <f>IF($N16="","",$N16*(1+$Q16))</f>
        <v/>
      </c>
      <c r="U16" s="150">
        <f>IF($D16="","",IFERROR(INDEX(WBS_CBS!$M$5:$M$16,MATCH($D16,WBS_CBS!$A$5:$A$16,0)),"Yes"))</f>
        <v/>
      </c>
      <c r="V16" s="150">
        <f>IF($D16="","",IFERROR(INDEX(WBS_CBS!$N$5:$N$16,MATCH($D16,WBS_CBS!$A$5:$A$16,0)),"Yes"))</f>
        <v/>
      </c>
      <c r="W16" s="150">
        <f>IF($D16="","",IFERROR(INDEX(WBS_CBS!$K$5:$K$16,MATCH($D16,WBS_CBS!$A$5:$A$16,0)),""))</f>
        <v/>
      </c>
      <c r="X16" s="150">
        <f>IF($D16="","",IFERROR(INDEX(WBS_CBS!$F$5:$F$16,MATCH($D16,WBS_CBS!$A$5:$A$16,0)),""))</f>
        <v/>
      </c>
      <c r="Y16" s="149" t="n"/>
      <c r="Z16" s="149" t="n"/>
      <c r="AA16" s="150">
        <f>IF($D16="","",IFERROR(INDEX(WBS_CBS!$L$5:$L$16,MATCH($D16,WBS_CBS!$A$5:$A$16,0)),""))</f>
        <v/>
      </c>
      <c r="AB16" s="149" t="n"/>
    </row>
    <row r="17">
      <c r="A17" s="149" t="n"/>
      <c r="B17" s="149" t="n"/>
      <c r="C17" s="150">
        <f>IF($D17="","",IFERROR(INDEX(WBS_CBS!$E$5:$E$16,MATCH($D17,WBS_CBS!$A$5:$A$16,0)),""))</f>
        <v/>
      </c>
      <c r="D17" s="149" t="n"/>
      <c r="E17" s="150">
        <f>IF($D17="","",IFERROR(INDEX(WBS_CBS!$C$5:$C$16,MATCH($D17,WBS_CBS!$A$5:$A$16,0)),""))</f>
        <v/>
      </c>
      <c r="F17" s="150">
        <f>IF($D17="","",IFERROR(INDEX(WBS_CBS!$J$5:$J$16,MATCH($D17,WBS_CBS!$A$5:$A$16,0)),""))</f>
        <v/>
      </c>
      <c r="G17" s="149" t="n"/>
      <c r="H17" s="151" t="n"/>
      <c r="I17" s="149" t="n"/>
      <c r="J17" s="152" t="n"/>
      <c r="K17" s="149" t="n"/>
      <c r="L17" s="153">
        <f>IF($K17="","",IFERROR(INDEX(FX_Rates!$B$5:$B$14,MATCH($K17,FX_Rates!$A$5:$A$14,0)),""))</f>
        <v/>
      </c>
      <c r="M17" s="153">
        <f>IF(OR($H17="",$J17=""),"",$H17*$J17)</f>
        <v/>
      </c>
      <c r="N17" s="153">
        <f>IF(OR($M17="",$L17=""),"",$M17*$L17)</f>
        <v/>
      </c>
      <c r="O17" s="149" t="n"/>
      <c r="P17" s="154">
        <f>IF($O17="","",IFERROR(INDEX(Basis_of_Estimate!$C$5:$C$9,MATCH($O17,Basis_of_Estimate!$A$5:$A$9,0)),""))</f>
        <v/>
      </c>
      <c r="Q17" s="154">
        <f>IF($O17="","",IFERROR(INDEX(Basis_of_Estimate!$D$5:$D$9,MATCH($O17,Basis_of_Estimate!$A$5:$A$9,0)),""))</f>
        <v/>
      </c>
      <c r="R17" s="153">
        <f>IF($N17="","",$N17*(1+$P17))</f>
        <v/>
      </c>
      <c r="S17" s="153">
        <f>IF($N17="","",$N17)</f>
        <v/>
      </c>
      <c r="T17" s="153">
        <f>IF($N17="","",$N17*(1+$Q17))</f>
        <v/>
      </c>
      <c r="U17" s="150">
        <f>IF($D17="","",IFERROR(INDEX(WBS_CBS!$M$5:$M$16,MATCH($D17,WBS_CBS!$A$5:$A$16,0)),"Yes"))</f>
        <v/>
      </c>
      <c r="V17" s="150">
        <f>IF($D17="","",IFERROR(INDEX(WBS_CBS!$N$5:$N$16,MATCH($D17,WBS_CBS!$A$5:$A$16,0)),"Yes"))</f>
        <v/>
      </c>
      <c r="W17" s="150">
        <f>IF($D17="","",IFERROR(INDEX(WBS_CBS!$K$5:$K$16,MATCH($D17,WBS_CBS!$A$5:$A$16,0)),""))</f>
        <v/>
      </c>
      <c r="X17" s="150">
        <f>IF($D17="","",IFERROR(INDEX(WBS_CBS!$F$5:$F$16,MATCH($D17,WBS_CBS!$A$5:$A$16,0)),""))</f>
        <v/>
      </c>
      <c r="Y17" s="149" t="n"/>
      <c r="Z17" s="149" t="n"/>
      <c r="AA17" s="150">
        <f>IF($D17="","",IFERROR(INDEX(WBS_CBS!$L$5:$L$16,MATCH($D17,WBS_CBS!$A$5:$A$16,0)),""))</f>
        <v/>
      </c>
      <c r="AB17" s="149" t="n"/>
    </row>
    <row r="18">
      <c r="A18" s="149" t="n"/>
      <c r="B18" s="149" t="n"/>
      <c r="C18" s="150">
        <f>IF($D18="","",IFERROR(INDEX(WBS_CBS!$E$5:$E$16,MATCH($D18,WBS_CBS!$A$5:$A$16,0)),""))</f>
        <v/>
      </c>
      <c r="D18" s="149" t="n"/>
      <c r="E18" s="150">
        <f>IF($D18="","",IFERROR(INDEX(WBS_CBS!$C$5:$C$16,MATCH($D18,WBS_CBS!$A$5:$A$16,0)),""))</f>
        <v/>
      </c>
      <c r="F18" s="150">
        <f>IF($D18="","",IFERROR(INDEX(WBS_CBS!$J$5:$J$16,MATCH($D18,WBS_CBS!$A$5:$A$16,0)),""))</f>
        <v/>
      </c>
      <c r="G18" s="149" t="n"/>
      <c r="H18" s="151" t="n"/>
      <c r="I18" s="149" t="n"/>
      <c r="J18" s="152" t="n"/>
      <c r="K18" s="149" t="n"/>
      <c r="L18" s="153">
        <f>IF($K18="","",IFERROR(INDEX(FX_Rates!$B$5:$B$14,MATCH($K18,FX_Rates!$A$5:$A$14,0)),""))</f>
        <v/>
      </c>
      <c r="M18" s="153">
        <f>IF(OR($H18="",$J18=""),"",$H18*$J18)</f>
        <v/>
      </c>
      <c r="N18" s="153">
        <f>IF(OR($M18="",$L18=""),"",$M18*$L18)</f>
        <v/>
      </c>
      <c r="O18" s="149" t="n"/>
      <c r="P18" s="154">
        <f>IF($O18="","",IFERROR(INDEX(Basis_of_Estimate!$C$5:$C$9,MATCH($O18,Basis_of_Estimate!$A$5:$A$9,0)),""))</f>
        <v/>
      </c>
      <c r="Q18" s="154">
        <f>IF($O18="","",IFERROR(INDEX(Basis_of_Estimate!$D$5:$D$9,MATCH($O18,Basis_of_Estimate!$A$5:$A$9,0)),""))</f>
        <v/>
      </c>
      <c r="R18" s="153">
        <f>IF($N18="","",$N18*(1+$P18))</f>
        <v/>
      </c>
      <c r="S18" s="153">
        <f>IF($N18="","",$N18)</f>
        <v/>
      </c>
      <c r="T18" s="153">
        <f>IF($N18="","",$N18*(1+$Q18))</f>
        <v/>
      </c>
      <c r="U18" s="150">
        <f>IF($D18="","",IFERROR(INDEX(WBS_CBS!$M$5:$M$16,MATCH($D18,WBS_CBS!$A$5:$A$16,0)),"Yes"))</f>
        <v/>
      </c>
      <c r="V18" s="150">
        <f>IF($D18="","",IFERROR(INDEX(WBS_CBS!$N$5:$N$16,MATCH($D18,WBS_CBS!$A$5:$A$16,0)),"Yes"))</f>
        <v/>
      </c>
      <c r="W18" s="150">
        <f>IF($D18="","",IFERROR(INDEX(WBS_CBS!$K$5:$K$16,MATCH($D18,WBS_CBS!$A$5:$A$16,0)),""))</f>
        <v/>
      </c>
      <c r="X18" s="150">
        <f>IF($D18="","",IFERROR(INDEX(WBS_CBS!$F$5:$F$16,MATCH($D18,WBS_CBS!$A$5:$A$16,0)),""))</f>
        <v/>
      </c>
      <c r="Y18" s="149" t="n"/>
      <c r="Z18" s="149" t="n"/>
      <c r="AA18" s="150">
        <f>IF($D18="","",IFERROR(INDEX(WBS_CBS!$L$5:$L$16,MATCH($D18,WBS_CBS!$A$5:$A$16,0)),""))</f>
        <v/>
      </c>
      <c r="AB18" s="149" t="n"/>
    </row>
    <row r="19">
      <c r="A19" s="149" t="n"/>
      <c r="B19" s="149" t="n"/>
      <c r="C19" s="150">
        <f>IF($D19="","",IFERROR(INDEX(WBS_CBS!$E$5:$E$16,MATCH($D19,WBS_CBS!$A$5:$A$16,0)),""))</f>
        <v/>
      </c>
      <c r="D19" s="149" t="n"/>
      <c r="E19" s="150">
        <f>IF($D19="","",IFERROR(INDEX(WBS_CBS!$C$5:$C$16,MATCH($D19,WBS_CBS!$A$5:$A$16,0)),""))</f>
        <v/>
      </c>
      <c r="F19" s="150">
        <f>IF($D19="","",IFERROR(INDEX(WBS_CBS!$J$5:$J$16,MATCH($D19,WBS_CBS!$A$5:$A$16,0)),""))</f>
        <v/>
      </c>
      <c r="G19" s="149" t="n"/>
      <c r="H19" s="151" t="n"/>
      <c r="I19" s="149" t="n"/>
      <c r="J19" s="152" t="n"/>
      <c r="K19" s="149" t="n"/>
      <c r="L19" s="153">
        <f>IF($K19="","",IFERROR(INDEX(FX_Rates!$B$5:$B$14,MATCH($K19,FX_Rates!$A$5:$A$14,0)),""))</f>
        <v/>
      </c>
      <c r="M19" s="153">
        <f>IF(OR($H19="",$J19=""),"",$H19*$J19)</f>
        <v/>
      </c>
      <c r="N19" s="153">
        <f>IF(OR($M19="",$L19=""),"",$M19*$L19)</f>
        <v/>
      </c>
      <c r="O19" s="149" t="n"/>
      <c r="P19" s="154">
        <f>IF($O19="","",IFERROR(INDEX(Basis_of_Estimate!$C$5:$C$9,MATCH($O19,Basis_of_Estimate!$A$5:$A$9,0)),""))</f>
        <v/>
      </c>
      <c r="Q19" s="154">
        <f>IF($O19="","",IFERROR(INDEX(Basis_of_Estimate!$D$5:$D$9,MATCH($O19,Basis_of_Estimate!$A$5:$A$9,0)),""))</f>
        <v/>
      </c>
      <c r="R19" s="153">
        <f>IF($N19="","",$N19*(1+$P19))</f>
        <v/>
      </c>
      <c r="S19" s="153">
        <f>IF($N19="","",$N19)</f>
        <v/>
      </c>
      <c r="T19" s="153">
        <f>IF($N19="","",$N19*(1+$Q19))</f>
        <v/>
      </c>
      <c r="U19" s="150">
        <f>IF($D19="","",IFERROR(INDEX(WBS_CBS!$M$5:$M$16,MATCH($D19,WBS_CBS!$A$5:$A$16,0)),"Yes"))</f>
        <v/>
      </c>
      <c r="V19" s="150">
        <f>IF($D19="","",IFERROR(INDEX(WBS_CBS!$N$5:$N$16,MATCH($D19,WBS_CBS!$A$5:$A$16,0)),"Yes"))</f>
        <v/>
      </c>
      <c r="W19" s="150">
        <f>IF($D19="","",IFERROR(INDEX(WBS_CBS!$K$5:$K$16,MATCH($D19,WBS_CBS!$A$5:$A$16,0)),""))</f>
        <v/>
      </c>
      <c r="X19" s="150">
        <f>IF($D19="","",IFERROR(INDEX(WBS_CBS!$F$5:$F$16,MATCH($D19,WBS_CBS!$A$5:$A$16,0)),""))</f>
        <v/>
      </c>
      <c r="Y19" s="149" t="n"/>
      <c r="Z19" s="149" t="n"/>
      <c r="AA19" s="150">
        <f>IF($D19="","",IFERROR(INDEX(WBS_CBS!$L$5:$L$16,MATCH($D19,WBS_CBS!$A$5:$A$16,0)),""))</f>
        <v/>
      </c>
      <c r="AB19" s="149" t="n"/>
    </row>
    <row r="20">
      <c r="A20" s="149" t="n"/>
      <c r="B20" s="149" t="n"/>
      <c r="C20" s="150">
        <f>IF($D20="","",IFERROR(INDEX(WBS_CBS!$E$5:$E$16,MATCH($D20,WBS_CBS!$A$5:$A$16,0)),""))</f>
        <v/>
      </c>
      <c r="D20" s="149" t="n"/>
      <c r="E20" s="150">
        <f>IF($D20="","",IFERROR(INDEX(WBS_CBS!$C$5:$C$16,MATCH($D20,WBS_CBS!$A$5:$A$16,0)),""))</f>
        <v/>
      </c>
      <c r="F20" s="150">
        <f>IF($D20="","",IFERROR(INDEX(WBS_CBS!$J$5:$J$16,MATCH($D20,WBS_CBS!$A$5:$A$16,0)),""))</f>
        <v/>
      </c>
      <c r="G20" s="149" t="n"/>
      <c r="H20" s="151" t="n"/>
      <c r="I20" s="149" t="n"/>
      <c r="J20" s="152" t="n"/>
      <c r="K20" s="149" t="n"/>
      <c r="L20" s="153">
        <f>IF($K20="","",IFERROR(INDEX(FX_Rates!$B$5:$B$14,MATCH($K20,FX_Rates!$A$5:$A$14,0)),""))</f>
        <v/>
      </c>
      <c r="M20" s="153">
        <f>IF(OR($H20="",$J20=""),"",$H20*$J20)</f>
        <v/>
      </c>
      <c r="N20" s="153">
        <f>IF(OR($M20="",$L20=""),"",$M20*$L20)</f>
        <v/>
      </c>
      <c r="O20" s="149" t="n"/>
      <c r="P20" s="154">
        <f>IF($O20="","",IFERROR(INDEX(Basis_of_Estimate!$C$5:$C$9,MATCH($O20,Basis_of_Estimate!$A$5:$A$9,0)),""))</f>
        <v/>
      </c>
      <c r="Q20" s="154">
        <f>IF($O20="","",IFERROR(INDEX(Basis_of_Estimate!$D$5:$D$9,MATCH($O20,Basis_of_Estimate!$A$5:$A$9,0)),""))</f>
        <v/>
      </c>
      <c r="R20" s="153">
        <f>IF($N20="","",$N20*(1+$P20))</f>
        <v/>
      </c>
      <c r="S20" s="153">
        <f>IF($N20="","",$N20)</f>
        <v/>
      </c>
      <c r="T20" s="153">
        <f>IF($N20="","",$N20*(1+$Q20))</f>
        <v/>
      </c>
      <c r="U20" s="150">
        <f>IF($D20="","",IFERROR(INDEX(WBS_CBS!$M$5:$M$16,MATCH($D20,WBS_CBS!$A$5:$A$16,0)),"Yes"))</f>
        <v/>
      </c>
      <c r="V20" s="150">
        <f>IF($D20="","",IFERROR(INDEX(WBS_CBS!$N$5:$N$16,MATCH($D20,WBS_CBS!$A$5:$A$16,0)),"Yes"))</f>
        <v/>
      </c>
      <c r="W20" s="150">
        <f>IF($D20="","",IFERROR(INDEX(WBS_CBS!$K$5:$K$16,MATCH($D20,WBS_CBS!$A$5:$A$16,0)),""))</f>
        <v/>
      </c>
      <c r="X20" s="150">
        <f>IF($D20="","",IFERROR(INDEX(WBS_CBS!$F$5:$F$16,MATCH($D20,WBS_CBS!$A$5:$A$16,0)),""))</f>
        <v/>
      </c>
      <c r="Y20" s="149" t="n"/>
      <c r="Z20" s="149" t="n"/>
      <c r="AA20" s="150">
        <f>IF($D20="","",IFERROR(INDEX(WBS_CBS!$L$5:$L$16,MATCH($D20,WBS_CBS!$A$5:$A$16,0)),""))</f>
        <v/>
      </c>
      <c r="AB20" s="149" t="n"/>
    </row>
    <row r="21">
      <c r="A21" s="149" t="n"/>
      <c r="B21" s="149" t="n"/>
      <c r="C21" s="150">
        <f>IF($D21="","",IFERROR(INDEX(WBS_CBS!$E$5:$E$16,MATCH($D21,WBS_CBS!$A$5:$A$16,0)),""))</f>
        <v/>
      </c>
      <c r="D21" s="149" t="n"/>
      <c r="E21" s="150">
        <f>IF($D21="","",IFERROR(INDEX(WBS_CBS!$C$5:$C$16,MATCH($D21,WBS_CBS!$A$5:$A$16,0)),""))</f>
        <v/>
      </c>
      <c r="F21" s="150">
        <f>IF($D21="","",IFERROR(INDEX(WBS_CBS!$J$5:$J$16,MATCH($D21,WBS_CBS!$A$5:$A$16,0)),""))</f>
        <v/>
      </c>
      <c r="G21" s="149" t="n"/>
      <c r="H21" s="151" t="n"/>
      <c r="I21" s="149" t="n"/>
      <c r="J21" s="152" t="n"/>
      <c r="K21" s="149" t="n"/>
      <c r="L21" s="153">
        <f>IF($K21="","",IFERROR(INDEX(FX_Rates!$B$5:$B$14,MATCH($K21,FX_Rates!$A$5:$A$14,0)),""))</f>
        <v/>
      </c>
      <c r="M21" s="153">
        <f>IF(OR($H21="",$J21=""),"",$H21*$J21)</f>
        <v/>
      </c>
      <c r="N21" s="153">
        <f>IF(OR($M21="",$L21=""),"",$M21*$L21)</f>
        <v/>
      </c>
      <c r="O21" s="149" t="n"/>
      <c r="P21" s="154">
        <f>IF($O21="","",IFERROR(INDEX(Basis_of_Estimate!$C$5:$C$9,MATCH($O21,Basis_of_Estimate!$A$5:$A$9,0)),""))</f>
        <v/>
      </c>
      <c r="Q21" s="154">
        <f>IF($O21="","",IFERROR(INDEX(Basis_of_Estimate!$D$5:$D$9,MATCH($O21,Basis_of_Estimate!$A$5:$A$9,0)),""))</f>
        <v/>
      </c>
      <c r="R21" s="153">
        <f>IF($N21="","",$N21*(1+$P21))</f>
        <v/>
      </c>
      <c r="S21" s="153">
        <f>IF($N21="","",$N21)</f>
        <v/>
      </c>
      <c r="T21" s="153">
        <f>IF($N21="","",$N21*(1+$Q21))</f>
        <v/>
      </c>
      <c r="U21" s="150">
        <f>IF($D21="","",IFERROR(INDEX(WBS_CBS!$M$5:$M$16,MATCH($D21,WBS_CBS!$A$5:$A$16,0)),"Yes"))</f>
        <v/>
      </c>
      <c r="V21" s="150">
        <f>IF($D21="","",IFERROR(INDEX(WBS_CBS!$N$5:$N$16,MATCH($D21,WBS_CBS!$A$5:$A$16,0)),"Yes"))</f>
        <v/>
      </c>
      <c r="W21" s="150">
        <f>IF($D21="","",IFERROR(INDEX(WBS_CBS!$K$5:$K$16,MATCH($D21,WBS_CBS!$A$5:$A$16,0)),""))</f>
        <v/>
      </c>
      <c r="X21" s="150">
        <f>IF($D21="","",IFERROR(INDEX(WBS_CBS!$F$5:$F$16,MATCH($D21,WBS_CBS!$A$5:$A$16,0)),""))</f>
        <v/>
      </c>
      <c r="Y21" s="149" t="n"/>
      <c r="Z21" s="149" t="n"/>
      <c r="AA21" s="150">
        <f>IF($D21="","",IFERROR(INDEX(WBS_CBS!$L$5:$L$16,MATCH($D21,WBS_CBS!$A$5:$A$16,0)),""))</f>
        <v/>
      </c>
      <c r="AB21" s="149" t="n"/>
    </row>
    <row r="22">
      <c r="A22" s="149" t="n"/>
      <c r="B22" s="149" t="n"/>
      <c r="C22" s="150">
        <f>IF($D22="","",IFERROR(INDEX(WBS_CBS!$E$5:$E$16,MATCH($D22,WBS_CBS!$A$5:$A$16,0)),""))</f>
        <v/>
      </c>
      <c r="D22" s="149" t="n"/>
      <c r="E22" s="150">
        <f>IF($D22="","",IFERROR(INDEX(WBS_CBS!$C$5:$C$16,MATCH($D22,WBS_CBS!$A$5:$A$16,0)),""))</f>
        <v/>
      </c>
      <c r="F22" s="150">
        <f>IF($D22="","",IFERROR(INDEX(WBS_CBS!$J$5:$J$16,MATCH($D22,WBS_CBS!$A$5:$A$16,0)),""))</f>
        <v/>
      </c>
      <c r="G22" s="149" t="n"/>
      <c r="H22" s="151" t="n"/>
      <c r="I22" s="149" t="n"/>
      <c r="J22" s="152" t="n"/>
      <c r="K22" s="149" t="n"/>
      <c r="L22" s="153">
        <f>IF($K22="","",IFERROR(INDEX(FX_Rates!$B$5:$B$14,MATCH($K22,FX_Rates!$A$5:$A$14,0)),""))</f>
        <v/>
      </c>
      <c r="M22" s="153">
        <f>IF(OR($H22="",$J22=""),"",$H22*$J22)</f>
        <v/>
      </c>
      <c r="N22" s="153">
        <f>IF(OR($M22="",$L22=""),"",$M22*$L22)</f>
        <v/>
      </c>
      <c r="O22" s="149" t="n"/>
      <c r="P22" s="154">
        <f>IF($O22="","",IFERROR(INDEX(Basis_of_Estimate!$C$5:$C$9,MATCH($O22,Basis_of_Estimate!$A$5:$A$9,0)),""))</f>
        <v/>
      </c>
      <c r="Q22" s="154">
        <f>IF($O22="","",IFERROR(INDEX(Basis_of_Estimate!$D$5:$D$9,MATCH($O22,Basis_of_Estimate!$A$5:$A$9,0)),""))</f>
        <v/>
      </c>
      <c r="R22" s="153">
        <f>IF($N22="","",$N22*(1+$P22))</f>
        <v/>
      </c>
      <c r="S22" s="153">
        <f>IF($N22="","",$N22)</f>
        <v/>
      </c>
      <c r="T22" s="153">
        <f>IF($N22="","",$N22*(1+$Q22))</f>
        <v/>
      </c>
      <c r="U22" s="150">
        <f>IF($D22="","",IFERROR(INDEX(WBS_CBS!$M$5:$M$16,MATCH($D22,WBS_CBS!$A$5:$A$16,0)),"Yes"))</f>
        <v/>
      </c>
      <c r="V22" s="150">
        <f>IF($D22="","",IFERROR(INDEX(WBS_CBS!$N$5:$N$16,MATCH($D22,WBS_CBS!$A$5:$A$16,0)),"Yes"))</f>
        <v/>
      </c>
      <c r="W22" s="150">
        <f>IF($D22="","",IFERROR(INDEX(WBS_CBS!$K$5:$K$16,MATCH($D22,WBS_CBS!$A$5:$A$16,0)),""))</f>
        <v/>
      </c>
      <c r="X22" s="150">
        <f>IF($D22="","",IFERROR(INDEX(WBS_CBS!$F$5:$F$16,MATCH($D22,WBS_CBS!$A$5:$A$16,0)),""))</f>
        <v/>
      </c>
      <c r="Y22" s="149" t="n"/>
      <c r="Z22" s="149" t="n"/>
      <c r="AA22" s="150">
        <f>IF($D22="","",IFERROR(INDEX(WBS_CBS!$L$5:$L$16,MATCH($D22,WBS_CBS!$A$5:$A$16,0)),""))</f>
        <v/>
      </c>
      <c r="AB22" s="149" t="n"/>
    </row>
    <row r="23">
      <c r="A23" s="149" t="n"/>
      <c r="B23" s="149" t="n"/>
      <c r="C23" s="150">
        <f>IF($D23="","",IFERROR(INDEX(WBS_CBS!$E$5:$E$16,MATCH($D23,WBS_CBS!$A$5:$A$16,0)),""))</f>
        <v/>
      </c>
      <c r="D23" s="149" t="n"/>
      <c r="E23" s="150">
        <f>IF($D23="","",IFERROR(INDEX(WBS_CBS!$C$5:$C$16,MATCH($D23,WBS_CBS!$A$5:$A$16,0)),""))</f>
        <v/>
      </c>
      <c r="F23" s="150">
        <f>IF($D23="","",IFERROR(INDEX(WBS_CBS!$J$5:$J$16,MATCH($D23,WBS_CBS!$A$5:$A$16,0)),""))</f>
        <v/>
      </c>
      <c r="G23" s="149" t="n"/>
      <c r="H23" s="151" t="n"/>
      <c r="I23" s="149" t="n"/>
      <c r="J23" s="152" t="n"/>
      <c r="K23" s="149" t="n"/>
      <c r="L23" s="153">
        <f>IF($K23="","",IFERROR(INDEX(FX_Rates!$B$5:$B$14,MATCH($K23,FX_Rates!$A$5:$A$14,0)),""))</f>
        <v/>
      </c>
      <c r="M23" s="153">
        <f>IF(OR($H23="",$J23=""),"",$H23*$J23)</f>
        <v/>
      </c>
      <c r="N23" s="153">
        <f>IF(OR($M23="",$L23=""),"",$M23*$L23)</f>
        <v/>
      </c>
      <c r="O23" s="149" t="n"/>
      <c r="P23" s="154">
        <f>IF($O23="","",IFERROR(INDEX(Basis_of_Estimate!$C$5:$C$9,MATCH($O23,Basis_of_Estimate!$A$5:$A$9,0)),""))</f>
        <v/>
      </c>
      <c r="Q23" s="154">
        <f>IF($O23="","",IFERROR(INDEX(Basis_of_Estimate!$D$5:$D$9,MATCH($O23,Basis_of_Estimate!$A$5:$A$9,0)),""))</f>
        <v/>
      </c>
      <c r="R23" s="153">
        <f>IF($N23="","",$N23*(1+$P23))</f>
        <v/>
      </c>
      <c r="S23" s="153">
        <f>IF($N23="","",$N23)</f>
        <v/>
      </c>
      <c r="T23" s="153">
        <f>IF($N23="","",$N23*(1+$Q23))</f>
        <v/>
      </c>
      <c r="U23" s="150">
        <f>IF($D23="","",IFERROR(INDEX(WBS_CBS!$M$5:$M$16,MATCH($D23,WBS_CBS!$A$5:$A$16,0)),"Yes"))</f>
        <v/>
      </c>
      <c r="V23" s="150">
        <f>IF($D23="","",IFERROR(INDEX(WBS_CBS!$N$5:$N$16,MATCH($D23,WBS_CBS!$A$5:$A$16,0)),"Yes"))</f>
        <v/>
      </c>
      <c r="W23" s="150">
        <f>IF($D23="","",IFERROR(INDEX(WBS_CBS!$K$5:$K$16,MATCH($D23,WBS_CBS!$A$5:$A$16,0)),""))</f>
        <v/>
      </c>
      <c r="X23" s="150">
        <f>IF($D23="","",IFERROR(INDEX(WBS_CBS!$F$5:$F$16,MATCH($D23,WBS_CBS!$A$5:$A$16,0)),""))</f>
        <v/>
      </c>
      <c r="Y23" s="149" t="n"/>
      <c r="Z23" s="149" t="n"/>
      <c r="AA23" s="150">
        <f>IF($D23="","",IFERROR(INDEX(WBS_CBS!$L$5:$L$16,MATCH($D23,WBS_CBS!$A$5:$A$16,0)),""))</f>
        <v/>
      </c>
      <c r="AB23" s="149" t="n"/>
    </row>
    <row r="24">
      <c r="A24" s="149" t="n"/>
      <c r="B24" s="149" t="n"/>
      <c r="C24" s="150">
        <f>IF($D24="","",IFERROR(INDEX(WBS_CBS!$E$5:$E$16,MATCH($D24,WBS_CBS!$A$5:$A$16,0)),""))</f>
        <v/>
      </c>
      <c r="D24" s="149" t="n"/>
      <c r="E24" s="150">
        <f>IF($D24="","",IFERROR(INDEX(WBS_CBS!$C$5:$C$16,MATCH($D24,WBS_CBS!$A$5:$A$16,0)),""))</f>
        <v/>
      </c>
      <c r="F24" s="150">
        <f>IF($D24="","",IFERROR(INDEX(WBS_CBS!$J$5:$J$16,MATCH($D24,WBS_CBS!$A$5:$A$16,0)),""))</f>
        <v/>
      </c>
      <c r="G24" s="149" t="n"/>
      <c r="H24" s="151" t="n"/>
      <c r="I24" s="149" t="n"/>
      <c r="J24" s="152" t="n"/>
      <c r="K24" s="149" t="n"/>
      <c r="L24" s="153">
        <f>IF($K24="","",IFERROR(INDEX(FX_Rates!$B$5:$B$14,MATCH($K24,FX_Rates!$A$5:$A$14,0)),""))</f>
        <v/>
      </c>
      <c r="M24" s="153">
        <f>IF(OR($H24="",$J24=""),"",$H24*$J24)</f>
        <v/>
      </c>
      <c r="N24" s="153">
        <f>IF(OR($M24="",$L24=""),"",$M24*$L24)</f>
        <v/>
      </c>
      <c r="O24" s="149" t="n"/>
      <c r="P24" s="154">
        <f>IF($O24="","",IFERROR(INDEX(Basis_of_Estimate!$C$5:$C$9,MATCH($O24,Basis_of_Estimate!$A$5:$A$9,0)),""))</f>
        <v/>
      </c>
      <c r="Q24" s="154">
        <f>IF($O24="","",IFERROR(INDEX(Basis_of_Estimate!$D$5:$D$9,MATCH($O24,Basis_of_Estimate!$A$5:$A$9,0)),""))</f>
        <v/>
      </c>
      <c r="R24" s="153">
        <f>IF($N24="","",$N24*(1+$P24))</f>
        <v/>
      </c>
      <c r="S24" s="153">
        <f>IF($N24="","",$N24)</f>
        <v/>
      </c>
      <c r="T24" s="153">
        <f>IF($N24="","",$N24*(1+$Q24))</f>
        <v/>
      </c>
      <c r="U24" s="150">
        <f>IF($D24="","",IFERROR(INDEX(WBS_CBS!$M$5:$M$16,MATCH($D24,WBS_CBS!$A$5:$A$16,0)),"Yes"))</f>
        <v/>
      </c>
      <c r="V24" s="150">
        <f>IF($D24="","",IFERROR(INDEX(WBS_CBS!$N$5:$N$16,MATCH($D24,WBS_CBS!$A$5:$A$16,0)),"Yes"))</f>
        <v/>
      </c>
      <c r="W24" s="150">
        <f>IF($D24="","",IFERROR(INDEX(WBS_CBS!$K$5:$K$16,MATCH($D24,WBS_CBS!$A$5:$A$16,0)),""))</f>
        <v/>
      </c>
      <c r="X24" s="150">
        <f>IF($D24="","",IFERROR(INDEX(WBS_CBS!$F$5:$F$16,MATCH($D24,WBS_CBS!$A$5:$A$16,0)),""))</f>
        <v/>
      </c>
      <c r="Y24" s="149" t="n"/>
      <c r="Z24" s="149" t="n"/>
      <c r="AA24" s="150">
        <f>IF($D24="","",IFERROR(INDEX(WBS_CBS!$L$5:$L$16,MATCH($D24,WBS_CBS!$A$5:$A$16,0)),""))</f>
        <v/>
      </c>
      <c r="AB24" s="149" t="n"/>
    </row>
    <row r="25">
      <c r="A25" s="149" t="n"/>
      <c r="B25" s="149" t="n"/>
      <c r="C25" s="150">
        <f>IF($D25="","",IFERROR(INDEX(WBS_CBS!$E$5:$E$16,MATCH($D25,WBS_CBS!$A$5:$A$16,0)),""))</f>
        <v/>
      </c>
      <c r="D25" s="149" t="n"/>
      <c r="E25" s="150">
        <f>IF($D25="","",IFERROR(INDEX(WBS_CBS!$C$5:$C$16,MATCH($D25,WBS_CBS!$A$5:$A$16,0)),""))</f>
        <v/>
      </c>
      <c r="F25" s="150">
        <f>IF($D25="","",IFERROR(INDEX(WBS_CBS!$J$5:$J$16,MATCH($D25,WBS_CBS!$A$5:$A$16,0)),""))</f>
        <v/>
      </c>
      <c r="G25" s="149" t="n"/>
      <c r="H25" s="151" t="n"/>
      <c r="I25" s="149" t="n"/>
      <c r="J25" s="152" t="n"/>
      <c r="K25" s="149" t="n"/>
      <c r="L25" s="153">
        <f>IF($K25="","",IFERROR(INDEX(FX_Rates!$B$5:$B$14,MATCH($K25,FX_Rates!$A$5:$A$14,0)),""))</f>
        <v/>
      </c>
      <c r="M25" s="153">
        <f>IF(OR($H25="",$J25=""),"",$H25*$J25)</f>
        <v/>
      </c>
      <c r="N25" s="153">
        <f>IF(OR($M25="",$L25=""),"",$M25*$L25)</f>
        <v/>
      </c>
      <c r="O25" s="149" t="n"/>
      <c r="P25" s="154">
        <f>IF($O25="","",IFERROR(INDEX(Basis_of_Estimate!$C$5:$C$9,MATCH($O25,Basis_of_Estimate!$A$5:$A$9,0)),""))</f>
        <v/>
      </c>
      <c r="Q25" s="154">
        <f>IF($O25="","",IFERROR(INDEX(Basis_of_Estimate!$D$5:$D$9,MATCH($O25,Basis_of_Estimate!$A$5:$A$9,0)),""))</f>
        <v/>
      </c>
      <c r="R25" s="153">
        <f>IF($N25="","",$N25*(1+$P25))</f>
        <v/>
      </c>
      <c r="S25" s="153">
        <f>IF($N25="","",$N25)</f>
        <v/>
      </c>
      <c r="T25" s="153">
        <f>IF($N25="","",$N25*(1+$Q25))</f>
        <v/>
      </c>
      <c r="U25" s="150">
        <f>IF($D25="","",IFERROR(INDEX(WBS_CBS!$M$5:$M$16,MATCH($D25,WBS_CBS!$A$5:$A$16,0)),"Yes"))</f>
        <v/>
      </c>
      <c r="V25" s="150">
        <f>IF($D25="","",IFERROR(INDEX(WBS_CBS!$N$5:$N$16,MATCH($D25,WBS_CBS!$A$5:$A$16,0)),"Yes"))</f>
        <v/>
      </c>
      <c r="W25" s="150">
        <f>IF($D25="","",IFERROR(INDEX(WBS_CBS!$K$5:$K$16,MATCH($D25,WBS_CBS!$A$5:$A$16,0)),""))</f>
        <v/>
      </c>
      <c r="X25" s="150">
        <f>IF($D25="","",IFERROR(INDEX(WBS_CBS!$F$5:$F$16,MATCH($D25,WBS_CBS!$A$5:$A$16,0)),""))</f>
        <v/>
      </c>
      <c r="Y25" s="149" t="n"/>
      <c r="Z25" s="149" t="n"/>
      <c r="AA25" s="150">
        <f>IF($D25="","",IFERROR(INDEX(WBS_CBS!$L$5:$L$16,MATCH($D25,WBS_CBS!$A$5:$A$16,0)),""))</f>
        <v/>
      </c>
      <c r="AB25" s="149" t="n"/>
    </row>
    <row r="26">
      <c r="A26" s="149" t="n"/>
      <c r="B26" s="149" t="n"/>
      <c r="C26" s="150">
        <f>IF($D26="","",IFERROR(INDEX(WBS_CBS!$E$5:$E$16,MATCH($D26,WBS_CBS!$A$5:$A$16,0)),""))</f>
        <v/>
      </c>
      <c r="D26" s="149" t="n"/>
      <c r="E26" s="150">
        <f>IF($D26="","",IFERROR(INDEX(WBS_CBS!$C$5:$C$16,MATCH($D26,WBS_CBS!$A$5:$A$16,0)),""))</f>
        <v/>
      </c>
      <c r="F26" s="150">
        <f>IF($D26="","",IFERROR(INDEX(WBS_CBS!$J$5:$J$16,MATCH($D26,WBS_CBS!$A$5:$A$16,0)),""))</f>
        <v/>
      </c>
      <c r="G26" s="149" t="n"/>
      <c r="H26" s="151" t="n"/>
      <c r="I26" s="149" t="n"/>
      <c r="J26" s="152" t="n"/>
      <c r="K26" s="149" t="n"/>
      <c r="L26" s="153">
        <f>IF($K26="","",IFERROR(INDEX(FX_Rates!$B$5:$B$14,MATCH($K26,FX_Rates!$A$5:$A$14,0)),""))</f>
        <v/>
      </c>
      <c r="M26" s="153">
        <f>IF(OR($H26="",$J26=""),"",$H26*$J26)</f>
        <v/>
      </c>
      <c r="N26" s="153">
        <f>IF(OR($M26="",$L26=""),"",$M26*$L26)</f>
        <v/>
      </c>
      <c r="O26" s="149" t="n"/>
      <c r="P26" s="154">
        <f>IF($O26="","",IFERROR(INDEX(Basis_of_Estimate!$C$5:$C$9,MATCH($O26,Basis_of_Estimate!$A$5:$A$9,0)),""))</f>
        <v/>
      </c>
      <c r="Q26" s="154">
        <f>IF($O26="","",IFERROR(INDEX(Basis_of_Estimate!$D$5:$D$9,MATCH($O26,Basis_of_Estimate!$A$5:$A$9,0)),""))</f>
        <v/>
      </c>
      <c r="R26" s="153">
        <f>IF($N26="","",$N26*(1+$P26))</f>
        <v/>
      </c>
      <c r="S26" s="153">
        <f>IF($N26="","",$N26)</f>
        <v/>
      </c>
      <c r="T26" s="153">
        <f>IF($N26="","",$N26*(1+$Q26))</f>
        <v/>
      </c>
      <c r="U26" s="150">
        <f>IF($D26="","",IFERROR(INDEX(WBS_CBS!$M$5:$M$16,MATCH($D26,WBS_CBS!$A$5:$A$16,0)),"Yes"))</f>
        <v/>
      </c>
      <c r="V26" s="150">
        <f>IF($D26="","",IFERROR(INDEX(WBS_CBS!$N$5:$N$16,MATCH($D26,WBS_CBS!$A$5:$A$16,0)),"Yes"))</f>
        <v/>
      </c>
      <c r="W26" s="150">
        <f>IF($D26="","",IFERROR(INDEX(WBS_CBS!$K$5:$K$16,MATCH($D26,WBS_CBS!$A$5:$A$16,0)),""))</f>
        <v/>
      </c>
      <c r="X26" s="150">
        <f>IF($D26="","",IFERROR(INDEX(WBS_CBS!$F$5:$F$16,MATCH($D26,WBS_CBS!$A$5:$A$16,0)),""))</f>
        <v/>
      </c>
      <c r="Y26" s="149" t="n"/>
      <c r="Z26" s="149" t="n"/>
      <c r="AA26" s="150">
        <f>IF($D26="","",IFERROR(INDEX(WBS_CBS!$L$5:$L$16,MATCH($D26,WBS_CBS!$A$5:$A$16,0)),""))</f>
        <v/>
      </c>
      <c r="AB26" s="149" t="n"/>
    </row>
    <row r="27">
      <c r="A27" s="149" t="n"/>
      <c r="B27" s="149" t="n"/>
      <c r="C27" s="150">
        <f>IF($D27="","",IFERROR(INDEX(WBS_CBS!$E$5:$E$16,MATCH($D27,WBS_CBS!$A$5:$A$16,0)),""))</f>
        <v/>
      </c>
      <c r="D27" s="149" t="n"/>
      <c r="E27" s="150">
        <f>IF($D27="","",IFERROR(INDEX(WBS_CBS!$C$5:$C$16,MATCH($D27,WBS_CBS!$A$5:$A$16,0)),""))</f>
        <v/>
      </c>
      <c r="F27" s="150">
        <f>IF($D27="","",IFERROR(INDEX(WBS_CBS!$J$5:$J$16,MATCH($D27,WBS_CBS!$A$5:$A$16,0)),""))</f>
        <v/>
      </c>
      <c r="G27" s="149" t="n"/>
      <c r="H27" s="151" t="n"/>
      <c r="I27" s="149" t="n"/>
      <c r="J27" s="152" t="n"/>
      <c r="K27" s="149" t="n"/>
      <c r="L27" s="153">
        <f>IF($K27="","",IFERROR(INDEX(FX_Rates!$B$5:$B$14,MATCH($K27,FX_Rates!$A$5:$A$14,0)),""))</f>
        <v/>
      </c>
      <c r="M27" s="153">
        <f>IF(OR($H27="",$J27=""),"",$H27*$J27)</f>
        <v/>
      </c>
      <c r="N27" s="153">
        <f>IF(OR($M27="",$L27=""),"",$M27*$L27)</f>
        <v/>
      </c>
      <c r="O27" s="149" t="n"/>
      <c r="P27" s="154">
        <f>IF($O27="","",IFERROR(INDEX(Basis_of_Estimate!$C$5:$C$9,MATCH($O27,Basis_of_Estimate!$A$5:$A$9,0)),""))</f>
        <v/>
      </c>
      <c r="Q27" s="154">
        <f>IF($O27="","",IFERROR(INDEX(Basis_of_Estimate!$D$5:$D$9,MATCH($O27,Basis_of_Estimate!$A$5:$A$9,0)),""))</f>
        <v/>
      </c>
      <c r="R27" s="153">
        <f>IF($N27="","",$N27*(1+$P27))</f>
        <v/>
      </c>
      <c r="S27" s="153">
        <f>IF($N27="","",$N27)</f>
        <v/>
      </c>
      <c r="T27" s="153">
        <f>IF($N27="","",$N27*(1+$Q27))</f>
        <v/>
      </c>
      <c r="U27" s="150">
        <f>IF($D27="","",IFERROR(INDEX(WBS_CBS!$M$5:$M$16,MATCH($D27,WBS_CBS!$A$5:$A$16,0)),"Yes"))</f>
        <v/>
      </c>
      <c r="V27" s="150">
        <f>IF($D27="","",IFERROR(INDEX(WBS_CBS!$N$5:$N$16,MATCH($D27,WBS_CBS!$A$5:$A$16,0)),"Yes"))</f>
        <v/>
      </c>
      <c r="W27" s="150">
        <f>IF($D27="","",IFERROR(INDEX(WBS_CBS!$K$5:$K$16,MATCH($D27,WBS_CBS!$A$5:$A$16,0)),""))</f>
        <v/>
      </c>
      <c r="X27" s="150">
        <f>IF($D27="","",IFERROR(INDEX(WBS_CBS!$F$5:$F$16,MATCH($D27,WBS_CBS!$A$5:$A$16,0)),""))</f>
        <v/>
      </c>
      <c r="Y27" s="149" t="n"/>
      <c r="Z27" s="149" t="n"/>
      <c r="AA27" s="150">
        <f>IF($D27="","",IFERROR(INDEX(WBS_CBS!$L$5:$L$16,MATCH($D27,WBS_CBS!$A$5:$A$16,0)),""))</f>
        <v/>
      </c>
      <c r="AB27" s="149" t="n"/>
    </row>
    <row r="28">
      <c r="A28" s="149" t="n"/>
      <c r="B28" s="149" t="n"/>
      <c r="C28" s="150">
        <f>IF($D28="","",IFERROR(INDEX(WBS_CBS!$E$5:$E$16,MATCH($D28,WBS_CBS!$A$5:$A$16,0)),""))</f>
        <v/>
      </c>
      <c r="D28" s="149" t="n"/>
      <c r="E28" s="150">
        <f>IF($D28="","",IFERROR(INDEX(WBS_CBS!$C$5:$C$16,MATCH($D28,WBS_CBS!$A$5:$A$16,0)),""))</f>
        <v/>
      </c>
      <c r="F28" s="150">
        <f>IF($D28="","",IFERROR(INDEX(WBS_CBS!$J$5:$J$16,MATCH($D28,WBS_CBS!$A$5:$A$16,0)),""))</f>
        <v/>
      </c>
      <c r="G28" s="149" t="n"/>
      <c r="H28" s="151" t="n"/>
      <c r="I28" s="149" t="n"/>
      <c r="J28" s="152" t="n"/>
      <c r="K28" s="149" t="n"/>
      <c r="L28" s="153">
        <f>IF($K28="","",IFERROR(INDEX(FX_Rates!$B$5:$B$14,MATCH($K28,FX_Rates!$A$5:$A$14,0)),""))</f>
        <v/>
      </c>
      <c r="M28" s="153">
        <f>IF(OR($H28="",$J28=""),"",$H28*$J28)</f>
        <v/>
      </c>
      <c r="N28" s="153">
        <f>IF(OR($M28="",$L28=""),"",$M28*$L28)</f>
        <v/>
      </c>
      <c r="O28" s="149" t="n"/>
      <c r="P28" s="154">
        <f>IF($O28="","",IFERROR(INDEX(Basis_of_Estimate!$C$5:$C$9,MATCH($O28,Basis_of_Estimate!$A$5:$A$9,0)),""))</f>
        <v/>
      </c>
      <c r="Q28" s="154">
        <f>IF($O28="","",IFERROR(INDEX(Basis_of_Estimate!$D$5:$D$9,MATCH($O28,Basis_of_Estimate!$A$5:$A$9,0)),""))</f>
        <v/>
      </c>
      <c r="R28" s="153">
        <f>IF($N28="","",$N28*(1+$P28))</f>
        <v/>
      </c>
      <c r="S28" s="153">
        <f>IF($N28="","",$N28)</f>
        <v/>
      </c>
      <c r="T28" s="153">
        <f>IF($N28="","",$N28*(1+$Q28))</f>
        <v/>
      </c>
      <c r="U28" s="150">
        <f>IF($D28="","",IFERROR(INDEX(WBS_CBS!$M$5:$M$16,MATCH($D28,WBS_CBS!$A$5:$A$16,0)),"Yes"))</f>
        <v/>
      </c>
      <c r="V28" s="150">
        <f>IF($D28="","",IFERROR(INDEX(WBS_CBS!$N$5:$N$16,MATCH($D28,WBS_CBS!$A$5:$A$16,0)),"Yes"))</f>
        <v/>
      </c>
      <c r="W28" s="150">
        <f>IF($D28="","",IFERROR(INDEX(WBS_CBS!$K$5:$K$16,MATCH($D28,WBS_CBS!$A$5:$A$16,0)),""))</f>
        <v/>
      </c>
      <c r="X28" s="150">
        <f>IF($D28="","",IFERROR(INDEX(WBS_CBS!$F$5:$F$16,MATCH($D28,WBS_CBS!$A$5:$A$16,0)),""))</f>
        <v/>
      </c>
      <c r="Y28" s="149" t="n"/>
      <c r="Z28" s="149" t="n"/>
      <c r="AA28" s="150">
        <f>IF($D28="","",IFERROR(INDEX(WBS_CBS!$L$5:$L$16,MATCH($D28,WBS_CBS!$A$5:$A$16,0)),""))</f>
        <v/>
      </c>
      <c r="AB28" s="149" t="n"/>
    </row>
    <row r="29">
      <c r="A29" s="149" t="n"/>
      <c r="B29" s="149" t="n"/>
      <c r="C29" s="150">
        <f>IF($D29="","",IFERROR(INDEX(WBS_CBS!$E$5:$E$16,MATCH($D29,WBS_CBS!$A$5:$A$16,0)),""))</f>
        <v/>
      </c>
      <c r="D29" s="149" t="n"/>
      <c r="E29" s="150">
        <f>IF($D29="","",IFERROR(INDEX(WBS_CBS!$C$5:$C$16,MATCH($D29,WBS_CBS!$A$5:$A$16,0)),""))</f>
        <v/>
      </c>
      <c r="F29" s="150">
        <f>IF($D29="","",IFERROR(INDEX(WBS_CBS!$J$5:$J$16,MATCH($D29,WBS_CBS!$A$5:$A$16,0)),""))</f>
        <v/>
      </c>
      <c r="G29" s="149" t="n"/>
      <c r="H29" s="151" t="n"/>
      <c r="I29" s="149" t="n"/>
      <c r="J29" s="152" t="n"/>
      <c r="K29" s="149" t="n"/>
      <c r="L29" s="153">
        <f>IF($K29="","",IFERROR(INDEX(FX_Rates!$B$5:$B$14,MATCH($K29,FX_Rates!$A$5:$A$14,0)),""))</f>
        <v/>
      </c>
      <c r="M29" s="153">
        <f>IF(OR($H29="",$J29=""),"",$H29*$J29)</f>
        <v/>
      </c>
      <c r="N29" s="153">
        <f>IF(OR($M29="",$L29=""),"",$M29*$L29)</f>
        <v/>
      </c>
      <c r="O29" s="149" t="n"/>
      <c r="P29" s="154">
        <f>IF($O29="","",IFERROR(INDEX(Basis_of_Estimate!$C$5:$C$9,MATCH($O29,Basis_of_Estimate!$A$5:$A$9,0)),""))</f>
        <v/>
      </c>
      <c r="Q29" s="154">
        <f>IF($O29="","",IFERROR(INDEX(Basis_of_Estimate!$D$5:$D$9,MATCH($O29,Basis_of_Estimate!$A$5:$A$9,0)),""))</f>
        <v/>
      </c>
      <c r="R29" s="153">
        <f>IF($N29="","",$N29*(1+$P29))</f>
        <v/>
      </c>
      <c r="S29" s="153">
        <f>IF($N29="","",$N29)</f>
        <v/>
      </c>
      <c r="T29" s="153">
        <f>IF($N29="","",$N29*(1+$Q29))</f>
        <v/>
      </c>
      <c r="U29" s="150">
        <f>IF($D29="","",IFERROR(INDEX(WBS_CBS!$M$5:$M$16,MATCH($D29,WBS_CBS!$A$5:$A$16,0)),"Yes"))</f>
        <v/>
      </c>
      <c r="V29" s="150">
        <f>IF($D29="","",IFERROR(INDEX(WBS_CBS!$N$5:$N$16,MATCH($D29,WBS_CBS!$A$5:$A$16,0)),"Yes"))</f>
        <v/>
      </c>
      <c r="W29" s="150">
        <f>IF($D29="","",IFERROR(INDEX(WBS_CBS!$K$5:$K$16,MATCH($D29,WBS_CBS!$A$5:$A$16,0)),""))</f>
        <v/>
      </c>
      <c r="X29" s="150">
        <f>IF($D29="","",IFERROR(INDEX(WBS_CBS!$F$5:$F$16,MATCH($D29,WBS_CBS!$A$5:$A$16,0)),""))</f>
        <v/>
      </c>
      <c r="Y29" s="149" t="n"/>
      <c r="Z29" s="149" t="n"/>
      <c r="AA29" s="150">
        <f>IF($D29="","",IFERROR(INDEX(WBS_CBS!$L$5:$L$16,MATCH($D29,WBS_CBS!$A$5:$A$16,0)),""))</f>
        <v/>
      </c>
      <c r="AB29" s="149" t="n"/>
    </row>
    <row r="30">
      <c r="A30" s="149" t="n"/>
      <c r="B30" s="149" t="n"/>
      <c r="C30" s="150">
        <f>IF($D30="","",IFERROR(INDEX(WBS_CBS!$E$5:$E$16,MATCH($D30,WBS_CBS!$A$5:$A$16,0)),""))</f>
        <v/>
      </c>
      <c r="D30" s="149" t="n"/>
      <c r="E30" s="150">
        <f>IF($D30="","",IFERROR(INDEX(WBS_CBS!$C$5:$C$16,MATCH($D30,WBS_CBS!$A$5:$A$16,0)),""))</f>
        <v/>
      </c>
      <c r="F30" s="150">
        <f>IF($D30="","",IFERROR(INDEX(WBS_CBS!$J$5:$J$16,MATCH($D30,WBS_CBS!$A$5:$A$16,0)),""))</f>
        <v/>
      </c>
      <c r="G30" s="149" t="n"/>
      <c r="H30" s="151" t="n"/>
      <c r="I30" s="149" t="n"/>
      <c r="J30" s="152" t="n"/>
      <c r="K30" s="149" t="n"/>
      <c r="L30" s="153">
        <f>IF($K30="","",IFERROR(INDEX(FX_Rates!$B$5:$B$14,MATCH($K30,FX_Rates!$A$5:$A$14,0)),""))</f>
        <v/>
      </c>
      <c r="M30" s="153">
        <f>IF(OR($H30="",$J30=""),"",$H30*$J30)</f>
        <v/>
      </c>
      <c r="N30" s="153">
        <f>IF(OR($M30="",$L30=""),"",$M30*$L30)</f>
        <v/>
      </c>
      <c r="O30" s="149" t="n"/>
      <c r="P30" s="154">
        <f>IF($O30="","",IFERROR(INDEX(Basis_of_Estimate!$C$5:$C$9,MATCH($O30,Basis_of_Estimate!$A$5:$A$9,0)),""))</f>
        <v/>
      </c>
      <c r="Q30" s="154">
        <f>IF($O30="","",IFERROR(INDEX(Basis_of_Estimate!$D$5:$D$9,MATCH($O30,Basis_of_Estimate!$A$5:$A$9,0)),""))</f>
        <v/>
      </c>
      <c r="R30" s="153">
        <f>IF($N30="","",$N30*(1+$P30))</f>
        <v/>
      </c>
      <c r="S30" s="153">
        <f>IF($N30="","",$N30)</f>
        <v/>
      </c>
      <c r="T30" s="153">
        <f>IF($N30="","",$N30*(1+$Q30))</f>
        <v/>
      </c>
      <c r="U30" s="150">
        <f>IF($D30="","",IFERROR(INDEX(WBS_CBS!$M$5:$M$16,MATCH($D30,WBS_CBS!$A$5:$A$16,0)),"Yes"))</f>
        <v/>
      </c>
      <c r="V30" s="150">
        <f>IF($D30="","",IFERROR(INDEX(WBS_CBS!$N$5:$N$16,MATCH($D30,WBS_CBS!$A$5:$A$16,0)),"Yes"))</f>
        <v/>
      </c>
      <c r="W30" s="150">
        <f>IF($D30="","",IFERROR(INDEX(WBS_CBS!$K$5:$K$16,MATCH($D30,WBS_CBS!$A$5:$A$16,0)),""))</f>
        <v/>
      </c>
      <c r="X30" s="150">
        <f>IF($D30="","",IFERROR(INDEX(WBS_CBS!$F$5:$F$16,MATCH($D30,WBS_CBS!$A$5:$A$16,0)),""))</f>
        <v/>
      </c>
      <c r="Y30" s="149" t="n"/>
      <c r="Z30" s="149" t="n"/>
      <c r="AA30" s="150">
        <f>IF($D30="","",IFERROR(INDEX(WBS_CBS!$L$5:$L$16,MATCH($D30,WBS_CBS!$A$5:$A$16,0)),""))</f>
        <v/>
      </c>
      <c r="AB30" s="149" t="n"/>
    </row>
    <row r="31">
      <c r="A31" s="149" t="n"/>
      <c r="B31" s="149" t="n"/>
      <c r="C31" s="150">
        <f>IF($D31="","",IFERROR(INDEX(WBS_CBS!$E$5:$E$16,MATCH($D31,WBS_CBS!$A$5:$A$16,0)),""))</f>
        <v/>
      </c>
      <c r="D31" s="149" t="n"/>
      <c r="E31" s="150">
        <f>IF($D31="","",IFERROR(INDEX(WBS_CBS!$C$5:$C$16,MATCH($D31,WBS_CBS!$A$5:$A$16,0)),""))</f>
        <v/>
      </c>
      <c r="F31" s="150">
        <f>IF($D31="","",IFERROR(INDEX(WBS_CBS!$J$5:$J$16,MATCH($D31,WBS_CBS!$A$5:$A$16,0)),""))</f>
        <v/>
      </c>
      <c r="G31" s="149" t="n"/>
      <c r="H31" s="151" t="n"/>
      <c r="I31" s="149" t="n"/>
      <c r="J31" s="152" t="n"/>
      <c r="K31" s="149" t="n"/>
      <c r="L31" s="153">
        <f>IF($K31="","",IFERROR(INDEX(FX_Rates!$B$5:$B$14,MATCH($K31,FX_Rates!$A$5:$A$14,0)),""))</f>
        <v/>
      </c>
      <c r="M31" s="153">
        <f>IF(OR($H31="",$J31=""),"",$H31*$J31)</f>
        <v/>
      </c>
      <c r="N31" s="153">
        <f>IF(OR($M31="",$L31=""),"",$M31*$L31)</f>
        <v/>
      </c>
      <c r="O31" s="149" t="n"/>
      <c r="P31" s="154">
        <f>IF($O31="","",IFERROR(INDEX(Basis_of_Estimate!$C$5:$C$9,MATCH($O31,Basis_of_Estimate!$A$5:$A$9,0)),""))</f>
        <v/>
      </c>
      <c r="Q31" s="154">
        <f>IF($O31="","",IFERROR(INDEX(Basis_of_Estimate!$D$5:$D$9,MATCH($O31,Basis_of_Estimate!$A$5:$A$9,0)),""))</f>
        <v/>
      </c>
      <c r="R31" s="153">
        <f>IF($N31="","",$N31*(1+$P31))</f>
        <v/>
      </c>
      <c r="S31" s="153">
        <f>IF($N31="","",$N31)</f>
        <v/>
      </c>
      <c r="T31" s="153">
        <f>IF($N31="","",$N31*(1+$Q31))</f>
        <v/>
      </c>
      <c r="U31" s="150">
        <f>IF($D31="","",IFERROR(INDEX(WBS_CBS!$M$5:$M$16,MATCH($D31,WBS_CBS!$A$5:$A$16,0)),"Yes"))</f>
        <v/>
      </c>
      <c r="V31" s="150">
        <f>IF($D31="","",IFERROR(INDEX(WBS_CBS!$N$5:$N$16,MATCH($D31,WBS_CBS!$A$5:$A$16,0)),"Yes"))</f>
        <v/>
      </c>
      <c r="W31" s="150">
        <f>IF($D31="","",IFERROR(INDEX(WBS_CBS!$K$5:$K$16,MATCH($D31,WBS_CBS!$A$5:$A$16,0)),""))</f>
        <v/>
      </c>
      <c r="X31" s="150">
        <f>IF($D31="","",IFERROR(INDEX(WBS_CBS!$F$5:$F$16,MATCH($D31,WBS_CBS!$A$5:$A$16,0)),""))</f>
        <v/>
      </c>
      <c r="Y31" s="149" t="n"/>
      <c r="Z31" s="149" t="n"/>
      <c r="AA31" s="150">
        <f>IF($D31="","",IFERROR(INDEX(WBS_CBS!$L$5:$L$16,MATCH($D31,WBS_CBS!$A$5:$A$16,0)),""))</f>
        <v/>
      </c>
      <c r="AB31" s="149" t="n"/>
    </row>
    <row r="32">
      <c r="A32" s="149" t="n"/>
      <c r="B32" s="149" t="n"/>
      <c r="C32" s="150">
        <f>IF($D32="","",IFERROR(INDEX(WBS_CBS!$E$5:$E$16,MATCH($D32,WBS_CBS!$A$5:$A$16,0)),""))</f>
        <v/>
      </c>
      <c r="D32" s="149" t="n"/>
      <c r="E32" s="150">
        <f>IF($D32="","",IFERROR(INDEX(WBS_CBS!$C$5:$C$16,MATCH($D32,WBS_CBS!$A$5:$A$16,0)),""))</f>
        <v/>
      </c>
      <c r="F32" s="150">
        <f>IF($D32="","",IFERROR(INDEX(WBS_CBS!$J$5:$J$16,MATCH($D32,WBS_CBS!$A$5:$A$16,0)),""))</f>
        <v/>
      </c>
      <c r="G32" s="149" t="n"/>
      <c r="H32" s="151" t="n"/>
      <c r="I32" s="149" t="n"/>
      <c r="J32" s="152" t="n"/>
      <c r="K32" s="149" t="n"/>
      <c r="L32" s="153">
        <f>IF($K32="","",IFERROR(INDEX(FX_Rates!$B$5:$B$14,MATCH($K32,FX_Rates!$A$5:$A$14,0)),""))</f>
        <v/>
      </c>
      <c r="M32" s="153">
        <f>IF(OR($H32="",$J32=""),"",$H32*$J32)</f>
        <v/>
      </c>
      <c r="N32" s="153">
        <f>IF(OR($M32="",$L32=""),"",$M32*$L32)</f>
        <v/>
      </c>
      <c r="O32" s="149" t="n"/>
      <c r="P32" s="154">
        <f>IF($O32="","",IFERROR(INDEX(Basis_of_Estimate!$C$5:$C$9,MATCH($O32,Basis_of_Estimate!$A$5:$A$9,0)),""))</f>
        <v/>
      </c>
      <c r="Q32" s="154">
        <f>IF($O32="","",IFERROR(INDEX(Basis_of_Estimate!$D$5:$D$9,MATCH($O32,Basis_of_Estimate!$A$5:$A$9,0)),""))</f>
        <v/>
      </c>
      <c r="R32" s="153">
        <f>IF($N32="","",$N32*(1+$P32))</f>
        <v/>
      </c>
      <c r="S32" s="153">
        <f>IF($N32="","",$N32)</f>
        <v/>
      </c>
      <c r="T32" s="153">
        <f>IF($N32="","",$N32*(1+$Q32))</f>
        <v/>
      </c>
      <c r="U32" s="150">
        <f>IF($D32="","",IFERROR(INDEX(WBS_CBS!$M$5:$M$16,MATCH($D32,WBS_CBS!$A$5:$A$16,0)),"Yes"))</f>
        <v/>
      </c>
      <c r="V32" s="150">
        <f>IF($D32="","",IFERROR(INDEX(WBS_CBS!$N$5:$N$16,MATCH($D32,WBS_CBS!$A$5:$A$16,0)),"Yes"))</f>
        <v/>
      </c>
      <c r="W32" s="150">
        <f>IF($D32="","",IFERROR(INDEX(WBS_CBS!$K$5:$K$16,MATCH($D32,WBS_CBS!$A$5:$A$16,0)),""))</f>
        <v/>
      </c>
      <c r="X32" s="150">
        <f>IF($D32="","",IFERROR(INDEX(WBS_CBS!$F$5:$F$16,MATCH($D32,WBS_CBS!$A$5:$A$16,0)),""))</f>
        <v/>
      </c>
      <c r="Y32" s="149" t="n"/>
      <c r="Z32" s="149" t="n"/>
      <c r="AA32" s="150">
        <f>IF($D32="","",IFERROR(INDEX(WBS_CBS!$L$5:$L$16,MATCH($D32,WBS_CBS!$A$5:$A$16,0)),""))</f>
        <v/>
      </c>
      <c r="AB32" s="149" t="n"/>
    </row>
    <row r="33">
      <c r="A33" s="149" t="n"/>
      <c r="B33" s="149" t="n"/>
      <c r="C33" s="150">
        <f>IF($D33="","",IFERROR(INDEX(WBS_CBS!$E$5:$E$16,MATCH($D33,WBS_CBS!$A$5:$A$16,0)),""))</f>
        <v/>
      </c>
      <c r="D33" s="149" t="n"/>
      <c r="E33" s="150">
        <f>IF($D33="","",IFERROR(INDEX(WBS_CBS!$C$5:$C$16,MATCH($D33,WBS_CBS!$A$5:$A$16,0)),""))</f>
        <v/>
      </c>
      <c r="F33" s="150">
        <f>IF($D33="","",IFERROR(INDEX(WBS_CBS!$J$5:$J$16,MATCH($D33,WBS_CBS!$A$5:$A$16,0)),""))</f>
        <v/>
      </c>
      <c r="G33" s="149" t="n"/>
      <c r="H33" s="151" t="n"/>
      <c r="I33" s="149" t="n"/>
      <c r="J33" s="152" t="n"/>
      <c r="K33" s="149" t="n"/>
      <c r="L33" s="153">
        <f>IF($K33="","",IFERROR(INDEX(FX_Rates!$B$5:$B$14,MATCH($K33,FX_Rates!$A$5:$A$14,0)),""))</f>
        <v/>
      </c>
      <c r="M33" s="153">
        <f>IF(OR($H33="",$J33=""),"",$H33*$J33)</f>
        <v/>
      </c>
      <c r="N33" s="153">
        <f>IF(OR($M33="",$L33=""),"",$M33*$L33)</f>
        <v/>
      </c>
      <c r="O33" s="149" t="n"/>
      <c r="P33" s="154">
        <f>IF($O33="","",IFERROR(INDEX(Basis_of_Estimate!$C$5:$C$9,MATCH($O33,Basis_of_Estimate!$A$5:$A$9,0)),""))</f>
        <v/>
      </c>
      <c r="Q33" s="154">
        <f>IF($O33="","",IFERROR(INDEX(Basis_of_Estimate!$D$5:$D$9,MATCH($O33,Basis_of_Estimate!$A$5:$A$9,0)),""))</f>
        <v/>
      </c>
      <c r="R33" s="153">
        <f>IF($N33="","",$N33*(1+$P33))</f>
        <v/>
      </c>
      <c r="S33" s="153">
        <f>IF($N33="","",$N33)</f>
        <v/>
      </c>
      <c r="T33" s="153">
        <f>IF($N33="","",$N33*(1+$Q33))</f>
        <v/>
      </c>
      <c r="U33" s="150">
        <f>IF($D33="","",IFERROR(INDEX(WBS_CBS!$M$5:$M$16,MATCH($D33,WBS_CBS!$A$5:$A$16,0)),"Yes"))</f>
        <v/>
      </c>
      <c r="V33" s="150">
        <f>IF($D33="","",IFERROR(INDEX(WBS_CBS!$N$5:$N$16,MATCH($D33,WBS_CBS!$A$5:$A$16,0)),"Yes"))</f>
        <v/>
      </c>
      <c r="W33" s="150">
        <f>IF($D33="","",IFERROR(INDEX(WBS_CBS!$K$5:$K$16,MATCH($D33,WBS_CBS!$A$5:$A$16,0)),""))</f>
        <v/>
      </c>
      <c r="X33" s="150">
        <f>IF($D33="","",IFERROR(INDEX(WBS_CBS!$F$5:$F$16,MATCH($D33,WBS_CBS!$A$5:$A$16,0)),""))</f>
        <v/>
      </c>
      <c r="Y33" s="149" t="n"/>
      <c r="Z33" s="149" t="n"/>
      <c r="AA33" s="150">
        <f>IF($D33="","",IFERROR(INDEX(WBS_CBS!$L$5:$L$16,MATCH($D33,WBS_CBS!$A$5:$A$16,0)),""))</f>
        <v/>
      </c>
      <c r="AB33" s="149" t="n"/>
    </row>
    <row r="34">
      <c r="A34" s="149" t="n"/>
      <c r="B34" s="149" t="n"/>
      <c r="C34" s="150">
        <f>IF($D34="","",IFERROR(INDEX(WBS_CBS!$E$5:$E$16,MATCH($D34,WBS_CBS!$A$5:$A$16,0)),""))</f>
        <v/>
      </c>
      <c r="D34" s="149" t="n"/>
      <c r="E34" s="150">
        <f>IF($D34="","",IFERROR(INDEX(WBS_CBS!$C$5:$C$16,MATCH($D34,WBS_CBS!$A$5:$A$16,0)),""))</f>
        <v/>
      </c>
      <c r="F34" s="150">
        <f>IF($D34="","",IFERROR(INDEX(WBS_CBS!$J$5:$J$16,MATCH($D34,WBS_CBS!$A$5:$A$16,0)),""))</f>
        <v/>
      </c>
      <c r="G34" s="149" t="n"/>
      <c r="H34" s="151" t="n"/>
      <c r="I34" s="149" t="n"/>
      <c r="J34" s="152" t="n"/>
      <c r="K34" s="149" t="n"/>
      <c r="L34" s="153">
        <f>IF($K34="","",IFERROR(INDEX(FX_Rates!$B$5:$B$14,MATCH($K34,FX_Rates!$A$5:$A$14,0)),""))</f>
        <v/>
      </c>
      <c r="M34" s="153">
        <f>IF(OR($H34="",$J34=""),"",$H34*$J34)</f>
        <v/>
      </c>
      <c r="N34" s="153">
        <f>IF(OR($M34="",$L34=""),"",$M34*$L34)</f>
        <v/>
      </c>
      <c r="O34" s="149" t="n"/>
      <c r="P34" s="154">
        <f>IF($O34="","",IFERROR(INDEX(Basis_of_Estimate!$C$5:$C$9,MATCH($O34,Basis_of_Estimate!$A$5:$A$9,0)),""))</f>
        <v/>
      </c>
      <c r="Q34" s="154">
        <f>IF($O34="","",IFERROR(INDEX(Basis_of_Estimate!$D$5:$D$9,MATCH($O34,Basis_of_Estimate!$A$5:$A$9,0)),""))</f>
        <v/>
      </c>
      <c r="R34" s="153">
        <f>IF($N34="","",$N34*(1+$P34))</f>
        <v/>
      </c>
      <c r="S34" s="153">
        <f>IF($N34="","",$N34)</f>
        <v/>
      </c>
      <c r="T34" s="153">
        <f>IF($N34="","",$N34*(1+$Q34))</f>
        <v/>
      </c>
      <c r="U34" s="150">
        <f>IF($D34="","",IFERROR(INDEX(WBS_CBS!$M$5:$M$16,MATCH($D34,WBS_CBS!$A$5:$A$16,0)),"Yes"))</f>
        <v/>
      </c>
      <c r="V34" s="150">
        <f>IF($D34="","",IFERROR(INDEX(WBS_CBS!$N$5:$N$16,MATCH($D34,WBS_CBS!$A$5:$A$16,0)),"Yes"))</f>
        <v/>
      </c>
      <c r="W34" s="150">
        <f>IF($D34="","",IFERROR(INDEX(WBS_CBS!$K$5:$K$16,MATCH($D34,WBS_CBS!$A$5:$A$16,0)),""))</f>
        <v/>
      </c>
      <c r="X34" s="150">
        <f>IF($D34="","",IFERROR(INDEX(WBS_CBS!$F$5:$F$16,MATCH($D34,WBS_CBS!$A$5:$A$16,0)),""))</f>
        <v/>
      </c>
      <c r="Y34" s="149" t="n"/>
      <c r="Z34" s="149" t="n"/>
      <c r="AA34" s="150">
        <f>IF($D34="","",IFERROR(INDEX(WBS_CBS!$L$5:$L$16,MATCH($D34,WBS_CBS!$A$5:$A$16,0)),""))</f>
        <v/>
      </c>
      <c r="AB34" s="149" t="n"/>
    </row>
    <row r="35">
      <c r="A35" s="149" t="n"/>
      <c r="B35" s="149" t="n"/>
      <c r="C35" s="150">
        <f>IF($D35="","",IFERROR(INDEX(WBS_CBS!$E$5:$E$16,MATCH($D35,WBS_CBS!$A$5:$A$16,0)),""))</f>
        <v/>
      </c>
      <c r="D35" s="149" t="n"/>
      <c r="E35" s="150">
        <f>IF($D35="","",IFERROR(INDEX(WBS_CBS!$C$5:$C$16,MATCH($D35,WBS_CBS!$A$5:$A$16,0)),""))</f>
        <v/>
      </c>
      <c r="F35" s="150">
        <f>IF($D35="","",IFERROR(INDEX(WBS_CBS!$J$5:$J$16,MATCH($D35,WBS_CBS!$A$5:$A$16,0)),""))</f>
        <v/>
      </c>
      <c r="G35" s="149" t="n"/>
      <c r="H35" s="151" t="n"/>
      <c r="I35" s="149" t="n"/>
      <c r="J35" s="152" t="n"/>
      <c r="K35" s="149" t="n"/>
      <c r="L35" s="153">
        <f>IF($K35="","",IFERROR(INDEX(FX_Rates!$B$5:$B$14,MATCH($K35,FX_Rates!$A$5:$A$14,0)),""))</f>
        <v/>
      </c>
      <c r="M35" s="153">
        <f>IF(OR($H35="",$J35=""),"",$H35*$J35)</f>
        <v/>
      </c>
      <c r="N35" s="153">
        <f>IF(OR($M35="",$L35=""),"",$M35*$L35)</f>
        <v/>
      </c>
      <c r="O35" s="149" t="n"/>
      <c r="P35" s="154">
        <f>IF($O35="","",IFERROR(INDEX(Basis_of_Estimate!$C$5:$C$9,MATCH($O35,Basis_of_Estimate!$A$5:$A$9,0)),""))</f>
        <v/>
      </c>
      <c r="Q35" s="154">
        <f>IF($O35="","",IFERROR(INDEX(Basis_of_Estimate!$D$5:$D$9,MATCH($O35,Basis_of_Estimate!$A$5:$A$9,0)),""))</f>
        <v/>
      </c>
      <c r="R35" s="153">
        <f>IF($N35="","",$N35*(1+$P35))</f>
        <v/>
      </c>
      <c r="S35" s="153">
        <f>IF($N35="","",$N35)</f>
        <v/>
      </c>
      <c r="T35" s="153">
        <f>IF($N35="","",$N35*(1+$Q35))</f>
        <v/>
      </c>
      <c r="U35" s="150">
        <f>IF($D35="","",IFERROR(INDEX(WBS_CBS!$M$5:$M$16,MATCH($D35,WBS_CBS!$A$5:$A$16,0)),"Yes"))</f>
        <v/>
      </c>
      <c r="V35" s="150">
        <f>IF($D35="","",IFERROR(INDEX(WBS_CBS!$N$5:$N$16,MATCH($D35,WBS_CBS!$A$5:$A$16,0)),"Yes"))</f>
        <v/>
      </c>
      <c r="W35" s="150">
        <f>IF($D35="","",IFERROR(INDEX(WBS_CBS!$K$5:$K$16,MATCH($D35,WBS_CBS!$A$5:$A$16,0)),""))</f>
        <v/>
      </c>
      <c r="X35" s="150">
        <f>IF($D35="","",IFERROR(INDEX(WBS_CBS!$F$5:$F$16,MATCH($D35,WBS_CBS!$A$5:$A$16,0)),""))</f>
        <v/>
      </c>
      <c r="Y35" s="149" t="n"/>
      <c r="Z35" s="149" t="n"/>
      <c r="AA35" s="150">
        <f>IF($D35="","",IFERROR(INDEX(WBS_CBS!$L$5:$L$16,MATCH($D35,WBS_CBS!$A$5:$A$16,0)),""))</f>
        <v/>
      </c>
      <c r="AB35" s="149" t="n"/>
    </row>
    <row r="36">
      <c r="A36" s="149" t="n"/>
      <c r="B36" s="149" t="n"/>
      <c r="C36" s="150">
        <f>IF($D36="","",IFERROR(INDEX(WBS_CBS!$E$5:$E$16,MATCH($D36,WBS_CBS!$A$5:$A$16,0)),""))</f>
        <v/>
      </c>
      <c r="D36" s="149" t="n"/>
      <c r="E36" s="150">
        <f>IF($D36="","",IFERROR(INDEX(WBS_CBS!$C$5:$C$16,MATCH($D36,WBS_CBS!$A$5:$A$16,0)),""))</f>
        <v/>
      </c>
      <c r="F36" s="150">
        <f>IF($D36="","",IFERROR(INDEX(WBS_CBS!$J$5:$J$16,MATCH($D36,WBS_CBS!$A$5:$A$16,0)),""))</f>
        <v/>
      </c>
      <c r="G36" s="149" t="n"/>
      <c r="H36" s="151" t="n"/>
      <c r="I36" s="149" t="n"/>
      <c r="J36" s="152" t="n"/>
      <c r="K36" s="149" t="n"/>
      <c r="L36" s="153">
        <f>IF($K36="","",IFERROR(INDEX(FX_Rates!$B$5:$B$14,MATCH($K36,FX_Rates!$A$5:$A$14,0)),""))</f>
        <v/>
      </c>
      <c r="M36" s="153">
        <f>IF(OR($H36="",$J36=""),"",$H36*$J36)</f>
        <v/>
      </c>
      <c r="N36" s="153">
        <f>IF(OR($M36="",$L36=""),"",$M36*$L36)</f>
        <v/>
      </c>
      <c r="O36" s="149" t="n"/>
      <c r="P36" s="154">
        <f>IF($O36="","",IFERROR(INDEX(Basis_of_Estimate!$C$5:$C$9,MATCH($O36,Basis_of_Estimate!$A$5:$A$9,0)),""))</f>
        <v/>
      </c>
      <c r="Q36" s="154">
        <f>IF($O36="","",IFERROR(INDEX(Basis_of_Estimate!$D$5:$D$9,MATCH($O36,Basis_of_Estimate!$A$5:$A$9,0)),""))</f>
        <v/>
      </c>
      <c r="R36" s="153">
        <f>IF($N36="","",$N36*(1+$P36))</f>
        <v/>
      </c>
      <c r="S36" s="153">
        <f>IF($N36="","",$N36)</f>
        <v/>
      </c>
      <c r="T36" s="153">
        <f>IF($N36="","",$N36*(1+$Q36))</f>
        <v/>
      </c>
      <c r="U36" s="150">
        <f>IF($D36="","",IFERROR(INDEX(WBS_CBS!$M$5:$M$16,MATCH($D36,WBS_CBS!$A$5:$A$16,0)),"Yes"))</f>
        <v/>
      </c>
      <c r="V36" s="150">
        <f>IF($D36="","",IFERROR(INDEX(WBS_CBS!$N$5:$N$16,MATCH($D36,WBS_CBS!$A$5:$A$16,0)),"Yes"))</f>
        <v/>
      </c>
      <c r="W36" s="150">
        <f>IF($D36="","",IFERROR(INDEX(WBS_CBS!$K$5:$K$16,MATCH($D36,WBS_CBS!$A$5:$A$16,0)),""))</f>
        <v/>
      </c>
      <c r="X36" s="150">
        <f>IF($D36="","",IFERROR(INDEX(WBS_CBS!$F$5:$F$16,MATCH($D36,WBS_CBS!$A$5:$A$16,0)),""))</f>
        <v/>
      </c>
      <c r="Y36" s="149" t="n"/>
      <c r="Z36" s="149" t="n"/>
      <c r="AA36" s="150">
        <f>IF($D36="","",IFERROR(INDEX(WBS_CBS!$L$5:$L$16,MATCH($D36,WBS_CBS!$A$5:$A$16,0)),""))</f>
        <v/>
      </c>
      <c r="AB36" s="149" t="n"/>
    </row>
    <row r="37">
      <c r="A37" s="149" t="n"/>
      <c r="B37" s="149" t="n"/>
      <c r="C37" s="150">
        <f>IF($D37="","",IFERROR(INDEX(WBS_CBS!$E$5:$E$16,MATCH($D37,WBS_CBS!$A$5:$A$16,0)),""))</f>
        <v/>
      </c>
      <c r="D37" s="149" t="n"/>
      <c r="E37" s="150">
        <f>IF($D37="","",IFERROR(INDEX(WBS_CBS!$C$5:$C$16,MATCH($D37,WBS_CBS!$A$5:$A$16,0)),""))</f>
        <v/>
      </c>
      <c r="F37" s="150">
        <f>IF($D37="","",IFERROR(INDEX(WBS_CBS!$J$5:$J$16,MATCH($D37,WBS_CBS!$A$5:$A$16,0)),""))</f>
        <v/>
      </c>
      <c r="G37" s="149" t="n"/>
      <c r="H37" s="151" t="n"/>
      <c r="I37" s="149" t="n"/>
      <c r="J37" s="152" t="n"/>
      <c r="K37" s="149" t="n"/>
      <c r="L37" s="153">
        <f>IF($K37="","",IFERROR(INDEX(FX_Rates!$B$5:$B$14,MATCH($K37,FX_Rates!$A$5:$A$14,0)),""))</f>
        <v/>
      </c>
      <c r="M37" s="153">
        <f>IF(OR($H37="",$J37=""),"",$H37*$J37)</f>
        <v/>
      </c>
      <c r="N37" s="153">
        <f>IF(OR($M37="",$L37=""),"",$M37*$L37)</f>
        <v/>
      </c>
      <c r="O37" s="149" t="n"/>
      <c r="P37" s="154">
        <f>IF($O37="","",IFERROR(INDEX(Basis_of_Estimate!$C$5:$C$9,MATCH($O37,Basis_of_Estimate!$A$5:$A$9,0)),""))</f>
        <v/>
      </c>
      <c r="Q37" s="154">
        <f>IF($O37="","",IFERROR(INDEX(Basis_of_Estimate!$D$5:$D$9,MATCH($O37,Basis_of_Estimate!$A$5:$A$9,0)),""))</f>
        <v/>
      </c>
      <c r="R37" s="153">
        <f>IF($N37="","",$N37*(1+$P37))</f>
        <v/>
      </c>
      <c r="S37" s="153">
        <f>IF($N37="","",$N37)</f>
        <v/>
      </c>
      <c r="T37" s="153">
        <f>IF($N37="","",$N37*(1+$Q37))</f>
        <v/>
      </c>
      <c r="U37" s="150">
        <f>IF($D37="","",IFERROR(INDEX(WBS_CBS!$M$5:$M$16,MATCH($D37,WBS_CBS!$A$5:$A$16,0)),"Yes"))</f>
        <v/>
      </c>
      <c r="V37" s="150">
        <f>IF($D37="","",IFERROR(INDEX(WBS_CBS!$N$5:$N$16,MATCH($D37,WBS_CBS!$A$5:$A$16,0)),"Yes"))</f>
        <v/>
      </c>
      <c r="W37" s="150">
        <f>IF($D37="","",IFERROR(INDEX(WBS_CBS!$K$5:$K$16,MATCH($D37,WBS_CBS!$A$5:$A$16,0)),""))</f>
        <v/>
      </c>
      <c r="X37" s="150">
        <f>IF($D37="","",IFERROR(INDEX(WBS_CBS!$F$5:$F$16,MATCH($D37,WBS_CBS!$A$5:$A$16,0)),""))</f>
        <v/>
      </c>
      <c r="Y37" s="149" t="n"/>
      <c r="Z37" s="149" t="n"/>
      <c r="AA37" s="150">
        <f>IF($D37="","",IFERROR(INDEX(WBS_CBS!$L$5:$L$16,MATCH($D37,WBS_CBS!$A$5:$A$16,0)),""))</f>
        <v/>
      </c>
      <c r="AB37" s="149" t="n"/>
    </row>
    <row r="38">
      <c r="A38" s="149" t="n"/>
      <c r="B38" s="149" t="n"/>
      <c r="C38" s="150">
        <f>IF($D38="","",IFERROR(INDEX(WBS_CBS!$E$5:$E$16,MATCH($D38,WBS_CBS!$A$5:$A$16,0)),""))</f>
        <v/>
      </c>
      <c r="D38" s="149" t="n"/>
      <c r="E38" s="150">
        <f>IF($D38="","",IFERROR(INDEX(WBS_CBS!$C$5:$C$16,MATCH($D38,WBS_CBS!$A$5:$A$16,0)),""))</f>
        <v/>
      </c>
      <c r="F38" s="150">
        <f>IF($D38="","",IFERROR(INDEX(WBS_CBS!$J$5:$J$16,MATCH($D38,WBS_CBS!$A$5:$A$16,0)),""))</f>
        <v/>
      </c>
      <c r="G38" s="149" t="n"/>
      <c r="H38" s="151" t="n"/>
      <c r="I38" s="149" t="n"/>
      <c r="J38" s="152" t="n"/>
      <c r="K38" s="149" t="n"/>
      <c r="L38" s="153">
        <f>IF($K38="","",IFERROR(INDEX(FX_Rates!$B$5:$B$14,MATCH($K38,FX_Rates!$A$5:$A$14,0)),""))</f>
        <v/>
      </c>
      <c r="M38" s="153">
        <f>IF(OR($H38="",$J38=""),"",$H38*$J38)</f>
        <v/>
      </c>
      <c r="N38" s="153">
        <f>IF(OR($M38="",$L38=""),"",$M38*$L38)</f>
        <v/>
      </c>
      <c r="O38" s="149" t="n"/>
      <c r="P38" s="154">
        <f>IF($O38="","",IFERROR(INDEX(Basis_of_Estimate!$C$5:$C$9,MATCH($O38,Basis_of_Estimate!$A$5:$A$9,0)),""))</f>
        <v/>
      </c>
      <c r="Q38" s="154">
        <f>IF($O38="","",IFERROR(INDEX(Basis_of_Estimate!$D$5:$D$9,MATCH($O38,Basis_of_Estimate!$A$5:$A$9,0)),""))</f>
        <v/>
      </c>
      <c r="R38" s="153">
        <f>IF($N38="","",$N38*(1+$P38))</f>
        <v/>
      </c>
      <c r="S38" s="153">
        <f>IF($N38="","",$N38)</f>
        <v/>
      </c>
      <c r="T38" s="153">
        <f>IF($N38="","",$N38*(1+$Q38))</f>
        <v/>
      </c>
      <c r="U38" s="150">
        <f>IF($D38="","",IFERROR(INDEX(WBS_CBS!$M$5:$M$16,MATCH($D38,WBS_CBS!$A$5:$A$16,0)),"Yes"))</f>
        <v/>
      </c>
      <c r="V38" s="150">
        <f>IF($D38="","",IFERROR(INDEX(WBS_CBS!$N$5:$N$16,MATCH($D38,WBS_CBS!$A$5:$A$16,0)),"Yes"))</f>
        <v/>
      </c>
      <c r="W38" s="150">
        <f>IF($D38="","",IFERROR(INDEX(WBS_CBS!$K$5:$K$16,MATCH($D38,WBS_CBS!$A$5:$A$16,0)),""))</f>
        <v/>
      </c>
      <c r="X38" s="150">
        <f>IF($D38="","",IFERROR(INDEX(WBS_CBS!$F$5:$F$16,MATCH($D38,WBS_CBS!$A$5:$A$16,0)),""))</f>
        <v/>
      </c>
      <c r="Y38" s="149" t="n"/>
      <c r="Z38" s="149" t="n"/>
      <c r="AA38" s="150">
        <f>IF($D38="","",IFERROR(INDEX(WBS_CBS!$L$5:$L$16,MATCH($D38,WBS_CBS!$A$5:$A$16,0)),""))</f>
        <v/>
      </c>
      <c r="AB38" s="149" t="n"/>
    </row>
    <row r="39">
      <c r="A39" s="149" t="n"/>
      <c r="B39" s="149" t="n"/>
      <c r="C39" s="150">
        <f>IF($D39="","",IFERROR(INDEX(WBS_CBS!$E$5:$E$16,MATCH($D39,WBS_CBS!$A$5:$A$16,0)),""))</f>
        <v/>
      </c>
      <c r="D39" s="149" t="n"/>
      <c r="E39" s="150">
        <f>IF($D39="","",IFERROR(INDEX(WBS_CBS!$C$5:$C$16,MATCH($D39,WBS_CBS!$A$5:$A$16,0)),""))</f>
        <v/>
      </c>
      <c r="F39" s="150">
        <f>IF($D39="","",IFERROR(INDEX(WBS_CBS!$J$5:$J$16,MATCH($D39,WBS_CBS!$A$5:$A$16,0)),""))</f>
        <v/>
      </c>
      <c r="G39" s="149" t="n"/>
      <c r="H39" s="151" t="n"/>
      <c r="I39" s="149" t="n"/>
      <c r="J39" s="152" t="n"/>
      <c r="K39" s="149" t="n"/>
      <c r="L39" s="153">
        <f>IF($K39="","",IFERROR(INDEX(FX_Rates!$B$5:$B$14,MATCH($K39,FX_Rates!$A$5:$A$14,0)),""))</f>
        <v/>
      </c>
      <c r="M39" s="153">
        <f>IF(OR($H39="",$J39=""),"",$H39*$J39)</f>
        <v/>
      </c>
      <c r="N39" s="153">
        <f>IF(OR($M39="",$L39=""),"",$M39*$L39)</f>
        <v/>
      </c>
      <c r="O39" s="149" t="n"/>
      <c r="P39" s="154">
        <f>IF($O39="","",IFERROR(INDEX(Basis_of_Estimate!$C$5:$C$9,MATCH($O39,Basis_of_Estimate!$A$5:$A$9,0)),""))</f>
        <v/>
      </c>
      <c r="Q39" s="154">
        <f>IF($O39="","",IFERROR(INDEX(Basis_of_Estimate!$D$5:$D$9,MATCH($O39,Basis_of_Estimate!$A$5:$A$9,0)),""))</f>
        <v/>
      </c>
      <c r="R39" s="153">
        <f>IF($N39="","",$N39*(1+$P39))</f>
        <v/>
      </c>
      <c r="S39" s="153">
        <f>IF($N39="","",$N39)</f>
        <v/>
      </c>
      <c r="T39" s="153">
        <f>IF($N39="","",$N39*(1+$Q39))</f>
        <v/>
      </c>
      <c r="U39" s="150">
        <f>IF($D39="","",IFERROR(INDEX(WBS_CBS!$M$5:$M$16,MATCH($D39,WBS_CBS!$A$5:$A$16,0)),"Yes"))</f>
        <v/>
      </c>
      <c r="V39" s="150">
        <f>IF($D39="","",IFERROR(INDEX(WBS_CBS!$N$5:$N$16,MATCH($D39,WBS_CBS!$A$5:$A$16,0)),"Yes"))</f>
        <v/>
      </c>
      <c r="W39" s="150">
        <f>IF($D39="","",IFERROR(INDEX(WBS_CBS!$K$5:$K$16,MATCH($D39,WBS_CBS!$A$5:$A$16,0)),""))</f>
        <v/>
      </c>
      <c r="X39" s="150">
        <f>IF($D39="","",IFERROR(INDEX(WBS_CBS!$F$5:$F$16,MATCH($D39,WBS_CBS!$A$5:$A$16,0)),""))</f>
        <v/>
      </c>
      <c r="Y39" s="149" t="n"/>
      <c r="Z39" s="149" t="n"/>
      <c r="AA39" s="150">
        <f>IF($D39="","",IFERROR(INDEX(WBS_CBS!$L$5:$L$16,MATCH($D39,WBS_CBS!$A$5:$A$16,0)),""))</f>
        <v/>
      </c>
      <c r="AB39" s="149" t="n"/>
    </row>
    <row r="40">
      <c r="A40" s="149" t="n"/>
      <c r="B40" s="149" t="n"/>
      <c r="C40" s="150">
        <f>IF($D40="","",IFERROR(INDEX(WBS_CBS!$E$5:$E$16,MATCH($D40,WBS_CBS!$A$5:$A$16,0)),""))</f>
        <v/>
      </c>
      <c r="D40" s="149" t="n"/>
      <c r="E40" s="150">
        <f>IF($D40="","",IFERROR(INDEX(WBS_CBS!$C$5:$C$16,MATCH($D40,WBS_CBS!$A$5:$A$16,0)),""))</f>
        <v/>
      </c>
      <c r="F40" s="150">
        <f>IF($D40="","",IFERROR(INDEX(WBS_CBS!$J$5:$J$16,MATCH($D40,WBS_CBS!$A$5:$A$16,0)),""))</f>
        <v/>
      </c>
      <c r="G40" s="149" t="n"/>
      <c r="H40" s="151" t="n"/>
      <c r="I40" s="149" t="n"/>
      <c r="J40" s="152" t="n"/>
      <c r="K40" s="149" t="n"/>
      <c r="L40" s="153">
        <f>IF($K40="","",IFERROR(INDEX(FX_Rates!$B$5:$B$14,MATCH($K40,FX_Rates!$A$5:$A$14,0)),""))</f>
        <v/>
      </c>
      <c r="M40" s="153">
        <f>IF(OR($H40="",$J40=""),"",$H40*$J40)</f>
        <v/>
      </c>
      <c r="N40" s="153">
        <f>IF(OR($M40="",$L40=""),"",$M40*$L40)</f>
        <v/>
      </c>
      <c r="O40" s="149" t="n"/>
      <c r="P40" s="154">
        <f>IF($O40="","",IFERROR(INDEX(Basis_of_Estimate!$C$5:$C$9,MATCH($O40,Basis_of_Estimate!$A$5:$A$9,0)),""))</f>
        <v/>
      </c>
      <c r="Q40" s="154">
        <f>IF($O40="","",IFERROR(INDEX(Basis_of_Estimate!$D$5:$D$9,MATCH($O40,Basis_of_Estimate!$A$5:$A$9,0)),""))</f>
        <v/>
      </c>
      <c r="R40" s="153">
        <f>IF($N40="","",$N40*(1+$P40))</f>
        <v/>
      </c>
      <c r="S40" s="153">
        <f>IF($N40="","",$N40)</f>
        <v/>
      </c>
      <c r="T40" s="153">
        <f>IF($N40="","",$N40*(1+$Q40))</f>
        <v/>
      </c>
      <c r="U40" s="150">
        <f>IF($D40="","",IFERROR(INDEX(WBS_CBS!$M$5:$M$16,MATCH($D40,WBS_CBS!$A$5:$A$16,0)),"Yes"))</f>
        <v/>
      </c>
      <c r="V40" s="150">
        <f>IF($D40="","",IFERROR(INDEX(WBS_CBS!$N$5:$N$16,MATCH($D40,WBS_CBS!$A$5:$A$16,0)),"Yes"))</f>
        <v/>
      </c>
      <c r="W40" s="150">
        <f>IF($D40="","",IFERROR(INDEX(WBS_CBS!$K$5:$K$16,MATCH($D40,WBS_CBS!$A$5:$A$16,0)),""))</f>
        <v/>
      </c>
      <c r="X40" s="150">
        <f>IF($D40="","",IFERROR(INDEX(WBS_CBS!$F$5:$F$16,MATCH($D40,WBS_CBS!$A$5:$A$16,0)),""))</f>
        <v/>
      </c>
      <c r="Y40" s="149" t="n"/>
      <c r="Z40" s="149" t="n"/>
      <c r="AA40" s="150">
        <f>IF($D40="","",IFERROR(INDEX(WBS_CBS!$L$5:$L$16,MATCH($D40,WBS_CBS!$A$5:$A$16,0)),""))</f>
        <v/>
      </c>
      <c r="AB40" s="149" t="n"/>
    </row>
    <row r="41">
      <c r="A41" s="149" t="n"/>
      <c r="B41" s="149" t="n"/>
      <c r="C41" s="150">
        <f>IF($D41="","",IFERROR(INDEX(WBS_CBS!$E$5:$E$16,MATCH($D41,WBS_CBS!$A$5:$A$16,0)),""))</f>
        <v/>
      </c>
      <c r="D41" s="149" t="n"/>
      <c r="E41" s="150">
        <f>IF($D41="","",IFERROR(INDEX(WBS_CBS!$C$5:$C$16,MATCH($D41,WBS_CBS!$A$5:$A$16,0)),""))</f>
        <v/>
      </c>
      <c r="F41" s="150">
        <f>IF($D41="","",IFERROR(INDEX(WBS_CBS!$J$5:$J$16,MATCH($D41,WBS_CBS!$A$5:$A$16,0)),""))</f>
        <v/>
      </c>
      <c r="G41" s="149" t="n"/>
      <c r="H41" s="151" t="n"/>
      <c r="I41" s="149" t="n"/>
      <c r="J41" s="152" t="n"/>
      <c r="K41" s="149" t="n"/>
      <c r="L41" s="153">
        <f>IF($K41="","",IFERROR(INDEX(FX_Rates!$B$5:$B$14,MATCH($K41,FX_Rates!$A$5:$A$14,0)),""))</f>
        <v/>
      </c>
      <c r="M41" s="153">
        <f>IF(OR($H41="",$J41=""),"",$H41*$J41)</f>
        <v/>
      </c>
      <c r="N41" s="153">
        <f>IF(OR($M41="",$L41=""),"",$M41*$L41)</f>
        <v/>
      </c>
      <c r="O41" s="149" t="n"/>
      <c r="P41" s="154">
        <f>IF($O41="","",IFERROR(INDEX(Basis_of_Estimate!$C$5:$C$9,MATCH($O41,Basis_of_Estimate!$A$5:$A$9,0)),""))</f>
        <v/>
      </c>
      <c r="Q41" s="154">
        <f>IF($O41="","",IFERROR(INDEX(Basis_of_Estimate!$D$5:$D$9,MATCH($O41,Basis_of_Estimate!$A$5:$A$9,0)),""))</f>
        <v/>
      </c>
      <c r="R41" s="153">
        <f>IF($N41="","",$N41*(1+$P41))</f>
        <v/>
      </c>
      <c r="S41" s="153">
        <f>IF($N41="","",$N41)</f>
        <v/>
      </c>
      <c r="T41" s="153">
        <f>IF($N41="","",$N41*(1+$Q41))</f>
        <v/>
      </c>
      <c r="U41" s="150">
        <f>IF($D41="","",IFERROR(INDEX(WBS_CBS!$M$5:$M$16,MATCH($D41,WBS_CBS!$A$5:$A$16,0)),"Yes"))</f>
        <v/>
      </c>
      <c r="V41" s="150">
        <f>IF($D41="","",IFERROR(INDEX(WBS_CBS!$N$5:$N$16,MATCH($D41,WBS_CBS!$A$5:$A$16,0)),"Yes"))</f>
        <v/>
      </c>
      <c r="W41" s="150">
        <f>IF($D41="","",IFERROR(INDEX(WBS_CBS!$K$5:$K$16,MATCH($D41,WBS_CBS!$A$5:$A$16,0)),""))</f>
        <v/>
      </c>
      <c r="X41" s="150">
        <f>IF($D41="","",IFERROR(INDEX(WBS_CBS!$F$5:$F$16,MATCH($D41,WBS_CBS!$A$5:$A$16,0)),""))</f>
        <v/>
      </c>
      <c r="Y41" s="149" t="n"/>
      <c r="Z41" s="149" t="n"/>
      <c r="AA41" s="150">
        <f>IF($D41="","",IFERROR(INDEX(WBS_CBS!$L$5:$L$16,MATCH($D41,WBS_CBS!$A$5:$A$16,0)),""))</f>
        <v/>
      </c>
      <c r="AB41" s="149" t="n"/>
    </row>
    <row r="42">
      <c r="A42" s="149" t="n"/>
      <c r="B42" s="149" t="n"/>
      <c r="C42" s="150">
        <f>IF($D42="","",IFERROR(INDEX(WBS_CBS!$E$5:$E$16,MATCH($D42,WBS_CBS!$A$5:$A$16,0)),""))</f>
        <v/>
      </c>
      <c r="D42" s="149" t="n"/>
      <c r="E42" s="150">
        <f>IF($D42="","",IFERROR(INDEX(WBS_CBS!$C$5:$C$16,MATCH($D42,WBS_CBS!$A$5:$A$16,0)),""))</f>
        <v/>
      </c>
      <c r="F42" s="150">
        <f>IF($D42="","",IFERROR(INDEX(WBS_CBS!$J$5:$J$16,MATCH($D42,WBS_CBS!$A$5:$A$16,0)),""))</f>
        <v/>
      </c>
      <c r="G42" s="149" t="n"/>
      <c r="H42" s="151" t="n"/>
      <c r="I42" s="149" t="n"/>
      <c r="J42" s="152" t="n"/>
      <c r="K42" s="149" t="n"/>
      <c r="L42" s="153">
        <f>IF($K42="","",IFERROR(INDEX(FX_Rates!$B$5:$B$14,MATCH($K42,FX_Rates!$A$5:$A$14,0)),""))</f>
        <v/>
      </c>
      <c r="M42" s="153">
        <f>IF(OR($H42="",$J42=""),"",$H42*$J42)</f>
        <v/>
      </c>
      <c r="N42" s="153">
        <f>IF(OR($M42="",$L42=""),"",$M42*$L42)</f>
        <v/>
      </c>
      <c r="O42" s="149" t="n"/>
      <c r="P42" s="154">
        <f>IF($O42="","",IFERROR(INDEX(Basis_of_Estimate!$C$5:$C$9,MATCH($O42,Basis_of_Estimate!$A$5:$A$9,0)),""))</f>
        <v/>
      </c>
      <c r="Q42" s="154">
        <f>IF($O42="","",IFERROR(INDEX(Basis_of_Estimate!$D$5:$D$9,MATCH($O42,Basis_of_Estimate!$A$5:$A$9,0)),""))</f>
        <v/>
      </c>
      <c r="R42" s="153">
        <f>IF($N42="","",$N42*(1+$P42))</f>
        <v/>
      </c>
      <c r="S42" s="153">
        <f>IF($N42="","",$N42)</f>
        <v/>
      </c>
      <c r="T42" s="153">
        <f>IF($N42="","",$N42*(1+$Q42))</f>
        <v/>
      </c>
      <c r="U42" s="150">
        <f>IF($D42="","",IFERROR(INDEX(WBS_CBS!$M$5:$M$16,MATCH($D42,WBS_CBS!$A$5:$A$16,0)),"Yes"))</f>
        <v/>
      </c>
      <c r="V42" s="150">
        <f>IF($D42="","",IFERROR(INDEX(WBS_CBS!$N$5:$N$16,MATCH($D42,WBS_CBS!$A$5:$A$16,0)),"Yes"))</f>
        <v/>
      </c>
      <c r="W42" s="150">
        <f>IF($D42="","",IFERROR(INDEX(WBS_CBS!$K$5:$K$16,MATCH($D42,WBS_CBS!$A$5:$A$16,0)),""))</f>
        <v/>
      </c>
      <c r="X42" s="150">
        <f>IF($D42="","",IFERROR(INDEX(WBS_CBS!$F$5:$F$16,MATCH($D42,WBS_CBS!$A$5:$A$16,0)),""))</f>
        <v/>
      </c>
      <c r="Y42" s="149" t="n"/>
      <c r="Z42" s="149" t="n"/>
      <c r="AA42" s="150">
        <f>IF($D42="","",IFERROR(INDEX(WBS_CBS!$L$5:$L$16,MATCH($D42,WBS_CBS!$A$5:$A$16,0)),""))</f>
        <v/>
      </c>
      <c r="AB42" s="149" t="n"/>
    </row>
    <row r="43">
      <c r="A43" s="149" t="n"/>
      <c r="B43" s="149" t="n"/>
      <c r="C43" s="150">
        <f>IF($D43="","",IFERROR(INDEX(WBS_CBS!$E$5:$E$16,MATCH($D43,WBS_CBS!$A$5:$A$16,0)),""))</f>
        <v/>
      </c>
      <c r="D43" s="149" t="n"/>
      <c r="E43" s="150">
        <f>IF($D43="","",IFERROR(INDEX(WBS_CBS!$C$5:$C$16,MATCH($D43,WBS_CBS!$A$5:$A$16,0)),""))</f>
        <v/>
      </c>
      <c r="F43" s="150">
        <f>IF($D43="","",IFERROR(INDEX(WBS_CBS!$J$5:$J$16,MATCH($D43,WBS_CBS!$A$5:$A$16,0)),""))</f>
        <v/>
      </c>
      <c r="G43" s="149" t="n"/>
      <c r="H43" s="151" t="n"/>
      <c r="I43" s="149" t="n"/>
      <c r="J43" s="152" t="n"/>
      <c r="K43" s="149" t="n"/>
      <c r="L43" s="153">
        <f>IF($K43="","",IFERROR(INDEX(FX_Rates!$B$5:$B$14,MATCH($K43,FX_Rates!$A$5:$A$14,0)),""))</f>
        <v/>
      </c>
      <c r="M43" s="153">
        <f>IF(OR($H43="",$J43=""),"",$H43*$J43)</f>
        <v/>
      </c>
      <c r="N43" s="153">
        <f>IF(OR($M43="",$L43=""),"",$M43*$L43)</f>
        <v/>
      </c>
      <c r="O43" s="149" t="n"/>
      <c r="P43" s="154">
        <f>IF($O43="","",IFERROR(INDEX(Basis_of_Estimate!$C$5:$C$9,MATCH($O43,Basis_of_Estimate!$A$5:$A$9,0)),""))</f>
        <v/>
      </c>
      <c r="Q43" s="154">
        <f>IF($O43="","",IFERROR(INDEX(Basis_of_Estimate!$D$5:$D$9,MATCH($O43,Basis_of_Estimate!$A$5:$A$9,0)),""))</f>
        <v/>
      </c>
      <c r="R43" s="153">
        <f>IF($N43="","",$N43*(1+$P43))</f>
        <v/>
      </c>
      <c r="S43" s="153">
        <f>IF($N43="","",$N43)</f>
        <v/>
      </c>
      <c r="T43" s="153">
        <f>IF($N43="","",$N43*(1+$Q43))</f>
        <v/>
      </c>
      <c r="U43" s="150">
        <f>IF($D43="","",IFERROR(INDEX(WBS_CBS!$M$5:$M$16,MATCH($D43,WBS_CBS!$A$5:$A$16,0)),"Yes"))</f>
        <v/>
      </c>
      <c r="V43" s="150">
        <f>IF($D43="","",IFERROR(INDEX(WBS_CBS!$N$5:$N$16,MATCH($D43,WBS_CBS!$A$5:$A$16,0)),"Yes"))</f>
        <v/>
      </c>
      <c r="W43" s="150">
        <f>IF($D43="","",IFERROR(INDEX(WBS_CBS!$K$5:$K$16,MATCH($D43,WBS_CBS!$A$5:$A$16,0)),""))</f>
        <v/>
      </c>
      <c r="X43" s="150">
        <f>IF($D43="","",IFERROR(INDEX(WBS_CBS!$F$5:$F$16,MATCH($D43,WBS_CBS!$A$5:$A$16,0)),""))</f>
        <v/>
      </c>
      <c r="Y43" s="149" t="n"/>
      <c r="Z43" s="149" t="n"/>
      <c r="AA43" s="150">
        <f>IF($D43="","",IFERROR(INDEX(WBS_CBS!$L$5:$L$16,MATCH($D43,WBS_CBS!$A$5:$A$16,0)),""))</f>
        <v/>
      </c>
      <c r="AB43" s="149" t="n"/>
    </row>
    <row r="44">
      <c r="A44" s="149" t="n"/>
      <c r="B44" s="149" t="n"/>
      <c r="C44" s="150">
        <f>IF($D44="","",IFERROR(INDEX(WBS_CBS!$E$5:$E$16,MATCH($D44,WBS_CBS!$A$5:$A$16,0)),""))</f>
        <v/>
      </c>
      <c r="D44" s="149" t="n"/>
      <c r="E44" s="150">
        <f>IF($D44="","",IFERROR(INDEX(WBS_CBS!$C$5:$C$16,MATCH($D44,WBS_CBS!$A$5:$A$16,0)),""))</f>
        <v/>
      </c>
      <c r="F44" s="150">
        <f>IF($D44="","",IFERROR(INDEX(WBS_CBS!$J$5:$J$16,MATCH($D44,WBS_CBS!$A$5:$A$16,0)),""))</f>
        <v/>
      </c>
      <c r="G44" s="149" t="n"/>
      <c r="H44" s="151" t="n"/>
      <c r="I44" s="149" t="n"/>
      <c r="J44" s="152" t="n"/>
      <c r="K44" s="149" t="n"/>
      <c r="L44" s="153">
        <f>IF($K44="","",IFERROR(INDEX(FX_Rates!$B$5:$B$14,MATCH($K44,FX_Rates!$A$5:$A$14,0)),""))</f>
        <v/>
      </c>
      <c r="M44" s="153">
        <f>IF(OR($H44="",$J44=""),"",$H44*$J44)</f>
        <v/>
      </c>
      <c r="N44" s="153">
        <f>IF(OR($M44="",$L44=""),"",$M44*$L44)</f>
        <v/>
      </c>
      <c r="O44" s="149" t="n"/>
      <c r="P44" s="154">
        <f>IF($O44="","",IFERROR(INDEX(Basis_of_Estimate!$C$5:$C$9,MATCH($O44,Basis_of_Estimate!$A$5:$A$9,0)),""))</f>
        <v/>
      </c>
      <c r="Q44" s="154">
        <f>IF($O44="","",IFERROR(INDEX(Basis_of_Estimate!$D$5:$D$9,MATCH($O44,Basis_of_Estimate!$A$5:$A$9,0)),""))</f>
        <v/>
      </c>
      <c r="R44" s="153">
        <f>IF($N44="","",$N44*(1+$P44))</f>
        <v/>
      </c>
      <c r="S44" s="153">
        <f>IF($N44="","",$N44)</f>
        <v/>
      </c>
      <c r="T44" s="153">
        <f>IF($N44="","",$N44*(1+$Q44))</f>
        <v/>
      </c>
      <c r="U44" s="150">
        <f>IF($D44="","",IFERROR(INDEX(WBS_CBS!$M$5:$M$16,MATCH($D44,WBS_CBS!$A$5:$A$16,0)),"Yes"))</f>
        <v/>
      </c>
      <c r="V44" s="150">
        <f>IF($D44="","",IFERROR(INDEX(WBS_CBS!$N$5:$N$16,MATCH($D44,WBS_CBS!$A$5:$A$16,0)),"Yes"))</f>
        <v/>
      </c>
      <c r="W44" s="150">
        <f>IF($D44="","",IFERROR(INDEX(WBS_CBS!$K$5:$K$16,MATCH($D44,WBS_CBS!$A$5:$A$16,0)),""))</f>
        <v/>
      </c>
      <c r="X44" s="150">
        <f>IF($D44="","",IFERROR(INDEX(WBS_CBS!$F$5:$F$16,MATCH($D44,WBS_CBS!$A$5:$A$16,0)),""))</f>
        <v/>
      </c>
      <c r="Y44" s="149" t="n"/>
      <c r="Z44" s="149" t="n"/>
      <c r="AA44" s="150">
        <f>IF($D44="","",IFERROR(INDEX(WBS_CBS!$L$5:$L$16,MATCH($D44,WBS_CBS!$A$5:$A$16,0)),""))</f>
        <v/>
      </c>
      <c r="AB44" s="149" t="n"/>
    </row>
    <row r="45">
      <c r="A45" s="149" t="n"/>
      <c r="B45" s="149" t="n"/>
      <c r="C45" s="150">
        <f>IF($D45="","",IFERROR(INDEX(WBS_CBS!$E$5:$E$16,MATCH($D45,WBS_CBS!$A$5:$A$16,0)),""))</f>
        <v/>
      </c>
      <c r="D45" s="149" t="n"/>
      <c r="E45" s="150">
        <f>IF($D45="","",IFERROR(INDEX(WBS_CBS!$C$5:$C$16,MATCH($D45,WBS_CBS!$A$5:$A$16,0)),""))</f>
        <v/>
      </c>
      <c r="F45" s="150">
        <f>IF($D45="","",IFERROR(INDEX(WBS_CBS!$J$5:$J$16,MATCH($D45,WBS_CBS!$A$5:$A$16,0)),""))</f>
        <v/>
      </c>
      <c r="G45" s="149" t="n"/>
      <c r="H45" s="151" t="n"/>
      <c r="I45" s="149" t="n"/>
      <c r="J45" s="152" t="n"/>
      <c r="K45" s="149" t="n"/>
      <c r="L45" s="153">
        <f>IF($K45="","",IFERROR(INDEX(FX_Rates!$B$5:$B$14,MATCH($K45,FX_Rates!$A$5:$A$14,0)),""))</f>
        <v/>
      </c>
      <c r="M45" s="153">
        <f>IF(OR($H45="",$J45=""),"",$H45*$J45)</f>
        <v/>
      </c>
      <c r="N45" s="153">
        <f>IF(OR($M45="",$L45=""),"",$M45*$L45)</f>
        <v/>
      </c>
      <c r="O45" s="149" t="n"/>
      <c r="P45" s="154">
        <f>IF($O45="","",IFERROR(INDEX(Basis_of_Estimate!$C$5:$C$9,MATCH($O45,Basis_of_Estimate!$A$5:$A$9,0)),""))</f>
        <v/>
      </c>
      <c r="Q45" s="154">
        <f>IF($O45="","",IFERROR(INDEX(Basis_of_Estimate!$D$5:$D$9,MATCH($O45,Basis_of_Estimate!$A$5:$A$9,0)),""))</f>
        <v/>
      </c>
      <c r="R45" s="153">
        <f>IF($N45="","",$N45*(1+$P45))</f>
        <v/>
      </c>
      <c r="S45" s="153">
        <f>IF($N45="","",$N45)</f>
        <v/>
      </c>
      <c r="T45" s="153">
        <f>IF($N45="","",$N45*(1+$Q45))</f>
        <v/>
      </c>
      <c r="U45" s="150">
        <f>IF($D45="","",IFERROR(INDEX(WBS_CBS!$M$5:$M$16,MATCH($D45,WBS_CBS!$A$5:$A$16,0)),"Yes"))</f>
        <v/>
      </c>
      <c r="V45" s="150">
        <f>IF($D45="","",IFERROR(INDEX(WBS_CBS!$N$5:$N$16,MATCH($D45,WBS_CBS!$A$5:$A$16,0)),"Yes"))</f>
        <v/>
      </c>
      <c r="W45" s="150">
        <f>IF($D45="","",IFERROR(INDEX(WBS_CBS!$K$5:$K$16,MATCH($D45,WBS_CBS!$A$5:$A$16,0)),""))</f>
        <v/>
      </c>
      <c r="X45" s="150">
        <f>IF($D45="","",IFERROR(INDEX(WBS_CBS!$F$5:$F$16,MATCH($D45,WBS_CBS!$A$5:$A$16,0)),""))</f>
        <v/>
      </c>
      <c r="Y45" s="149" t="n"/>
      <c r="Z45" s="149" t="n"/>
      <c r="AA45" s="150">
        <f>IF($D45="","",IFERROR(INDEX(WBS_CBS!$L$5:$L$16,MATCH($D45,WBS_CBS!$A$5:$A$16,0)),""))</f>
        <v/>
      </c>
      <c r="AB45" s="149" t="n"/>
    </row>
    <row r="46">
      <c r="A46" s="149" t="n"/>
      <c r="B46" s="149" t="n"/>
      <c r="C46" s="150">
        <f>IF($D46="","",IFERROR(INDEX(WBS_CBS!$E$5:$E$16,MATCH($D46,WBS_CBS!$A$5:$A$16,0)),""))</f>
        <v/>
      </c>
      <c r="D46" s="149" t="n"/>
      <c r="E46" s="150">
        <f>IF($D46="","",IFERROR(INDEX(WBS_CBS!$C$5:$C$16,MATCH($D46,WBS_CBS!$A$5:$A$16,0)),""))</f>
        <v/>
      </c>
      <c r="F46" s="150">
        <f>IF($D46="","",IFERROR(INDEX(WBS_CBS!$J$5:$J$16,MATCH($D46,WBS_CBS!$A$5:$A$16,0)),""))</f>
        <v/>
      </c>
      <c r="G46" s="149" t="n"/>
      <c r="H46" s="151" t="n"/>
      <c r="I46" s="149" t="n"/>
      <c r="J46" s="152" t="n"/>
      <c r="K46" s="149" t="n"/>
      <c r="L46" s="153">
        <f>IF($K46="","",IFERROR(INDEX(FX_Rates!$B$5:$B$14,MATCH($K46,FX_Rates!$A$5:$A$14,0)),""))</f>
        <v/>
      </c>
      <c r="M46" s="153">
        <f>IF(OR($H46="",$J46=""),"",$H46*$J46)</f>
        <v/>
      </c>
      <c r="N46" s="153">
        <f>IF(OR($M46="",$L46=""),"",$M46*$L46)</f>
        <v/>
      </c>
      <c r="O46" s="149" t="n"/>
      <c r="P46" s="154">
        <f>IF($O46="","",IFERROR(INDEX(Basis_of_Estimate!$C$5:$C$9,MATCH($O46,Basis_of_Estimate!$A$5:$A$9,0)),""))</f>
        <v/>
      </c>
      <c r="Q46" s="154">
        <f>IF($O46="","",IFERROR(INDEX(Basis_of_Estimate!$D$5:$D$9,MATCH($O46,Basis_of_Estimate!$A$5:$A$9,0)),""))</f>
        <v/>
      </c>
      <c r="R46" s="153">
        <f>IF($N46="","",$N46*(1+$P46))</f>
        <v/>
      </c>
      <c r="S46" s="153">
        <f>IF($N46="","",$N46)</f>
        <v/>
      </c>
      <c r="T46" s="153">
        <f>IF($N46="","",$N46*(1+$Q46))</f>
        <v/>
      </c>
      <c r="U46" s="150">
        <f>IF($D46="","",IFERROR(INDEX(WBS_CBS!$M$5:$M$16,MATCH($D46,WBS_CBS!$A$5:$A$16,0)),"Yes"))</f>
        <v/>
      </c>
      <c r="V46" s="150">
        <f>IF($D46="","",IFERROR(INDEX(WBS_CBS!$N$5:$N$16,MATCH($D46,WBS_CBS!$A$5:$A$16,0)),"Yes"))</f>
        <v/>
      </c>
      <c r="W46" s="150">
        <f>IF($D46="","",IFERROR(INDEX(WBS_CBS!$K$5:$K$16,MATCH($D46,WBS_CBS!$A$5:$A$16,0)),""))</f>
        <v/>
      </c>
      <c r="X46" s="150">
        <f>IF($D46="","",IFERROR(INDEX(WBS_CBS!$F$5:$F$16,MATCH($D46,WBS_CBS!$A$5:$A$16,0)),""))</f>
        <v/>
      </c>
      <c r="Y46" s="149" t="n"/>
      <c r="Z46" s="149" t="n"/>
      <c r="AA46" s="150">
        <f>IF($D46="","",IFERROR(INDEX(WBS_CBS!$L$5:$L$16,MATCH($D46,WBS_CBS!$A$5:$A$16,0)),""))</f>
        <v/>
      </c>
      <c r="AB46" s="149" t="n"/>
    </row>
    <row r="47">
      <c r="A47" s="149" t="n"/>
      <c r="B47" s="149" t="n"/>
      <c r="C47" s="150">
        <f>IF($D47="","",IFERROR(INDEX(WBS_CBS!$E$5:$E$16,MATCH($D47,WBS_CBS!$A$5:$A$16,0)),""))</f>
        <v/>
      </c>
      <c r="D47" s="149" t="n"/>
      <c r="E47" s="150">
        <f>IF($D47="","",IFERROR(INDEX(WBS_CBS!$C$5:$C$16,MATCH($D47,WBS_CBS!$A$5:$A$16,0)),""))</f>
        <v/>
      </c>
      <c r="F47" s="150">
        <f>IF($D47="","",IFERROR(INDEX(WBS_CBS!$J$5:$J$16,MATCH($D47,WBS_CBS!$A$5:$A$16,0)),""))</f>
        <v/>
      </c>
      <c r="G47" s="149" t="n"/>
      <c r="H47" s="151" t="n"/>
      <c r="I47" s="149" t="n"/>
      <c r="J47" s="152" t="n"/>
      <c r="K47" s="149" t="n"/>
      <c r="L47" s="153">
        <f>IF($K47="","",IFERROR(INDEX(FX_Rates!$B$5:$B$14,MATCH($K47,FX_Rates!$A$5:$A$14,0)),""))</f>
        <v/>
      </c>
      <c r="M47" s="153">
        <f>IF(OR($H47="",$J47=""),"",$H47*$J47)</f>
        <v/>
      </c>
      <c r="N47" s="153">
        <f>IF(OR($M47="",$L47=""),"",$M47*$L47)</f>
        <v/>
      </c>
      <c r="O47" s="149" t="n"/>
      <c r="P47" s="154">
        <f>IF($O47="","",IFERROR(INDEX(Basis_of_Estimate!$C$5:$C$9,MATCH($O47,Basis_of_Estimate!$A$5:$A$9,0)),""))</f>
        <v/>
      </c>
      <c r="Q47" s="154">
        <f>IF($O47="","",IFERROR(INDEX(Basis_of_Estimate!$D$5:$D$9,MATCH($O47,Basis_of_Estimate!$A$5:$A$9,0)),""))</f>
        <v/>
      </c>
      <c r="R47" s="153">
        <f>IF($N47="","",$N47*(1+$P47))</f>
        <v/>
      </c>
      <c r="S47" s="153">
        <f>IF($N47="","",$N47)</f>
        <v/>
      </c>
      <c r="T47" s="153">
        <f>IF($N47="","",$N47*(1+$Q47))</f>
        <v/>
      </c>
      <c r="U47" s="150">
        <f>IF($D47="","",IFERROR(INDEX(WBS_CBS!$M$5:$M$16,MATCH($D47,WBS_CBS!$A$5:$A$16,0)),"Yes"))</f>
        <v/>
      </c>
      <c r="V47" s="150">
        <f>IF($D47="","",IFERROR(INDEX(WBS_CBS!$N$5:$N$16,MATCH($D47,WBS_CBS!$A$5:$A$16,0)),"Yes"))</f>
        <v/>
      </c>
      <c r="W47" s="150">
        <f>IF($D47="","",IFERROR(INDEX(WBS_CBS!$K$5:$K$16,MATCH($D47,WBS_CBS!$A$5:$A$16,0)),""))</f>
        <v/>
      </c>
      <c r="X47" s="150">
        <f>IF($D47="","",IFERROR(INDEX(WBS_CBS!$F$5:$F$16,MATCH($D47,WBS_CBS!$A$5:$A$16,0)),""))</f>
        <v/>
      </c>
      <c r="Y47" s="149" t="n"/>
      <c r="Z47" s="149" t="n"/>
      <c r="AA47" s="150">
        <f>IF($D47="","",IFERROR(INDEX(WBS_CBS!$L$5:$L$16,MATCH($D47,WBS_CBS!$A$5:$A$16,0)),""))</f>
        <v/>
      </c>
      <c r="AB47" s="149" t="n"/>
    </row>
    <row r="48">
      <c r="A48" s="149" t="n"/>
      <c r="B48" s="149" t="n"/>
      <c r="C48" s="150">
        <f>IF($D48="","",IFERROR(INDEX(WBS_CBS!$E$5:$E$16,MATCH($D48,WBS_CBS!$A$5:$A$16,0)),""))</f>
        <v/>
      </c>
      <c r="D48" s="149" t="n"/>
      <c r="E48" s="150">
        <f>IF($D48="","",IFERROR(INDEX(WBS_CBS!$C$5:$C$16,MATCH($D48,WBS_CBS!$A$5:$A$16,0)),""))</f>
        <v/>
      </c>
      <c r="F48" s="150">
        <f>IF($D48="","",IFERROR(INDEX(WBS_CBS!$J$5:$J$16,MATCH($D48,WBS_CBS!$A$5:$A$16,0)),""))</f>
        <v/>
      </c>
      <c r="G48" s="149" t="n"/>
      <c r="H48" s="151" t="n"/>
      <c r="I48" s="149" t="n"/>
      <c r="J48" s="152" t="n"/>
      <c r="K48" s="149" t="n"/>
      <c r="L48" s="153">
        <f>IF($K48="","",IFERROR(INDEX(FX_Rates!$B$5:$B$14,MATCH($K48,FX_Rates!$A$5:$A$14,0)),""))</f>
        <v/>
      </c>
      <c r="M48" s="153">
        <f>IF(OR($H48="",$J48=""),"",$H48*$J48)</f>
        <v/>
      </c>
      <c r="N48" s="153">
        <f>IF(OR($M48="",$L48=""),"",$M48*$L48)</f>
        <v/>
      </c>
      <c r="O48" s="149" t="n"/>
      <c r="P48" s="154">
        <f>IF($O48="","",IFERROR(INDEX(Basis_of_Estimate!$C$5:$C$9,MATCH($O48,Basis_of_Estimate!$A$5:$A$9,0)),""))</f>
        <v/>
      </c>
      <c r="Q48" s="154">
        <f>IF($O48="","",IFERROR(INDEX(Basis_of_Estimate!$D$5:$D$9,MATCH($O48,Basis_of_Estimate!$A$5:$A$9,0)),""))</f>
        <v/>
      </c>
      <c r="R48" s="153">
        <f>IF($N48="","",$N48*(1+$P48))</f>
        <v/>
      </c>
      <c r="S48" s="153">
        <f>IF($N48="","",$N48)</f>
        <v/>
      </c>
      <c r="T48" s="153">
        <f>IF($N48="","",$N48*(1+$Q48))</f>
        <v/>
      </c>
      <c r="U48" s="150">
        <f>IF($D48="","",IFERROR(INDEX(WBS_CBS!$M$5:$M$16,MATCH($D48,WBS_CBS!$A$5:$A$16,0)),"Yes"))</f>
        <v/>
      </c>
      <c r="V48" s="150">
        <f>IF($D48="","",IFERROR(INDEX(WBS_CBS!$N$5:$N$16,MATCH($D48,WBS_CBS!$A$5:$A$16,0)),"Yes"))</f>
        <v/>
      </c>
      <c r="W48" s="150">
        <f>IF($D48="","",IFERROR(INDEX(WBS_CBS!$K$5:$K$16,MATCH($D48,WBS_CBS!$A$5:$A$16,0)),""))</f>
        <v/>
      </c>
      <c r="X48" s="150">
        <f>IF($D48="","",IFERROR(INDEX(WBS_CBS!$F$5:$F$16,MATCH($D48,WBS_CBS!$A$5:$A$16,0)),""))</f>
        <v/>
      </c>
      <c r="Y48" s="149" t="n"/>
      <c r="Z48" s="149" t="n"/>
      <c r="AA48" s="150">
        <f>IF($D48="","",IFERROR(INDEX(WBS_CBS!$L$5:$L$16,MATCH($D48,WBS_CBS!$A$5:$A$16,0)),""))</f>
        <v/>
      </c>
      <c r="AB48" s="149" t="n"/>
    </row>
    <row r="49">
      <c r="A49" s="149" t="n"/>
      <c r="B49" s="149" t="n"/>
      <c r="C49" s="150">
        <f>IF($D49="","",IFERROR(INDEX(WBS_CBS!$E$5:$E$16,MATCH($D49,WBS_CBS!$A$5:$A$16,0)),""))</f>
        <v/>
      </c>
      <c r="D49" s="149" t="n"/>
      <c r="E49" s="150">
        <f>IF($D49="","",IFERROR(INDEX(WBS_CBS!$C$5:$C$16,MATCH($D49,WBS_CBS!$A$5:$A$16,0)),""))</f>
        <v/>
      </c>
      <c r="F49" s="150">
        <f>IF($D49="","",IFERROR(INDEX(WBS_CBS!$J$5:$J$16,MATCH($D49,WBS_CBS!$A$5:$A$16,0)),""))</f>
        <v/>
      </c>
      <c r="G49" s="149" t="n"/>
      <c r="H49" s="151" t="n"/>
      <c r="I49" s="149" t="n"/>
      <c r="J49" s="152" t="n"/>
      <c r="K49" s="149" t="n"/>
      <c r="L49" s="153">
        <f>IF($K49="","",IFERROR(INDEX(FX_Rates!$B$5:$B$14,MATCH($K49,FX_Rates!$A$5:$A$14,0)),""))</f>
        <v/>
      </c>
      <c r="M49" s="153">
        <f>IF(OR($H49="",$J49=""),"",$H49*$J49)</f>
        <v/>
      </c>
      <c r="N49" s="153">
        <f>IF(OR($M49="",$L49=""),"",$M49*$L49)</f>
        <v/>
      </c>
      <c r="O49" s="149" t="n"/>
      <c r="P49" s="154">
        <f>IF($O49="","",IFERROR(INDEX(Basis_of_Estimate!$C$5:$C$9,MATCH($O49,Basis_of_Estimate!$A$5:$A$9,0)),""))</f>
        <v/>
      </c>
      <c r="Q49" s="154">
        <f>IF($O49="","",IFERROR(INDEX(Basis_of_Estimate!$D$5:$D$9,MATCH($O49,Basis_of_Estimate!$A$5:$A$9,0)),""))</f>
        <v/>
      </c>
      <c r="R49" s="153">
        <f>IF($N49="","",$N49*(1+$P49))</f>
        <v/>
      </c>
      <c r="S49" s="153">
        <f>IF($N49="","",$N49)</f>
        <v/>
      </c>
      <c r="T49" s="153">
        <f>IF($N49="","",$N49*(1+$Q49))</f>
        <v/>
      </c>
      <c r="U49" s="150">
        <f>IF($D49="","",IFERROR(INDEX(WBS_CBS!$M$5:$M$16,MATCH($D49,WBS_CBS!$A$5:$A$16,0)),"Yes"))</f>
        <v/>
      </c>
      <c r="V49" s="150">
        <f>IF($D49="","",IFERROR(INDEX(WBS_CBS!$N$5:$N$16,MATCH($D49,WBS_CBS!$A$5:$A$16,0)),"Yes"))</f>
        <v/>
      </c>
      <c r="W49" s="150">
        <f>IF($D49="","",IFERROR(INDEX(WBS_CBS!$K$5:$K$16,MATCH($D49,WBS_CBS!$A$5:$A$16,0)),""))</f>
        <v/>
      </c>
      <c r="X49" s="150">
        <f>IF($D49="","",IFERROR(INDEX(WBS_CBS!$F$5:$F$16,MATCH($D49,WBS_CBS!$A$5:$A$16,0)),""))</f>
        <v/>
      </c>
      <c r="Y49" s="149" t="n"/>
      <c r="Z49" s="149" t="n"/>
      <c r="AA49" s="150">
        <f>IF($D49="","",IFERROR(INDEX(WBS_CBS!$L$5:$L$16,MATCH($D49,WBS_CBS!$A$5:$A$16,0)),""))</f>
        <v/>
      </c>
      <c r="AB49" s="149" t="n"/>
    </row>
    <row r="50">
      <c r="A50" s="149" t="n"/>
      <c r="B50" s="149" t="n"/>
      <c r="C50" s="150">
        <f>IF($D50="","",IFERROR(INDEX(WBS_CBS!$E$5:$E$16,MATCH($D50,WBS_CBS!$A$5:$A$16,0)),""))</f>
        <v/>
      </c>
      <c r="D50" s="149" t="n"/>
      <c r="E50" s="150">
        <f>IF($D50="","",IFERROR(INDEX(WBS_CBS!$C$5:$C$16,MATCH($D50,WBS_CBS!$A$5:$A$16,0)),""))</f>
        <v/>
      </c>
      <c r="F50" s="150">
        <f>IF($D50="","",IFERROR(INDEX(WBS_CBS!$J$5:$J$16,MATCH($D50,WBS_CBS!$A$5:$A$16,0)),""))</f>
        <v/>
      </c>
      <c r="G50" s="149" t="n"/>
      <c r="H50" s="151" t="n"/>
      <c r="I50" s="149" t="n"/>
      <c r="J50" s="152" t="n"/>
      <c r="K50" s="149" t="n"/>
      <c r="L50" s="153">
        <f>IF($K50="","",IFERROR(INDEX(FX_Rates!$B$5:$B$14,MATCH($K50,FX_Rates!$A$5:$A$14,0)),""))</f>
        <v/>
      </c>
      <c r="M50" s="153">
        <f>IF(OR($H50="",$J50=""),"",$H50*$J50)</f>
        <v/>
      </c>
      <c r="N50" s="153">
        <f>IF(OR($M50="",$L50=""),"",$M50*$L50)</f>
        <v/>
      </c>
      <c r="O50" s="149" t="n"/>
      <c r="P50" s="154">
        <f>IF($O50="","",IFERROR(INDEX(Basis_of_Estimate!$C$5:$C$9,MATCH($O50,Basis_of_Estimate!$A$5:$A$9,0)),""))</f>
        <v/>
      </c>
      <c r="Q50" s="154">
        <f>IF($O50="","",IFERROR(INDEX(Basis_of_Estimate!$D$5:$D$9,MATCH($O50,Basis_of_Estimate!$A$5:$A$9,0)),""))</f>
        <v/>
      </c>
      <c r="R50" s="153">
        <f>IF($N50="","",$N50*(1+$P50))</f>
        <v/>
      </c>
      <c r="S50" s="153">
        <f>IF($N50="","",$N50)</f>
        <v/>
      </c>
      <c r="T50" s="153">
        <f>IF($N50="","",$N50*(1+$Q50))</f>
        <v/>
      </c>
      <c r="U50" s="150">
        <f>IF($D50="","",IFERROR(INDEX(WBS_CBS!$M$5:$M$16,MATCH($D50,WBS_CBS!$A$5:$A$16,0)),"Yes"))</f>
        <v/>
      </c>
      <c r="V50" s="150">
        <f>IF($D50="","",IFERROR(INDEX(WBS_CBS!$N$5:$N$16,MATCH($D50,WBS_CBS!$A$5:$A$16,0)),"Yes"))</f>
        <v/>
      </c>
      <c r="W50" s="150">
        <f>IF($D50="","",IFERROR(INDEX(WBS_CBS!$K$5:$K$16,MATCH($D50,WBS_CBS!$A$5:$A$16,0)),""))</f>
        <v/>
      </c>
      <c r="X50" s="150">
        <f>IF($D50="","",IFERROR(INDEX(WBS_CBS!$F$5:$F$16,MATCH($D50,WBS_CBS!$A$5:$A$16,0)),""))</f>
        <v/>
      </c>
      <c r="Y50" s="149" t="n"/>
      <c r="Z50" s="149" t="n"/>
      <c r="AA50" s="150">
        <f>IF($D50="","",IFERROR(INDEX(WBS_CBS!$L$5:$L$16,MATCH($D50,WBS_CBS!$A$5:$A$16,0)),""))</f>
        <v/>
      </c>
      <c r="AB50" s="149" t="n"/>
    </row>
    <row r="51">
      <c r="A51" s="149" t="n"/>
      <c r="B51" s="149" t="n"/>
      <c r="C51" s="150">
        <f>IF($D51="","",IFERROR(INDEX(WBS_CBS!$E$5:$E$16,MATCH($D51,WBS_CBS!$A$5:$A$16,0)),""))</f>
        <v/>
      </c>
      <c r="D51" s="149" t="n"/>
      <c r="E51" s="150">
        <f>IF($D51="","",IFERROR(INDEX(WBS_CBS!$C$5:$C$16,MATCH($D51,WBS_CBS!$A$5:$A$16,0)),""))</f>
        <v/>
      </c>
      <c r="F51" s="150">
        <f>IF($D51="","",IFERROR(INDEX(WBS_CBS!$J$5:$J$16,MATCH($D51,WBS_CBS!$A$5:$A$16,0)),""))</f>
        <v/>
      </c>
      <c r="G51" s="149" t="n"/>
      <c r="H51" s="151" t="n"/>
      <c r="I51" s="149" t="n"/>
      <c r="J51" s="152" t="n"/>
      <c r="K51" s="149" t="n"/>
      <c r="L51" s="153">
        <f>IF($K51="","",IFERROR(INDEX(FX_Rates!$B$5:$B$14,MATCH($K51,FX_Rates!$A$5:$A$14,0)),""))</f>
        <v/>
      </c>
      <c r="M51" s="153">
        <f>IF(OR($H51="",$J51=""),"",$H51*$J51)</f>
        <v/>
      </c>
      <c r="N51" s="153">
        <f>IF(OR($M51="",$L51=""),"",$M51*$L51)</f>
        <v/>
      </c>
      <c r="O51" s="149" t="n"/>
      <c r="P51" s="154">
        <f>IF($O51="","",IFERROR(INDEX(Basis_of_Estimate!$C$5:$C$9,MATCH($O51,Basis_of_Estimate!$A$5:$A$9,0)),""))</f>
        <v/>
      </c>
      <c r="Q51" s="154">
        <f>IF($O51="","",IFERROR(INDEX(Basis_of_Estimate!$D$5:$D$9,MATCH($O51,Basis_of_Estimate!$A$5:$A$9,0)),""))</f>
        <v/>
      </c>
      <c r="R51" s="153">
        <f>IF($N51="","",$N51*(1+$P51))</f>
        <v/>
      </c>
      <c r="S51" s="153">
        <f>IF($N51="","",$N51)</f>
        <v/>
      </c>
      <c r="T51" s="153">
        <f>IF($N51="","",$N51*(1+$Q51))</f>
        <v/>
      </c>
      <c r="U51" s="150">
        <f>IF($D51="","",IFERROR(INDEX(WBS_CBS!$M$5:$M$16,MATCH($D51,WBS_CBS!$A$5:$A$16,0)),"Yes"))</f>
        <v/>
      </c>
      <c r="V51" s="150">
        <f>IF($D51="","",IFERROR(INDEX(WBS_CBS!$N$5:$N$16,MATCH($D51,WBS_CBS!$A$5:$A$16,0)),"Yes"))</f>
        <v/>
      </c>
      <c r="W51" s="150">
        <f>IF($D51="","",IFERROR(INDEX(WBS_CBS!$K$5:$K$16,MATCH($D51,WBS_CBS!$A$5:$A$16,0)),""))</f>
        <v/>
      </c>
      <c r="X51" s="150">
        <f>IF($D51="","",IFERROR(INDEX(WBS_CBS!$F$5:$F$16,MATCH($D51,WBS_CBS!$A$5:$A$16,0)),""))</f>
        <v/>
      </c>
      <c r="Y51" s="149" t="n"/>
      <c r="Z51" s="149" t="n"/>
      <c r="AA51" s="150">
        <f>IF($D51="","",IFERROR(INDEX(WBS_CBS!$L$5:$L$16,MATCH($D51,WBS_CBS!$A$5:$A$16,0)),""))</f>
        <v/>
      </c>
      <c r="AB51" s="149" t="n"/>
    </row>
    <row r="52">
      <c r="A52" s="149" t="n"/>
      <c r="B52" s="149" t="n"/>
      <c r="C52" s="150">
        <f>IF($D52="","",IFERROR(INDEX(WBS_CBS!$E$5:$E$16,MATCH($D52,WBS_CBS!$A$5:$A$16,0)),""))</f>
        <v/>
      </c>
      <c r="D52" s="149" t="n"/>
      <c r="E52" s="150">
        <f>IF($D52="","",IFERROR(INDEX(WBS_CBS!$C$5:$C$16,MATCH($D52,WBS_CBS!$A$5:$A$16,0)),""))</f>
        <v/>
      </c>
      <c r="F52" s="150">
        <f>IF($D52="","",IFERROR(INDEX(WBS_CBS!$J$5:$J$16,MATCH($D52,WBS_CBS!$A$5:$A$16,0)),""))</f>
        <v/>
      </c>
      <c r="G52" s="149" t="n"/>
      <c r="H52" s="151" t="n"/>
      <c r="I52" s="149" t="n"/>
      <c r="J52" s="152" t="n"/>
      <c r="K52" s="149" t="n"/>
      <c r="L52" s="153">
        <f>IF($K52="","",IFERROR(INDEX(FX_Rates!$B$5:$B$14,MATCH($K52,FX_Rates!$A$5:$A$14,0)),""))</f>
        <v/>
      </c>
      <c r="M52" s="153">
        <f>IF(OR($H52="",$J52=""),"",$H52*$J52)</f>
        <v/>
      </c>
      <c r="N52" s="153">
        <f>IF(OR($M52="",$L52=""),"",$M52*$L52)</f>
        <v/>
      </c>
      <c r="O52" s="149" t="n"/>
      <c r="P52" s="154">
        <f>IF($O52="","",IFERROR(INDEX(Basis_of_Estimate!$C$5:$C$9,MATCH($O52,Basis_of_Estimate!$A$5:$A$9,0)),""))</f>
        <v/>
      </c>
      <c r="Q52" s="154">
        <f>IF($O52="","",IFERROR(INDEX(Basis_of_Estimate!$D$5:$D$9,MATCH($O52,Basis_of_Estimate!$A$5:$A$9,0)),""))</f>
        <v/>
      </c>
      <c r="R52" s="153">
        <f>IF($N52="","",$N52*(1+$P52))</f>
        <v/>
      </c>
      <c r="S52" s="153">
        <f>IF($N52="","",$N52)</f>
        <v/>
      </c>
      <c r="T52" s="153">
        <f>IF($N52="","",$N52*(1+$Q52))</f>
        <v/>
      </c>
      <c r="U52" s="150">
        <f>IF($D52="","",IFERROR(INDEX(WBS_CBS!$M$5:$M$16,MATCH($D52,WBS_CBS!$A$5:$A$16,0)),"Yes"))</f>
        <v/>
      </c>
      <c r="V52" s="150">
        <f>IF($D52="","",IFERROR(INDEX(WBS_CBS!$N$5:$N$16,MATCH($D52,WBS_CBS!$A$5:$A$16,0)),"Yes"))</f>
        <v/>
      </c>
      <c r="W52" s="150">
        <f>IF($D52="","",IFERROR(INDEX(WBS_CBS!$K$5:$K$16,MATCH($D52,WBS_CBS!$A$5:$A$16,0)),""))</f>
        <v/>
      </c>
      <c r="X52" s="150">
        <f>IF($D52="","",IFERROR(INDEX(WBS_CBS!$F$5:$F$16,MATCH($D52,WBS_CBS!$A$5:$A$16,0)),""))</f>
        <v/>
      </c>
      <c r="Y52" s="149" t="n"/>
      <c r="Z52" s="149" t="n"/>
      <c r="AA52" s="150">
        <f>IF($D52="","",IFERROR(INDEX(WBS_CBS!$L$5:$L$16,MATCH($D52,WBS_CBS!$A$5:$A$16,0)),""))</f>
        <v/>
      </c>
      <c r="AB52" s="149" t="n"/>
    </row>
    <row r="53">
      <c r="A53" s="149" t="n"/>
      <c r="B53" s="149" t="n"/>
      <c r="C53" s="150">
        <f>IF($D53="","",IFERROR(INDEX(WBS_CBS!$E$5:$E$16,MATCH($D53,WBS_CBS!$A$5:$A$16,0)),""))</f>
        <v/>
      </c>
      <c r="D53" s="149" t="n"/>
      <c r="E53" s="150">
        <f>IF($D53="","",IFERROR(INDEX(WBS_CBS!$C$5:$C$16,MATCH($D53,WBS_CBS!$A$5:$A$16,0)),""))</f>
        <v/>
      </c>
      <c r="F53" s="150">
        <f>IF($D53="","",IFERROR(INDEX(WBS_CBS!$J$5:$J$16,MATCH($D53,WBS_CBS!$A$5:$A$16,0)),""))</f>
        <v/>
      </c>
      <c r="G53" s="149" t="n"/>
      <c r="H53" s="151" t="n"/>
      <c r="I53" s="149" t="n"/>
      <c r="J53" s="152" t="n"/>
      <c r="K53" s="149" t="n"/>
      <c r="L53" s="153">
        <f>IF($K53="","",IFERROR(INDEX(FX_Rates!$B$5:$B$14,MATCH($K53,FX_Rates!$A$5:$A$14,0)),""))</f>
        <v/>
      </c>
      <c r="M53" s="153">
        <f>IF(OR($H53="",$J53=""),"",$H53*$J53)</f>
        <v/>
      </c>
      <c r="N53" s="153">
        <f>IF(OR($M53="",$L53=""),"",$M53*$L53)</f>
        <v/>
      </c>
      <c r="O53" s="149" t="n"/>
      <c r="P53" s="154">
        <f>IF($O53="","",IFERROR(INDEX(Basis_of_Estimate!$C$5:$C$9,MATCH($O53,Basis_of_Estimate!$A$5:$A$9,0)),""))</f>
        <v/>
      </c>
      <c r="Q53" s="154">
        <f>IF($O53="","",IFERROR(INDEX(Basis_of_Estimate!$D$5:$D$9,MATCH($O53,Basis_of_Estimate!$A$5:$A$9,0)),""))</f>
        <v/>
      </c>
      <c r="R53" s="153">
        <f>IF($N53="","",$N53*(1+$P53))</f>
        <v/>
      </c>
      <c r="S53" s="153">
        <f>IF($N53="","",$N53)</f>
        <v/>
      </c>
      <c r="T53" s="153">
        <f>IF($N53="","",$N53*(1+$Q53))</f>
        <v/>
      </c>
      <c r="U53" s="150">
        <f>IF($D53="","",IFERROR(INDEX(WBS_CBS!$M$5:$M$16,MATCH($D53,WBS_CBS!$A$5:$A$16,0)),"Yes"))</f>
        <v/>
      </c>
      <c r="V53" s="150">
        <f>IF($D53="","",IFERROR(INDEX(WBS_CBS!$N$5:$N$16,MATCH($D53,WBS_CBS!$A$5:$A$16,0)),"Yes"))</f>
        <v/>
      </c>
      <c r="W53" s="150">
        <f>IF($D53="","",IFERROR(INDEX(WBS_CBS!$K$5:$K$16,MATCH($D53,WBS_CBS!$A$5:$A$16,0)),""))</f>
        <v/>
      </c>
      <c r="X53" s="150">
        <f>IF($D53="","",IFERROR(INDEX(WBS_CBS!$F$5:$F$16,MATCH($D53,WBS_CBS!$A$5:$A$16,0)),""))</f>
        <v/>
      </c>
      <c r="Y53" s="149" t="n"/>
      <c r="Z53" s="149" t="n"/>
      <c r="AA53" s="150">
        <f>IF($D53="","",IFERROR(INDEX(WBS_CBS!$L$5:$L$16,MATCH($D53,WBS_CBS!$A$5:$A$16,0)),""))</f>
        <v/>
      </c>
      <c r="AB53" s="149" t="n"/>
    </row>
    <row r="54">
      <c r="A54" s="149" t="n"/>
      <c r="B54" s="149" t="n"/>
      <c r="C54" s="150">
        <f>IF($D54="","",IFERROR(INDEX(WBS_CBS!$E$5:$E$16,MATCH($D54,WBS_CBS!$A$5:$A$16,0)),""))</f>
        <v/>
      </c>
      <c r="D54" s="149" t="n"/>
      <c r="E54" s="150">
        <f>IF($D54="","",IFERROR(INDEX(WBS_CBS!$C$5:$C$16,MATCH($D54,WBS_CBS!$A$5:$A$16,0)),""))</f>
        <v/>
      </c>
      <c r="F54" s="150">
        <f>IF($D54="","",IFERROR(INDEX(WBS_CBS!$J$5:$J$16,MATCH($D54,WBS_CBS!$A$5:$A$16,0)),""))</f>
        <v/>
      </c>
      <c r="G54" s="149" t="n"/>
      <c r="H54" s="151" t="n"/>
      <c r="I54" s="149" t="n"/>
      <c r="J54" s="152" t="n"/>
      <c r="K54" s="149" t="n"/>
      <c r="L54" s="153">
        <f>IF($K54="","",IFERROR(INDEX(FX_Rates!$B$5:$B$14,MATCH($K54,FX_Rates!$A$5:$A$14,0)),""))</f>
        <v/>
      </c>
      <c r="M54" s="153">
        <f>IF(OR($H54="",$J54=""),"",$H54*$J54)</f>
        <v/>
      </c>
      <c r="N54" s="153">
        <f>IF(OR($M54="",$L54=""),"",$M54*$L54)</f>
        <v/>
      </c>
      <c r="O54" s="149" t="n"/>
      <c r="P54" s="154">
        <f>IF($O54="","",IFERROR(INDEX(Basis_of_Estimate!$C$5:$C$9,MATCH($O54,Basis_of_Estimate!$A$5:$A$9,0)),""))</f>
        <v/>
      </c>
      <c r="Q54" s="154">
        <f>IF($O54="","",IFERROR(INDEX(Basis_of_Estimate!$D$5:$D$9,MATCH($O54,Basis_of_Estimate!$A$5:$A$9,0)),""))</f>
        <v/>
      </c>
      <c r="R54" s="153">
        <f>IF($N54="","",$N54*(1+$P54))</f>
        <v/>
      </c>
      <c r="S54" s="153">
        <f>IF($N54="","",$N54)</f>
        <v/>
      </c>
      <c r="T54" s="153">
        <f>IF($N54="","",$N54*(1+$Q54))</f>
        <v/>
      </c>
      <c r="U54" s="150">
        <f>IF($D54="","",IFERROR(INDEX(WBS_CBS!$M$5:$M$16,MATCH($D54,WBS_CBS!$A$5:$A$16,0)),"Yes"))</f>
        <v/>
      </c>
      <c r="V54" s="150">
        <f>IF($D54="","",IFERROR(INDEX(WBS_CBS!$N$5:$N$16,MATCH($D54,WBS_CBS!$A$5:$A$16,0)),"Yes"))</f>
        <v/>
      </c>
      <c r="W54" s="150">
        <f>IF($D54="","",IFERROR(INDEX(WBS_CBS!$K$5:$K$16,MATCH($D54,WBS_CBS!$A$5:$A$16,0)),""))</f>
        <v/>
      </c>
      <c r="X54" s="150">
        <f>IF($D54="","",IFERROR(INDEX(WBS_CBS!$F$5:$F$16,MATCH($D54,WBS_CBS!$A$5:$A$16,0)),""))</f>
        <v/>
      </c>
      <c r="Y54" s="149" t="n"/>
      <c r="Z54" s="149" t="n"/>
      <c r="AA54" s="150">
        <f>IF($D54="","",IFERROR(INDEX(WBS_CBS!$L$5:$L$16,MATCH($D54,WBS_CBS!$A$5:$A$16,0)),""))</f>
        <v/>
      </c>
      <c r="AB54" s="149" t="n"/>
    </row>
    <row r="55">
      <c r="A55" s="149" t="n"/>
      <c r="B55" s="149" t="n"/>
      <c r="C55" s="150">
        <f>IF($D55="","",IFERROR(INDEX(WBS_CBS!$E$5:$E$16,MATCH($D55,WBS_CBS!$A$5:$A$16,0)),""))</f>
        <v/>
      </c>
      <c r="D55" s="149" t="n"/>
      <c r="E55" s="150">
        <f>IF($D55="","",IFERROR(INDEX(WBS_CBS!$C$5:$C$16,MATCH($D55,WBS_CBS!$A$5:$A$16,0)),""))</f>
        <v/>
      </c>
      <c r="F55" s="150">
        <f>IF($D55="","",IFERROR(INDEX(WBS_CBS!$J$5:$J$16,MATCH($D55,WBS_CBS!$A$5:$A$16,0)),""))</f>
        <v/>
      </c>
      <c r="G55" s="149" t="n"/>
      <c r="H55" s="151" t="n"/>
      <c r="I55" s="149" t="n"/>
      <c r="J55" s="152" t="n"/>
      <c r="K55" s="149" t="n"/>
      <c r="L55" s="153">
        <f>IF($K55="","",IFERROR(INDEX(FX_Rates!$B$5:$B$14,MATCH($K55,FX_Rates!$A$5:$A$14,0)),""))</f>
        <v/>
      </c>
      <c r="M55" s="153">
        <f>IF(OR($H55="",$J55=""),"",$H55*$J55)</f>
        <v/>
      </c>
      <c r="N55" s="153">
        <f>IF(OR($M55="",$L55=""),"",$M55*$L55)</f>
        <v/>
      </c>
      <c r="O55" s="149" t="n"/>
      <c r="P55" s="154">
        <f>IF($O55="","",IFERROR(INDEX(Basis_of_Estimate!$C$5:$C$9,MATCH($O55,Basis_of_Estimate!$A$5:$A$9,0)),""))</f>
        <v/>
      </c>
      <c r="Q55" s="154">
        <f>IF($O55="","",IFERROR(INDEX(Basis_of_Estimate!$D$5:$D$9,MATCH($O55,Basis_of_Estimate!$A$5:$A$9,0)),""))</f>
        <v/>
      </c>
      <c r="R55" s="153">
        <f>IF($N55="","",$N55*(1+$P55))</f>
        <v/>
      </c>
      <c r="S55" s="153">
        <f>IF($N55="","",$N55)</f>
        <v/>
      </c>
      <c r="T55" s="153">
        <f>IF($N55="","",$N55*(1+$Q55))</f>
        <v/>
      </c>
      <c r="U55" s="150">
        <f>IF($D55="","",IFERROR(INDEX(WBS_CBS!$M$5:$M$16,MATCH($D55,WBS_CBS!$A$5:$A$16,0)),"Yes"))</f>
        <v/>
      </c>
      <c r="V55" s="150">
        <f>IF($D55="","",IFERROR(INDEX(WBS_CBS!$N$5:$N$16,MATCH($D55,WBS_CBS!$A$5:$A$16,0)),"Yes"))</f>
        <v/>
      </c>
      <c r="W55" s="150">
        <f>IF($D55="","",IFERROR(INDEX(WBS_CBS!$K$5:$K$16,MATCH($D55,WBS_CBS!$A$5:$A$16,0)),""))</f>
        <v/>
      </c>
      <c r="X55" s="150">
        <f>IF($D55="","",IFERROR(INDEX(WBS_CBS!$F$5:$F$16,MATCH($D55,WBS_CBS!$A$5:$A$16,0)),""))</f>
        <v/>
      </c>
      <c r="Y55" s="149" t="n"/>
      <c r="Z55" s="149" t="n"/>
      <c r="AA55" s="150">
        <f>IF($D55="","",IFERROR(INDEX(WBS_CBS!$L$5:$L$16,MATCH($D55,WBS_CBS!$A$5:$A$16,0)),""))</f>
        <v/>
      </c>
      <c r="AB55" s="149" t="n"/>
    </row>
    <row r="56">
      <c r="A56" s="149" t="n"/>
      <c r="B56" s="149" t="n"/>
      <c r="C56" s="150">
        <f>IF($D56="","",IFERROR(INDEX(WBS_CBS!$E$5:$E$16,MATCH($D56,WBS_CBS!$A$5:$A$16,0)),""))</f>
        <v/>
      </c>
      <c r="D56" s="149" t="n"/>
      <c r="E56" s="150">
        <f>IF($D56="","",IFERROR(INDEX(WBS_CBS!$C$5:$C$16,MATCH($D56,WBS_CBS!$A$5:$A$16,0)),""))</f>
        <v/>
      </c>
      <c r="F56" s="150">
        <f>IF($D56="","",IFERROR(INDEX(WBS_CBS!$J$5:$J$16,MATCH($D56,WBS_CBS!$A$5:$A$16,0)),""))</f>
        <v/>
      </c>
      <c r="G56" s="149" t="n"/>
      <c r="H56" s="151" t="n"/>
      <c r="I56" s="149" t="n"/>
      <c r="J56" s="152" t="n"/>
      <c r="K56" s="149" t="n"/>
      <c r="L56" s="153">
        <f>IF($K56="","",IFERROR(INDEX(FX_Rates!$B$5:$B$14,MATCH($K56,FX_Rates!$A$5:$A$14,0)),""))</f>
        <v/>
      </c>
      <c r="M56" s="153">
        <f>IF(OR($H56="",$J56=""),"",$H56*$J56)</f>
        <v/>
      </c>
      <c r="N56" s="153">
        <f>IF(OR($M56="",$L56=""),"",$M56*$L56)</f>
        <v/>
      </c>
      <c r="O56" s="149" t="n"/>
      <c r="P56" s="154">
        <f>IF($O56="","",IFERROR(INDEX(Basis_of_Estimate!$C$5:$C$9,MATCH($O56,Basis_of_Estimate!$A$5:$A$9,0)),""))</f>
        <v/>
      </c>
      <c r="Q56" s="154">
        <f>IF($O56="","",IFERROR(INDEX(Basis_of_Estimate!$D$5:$D$9,MATCH($O56,Basis_of_Estimate!$A$5:$A$9,0)),""))</f>
        <v/>
      </c>
      <c r="R56" s="153">
        <f>IF($N56="","",$N56*(1+$P56))</f>
        <v/>
      </c>
      <c r="S56" s="153">
        <f>IF($N56="","",$N56)</f>
        <v/>
      </c>
      <c r="T56" s="153">
        <f>IF($N56="","",$N56*(1+$Q56))</f>
        <v/>
      </c>
      <c r="U56" s="150">
        <f>IF($D56="","",IFERROR(INDEX(WBS_CBS!$M$5:$M$16,MATCH($D56,WBS_CBS!$A$5:$A$16,0)),"Yes"))</f>
        <v/>
      </c>
      <c r="V56" s="150">
        <f>IF($D56="","",IFERROR(INDEX(WBS_CBS!$N$5:$N$16,MATCH($D56,WBS_CBS!$A$5:$A$16,0)),"Yes"))</f>
        <v/>
      </c>
      <c r="W56" s="150">
        <f>IF($D56="","",IFERROR(INDEX(WBS_CBS!$K$5:$K$16,MATCH($D56,WBS_CBS!$A$5:$A$16,0)),""))</f>
        <v/>
      </c>
      <c r="X56" s="150">
        <f>IF($D56="","",IFERROR(INDEX(WBS_CBS!$F$5:$F$16,MATCH($D56,WBS_CBS!$A$5:$A$16,0)),""))</f>
        <v/>
      </c>
      <c r="Y56" s="149" t="n"/>
      <c r="Z56" s="149" t="n"/>
      <c r="AA56" s="150">
        <f>IF($D56="","",IFERROR(INDEX(WBS_CBS!$L$5:$L$16,MATCH($D56,WBS_CBS!$A$5:$A$16,0)),""))</f>
        <v/>
      </c>
      <c r="AB56" s="149" t="n"/>
    </row>
    <row r="57">
      <c r="A57" s="149" t="n"/>
      <c r="B57" s="149" t="n"/>
      <c r="C57" s="150">
        <f>IF($D57="","",IFERROR(INDEX(WBS_CBS!$E$5:$E$16,MATCH($D57,WBS_CBS!$A$5:$A$16,0)),""))</f>
        <v/>
      </c>
      <c r="D57" s="149" t="n"/>
      <c r="E57" s="150">
        <f>IF($D57="","",IFERROR(INDEX(WBS_CBS!$C$5:$C$16,MATCH($D57,WBS_CBS!$A$5:$A$16,0)),""))</f>
        <v/>
      </c>
      <c r="F57" s="150">
        <f>IF($D57="","",IFERROR(INDEX(WBS_CBS!$J$5:$J$16,MATCH($D57,WBS_CBS!$A$5:$A$16,0)),""))</f>
        <v/>
      </c>
      <c r="G57" s="149" t="n"/>
      <c r="H57" s="151" t="n"/>
      <c r="I57" s="149" t="n"/>
      <c r="J57" s="152" t="n"/>
      <c r="K57" s="149" t="n"/>
      <c r="L57" s="153">
        <f>IF($K57="","",IFERROR(INDEX(FX_Rates!$B$5:$B$14,MATCH($K57,FX_Rates!$A$5:$A$14,0)),""))</f>
        <v/>
      </c>
      <c r="M57" s="153">
        <f>IF(OR($H57="",$J57=""),"",$H57*$J57)</f>
        <v/>
      </c>
      <c r="N57" s="153">
        <f>IF(OR($M57="",$L57=""),"",$M57*$L57)</f>
        <v/>
      </c>
      <c r="O57" s="149" t="n"/>
      <c r="P57" s="154">
        <f>IF($O57="","",IFERROR(INDEX(Basis_of_Estimate!$C$5:$C$9,MATCH($O57,Basis_of_Estimate!$A$5:$A$9,0)),""))</f>
        <v/>
      </c>
      <c r="Q57" s="154">
        <f>IF($O57="","",IFERROR(INDEX(Basis_of_Estimate!$D$5:$D$9,MATCH($O57,Basis_of_Estimate!$A$5:$A$9,0)),""))</f>
        <v/>
      </c>
      <c r="R57" s="153">
        <f>IF($N57="","",$N57*(1+$P57))</f>
        <v/>
      </c>
      <c r="S57" s="153">
        <f>IF($N57="","",$N57)</f>
        <v/>
      </c>
      <c r="T57" s="153">
        <f>IF($N57="","",$N57*(1+$Q57))</f>
        <v/>
      </c>
      <c r="U57" s="150">
        <f>IF($D57="","",IFERROR(INDEX(WBS_CBS!$M$5:$M$16,MATCH($D57,WBS_CBS!$A$5:$A$16,0)),"Yes"))</f>
        <v/>
      </c>
      <c r="V57" s="150">
        <f>IF($D57="","",IFERROR(INDEX(WBS_CBS!$N$5:$N$16,MATCH($D57,WBS_CBS!$A$5:$A$16,0)),"Yes"))</f>
        <v/>
      </c>
      <c r="W57" s="150">
        <f>IF($D57="","",IFERROR(INDEX(WBS_CBS!$K$5:$K$16,MATCH($D57,WBS_CBS!$A$5:$A$16,0)),""))</f>
        <v/>
      </c>
      <c r="X57" s="150">
        <f>IF($D57="","",IFERROR(INDEX(WBS_CBS!$F$5:$F$16,MATCH($D57,WBS_CBS!$A$5:$A$16,0)),""))</f>
        <v/>
      </c>
      <c r="Y57" s="149" t="n"/>
      <c r="Z57" s="149" t="n"/>
      <c r="AA57" s="150">
        <f>IF($D57="","",IFERROR(INDEX(WBS_CBS!$L$5:$L$16,MATCH($D57,WBS_CBS!$A$5:$A$16,0)),""))</f>
        <v/>
      </c>
      <c r="AB57" s="149" t="n"/>
    </row>
    <row r="58">
      <c r="A58" s="149" t="n"/>
      <c r="B58" s="149" t="n"/>
      <c r="C58" s="150">
        <f>IF($D58="","",IFERROR(INDEX(WBS_CBS!$E$5:$E$16,MATCH($D58,WBS_CBS!$A$5:$A$16,0)),""))</f>
        <v/>
      </c>
      <c r="D58" s="149" t="n"/>
      <c r="E58" s="150">
        <f>IF($D58="","",IFERROR(INDEX(WBS_CBS!$C$5:$C$16,MATCH($D58,WBS_CBS!$A$5:$A$16,0)),""))</f>
        <v/>
      </c>
      <c r="F58" s="150">
        <f>IF($D58="","",IFERROR(INDEX(WBS_CBS!$J$5:$J$16,MATCH($D58,WBS_CBS!$A$5:$A$16,0)),""))</f>
        <v/>
      </c>
      <c r="G58" s="149" t="n"/>
      <c r="H58" s="151" t="n"/>
      <c r="I58" s="149" t="n"/>
      <c r="J58" s="152" t="n"/>
      <c r="K58" s="149" t="n"/>
      <c r="L58" s="153">
        <f>IF($K58="","",IFERROR(INDEX(FX_Rates!$B$5:$B$14,MATCH($K58,FX_Rates!$A$5:$A$14,0)),""))</f>
        <v/>
      </c>
      <c r="M58" s="153">
        <f>IF(OR($H58="",$J58=""),"",$H58*$J58)</f>
        <v/>
      </c>
      <c r="N58" s="153">
        <f>IF(OR($M58="",$L58=""),"",$M58*$L58)</f>
        <v/>
      </c>
      <c r="O58" s="149" t="n"/>
      <c r="P58" s="154">
        <f>IF($O58="","",IFERROR(INDEX(Basis_of_Estimate!$C$5:$C$9,MATCH($O58,Basis_of_Estimate!$A$5:$A$9,0)),""))</f>
        <v/>
      </c>
      <c r="Q58" s="154">
        <f>IF($O58="","",IFERROR(INDEX(Basis_of_Estimate!$D$5:$D$9,MATCH($O58,Basis_of_Estimate!$A$5:$A$9,0)),""))</f>
        <v/>
      </c>
      <c r="R58" s="153">
        <f>IF($N58="","",$N58*(1+$P58))</f>
        <v/>
      </c>
      <c r="S58" s="153">
        <f>IF($N58="","",$N58)</f>
        <v/>
      </c>
      <c r="T58" s="153">
        <f>IF($N58="","",$N58*(1+$Q58))</f>
        <v/>
      </c>
      <c r="U58" s="150">
        <f>IF($D58="","",IFERROR(INDEX(WBS_CBS!$M$5:$M$16,MATCH($D58,WBS_CBS!$A$5:$A$16,0)),"Yes"))</f>
        <v/>
      </c>
      <c r="V58" s="150">
        <f>IF($D58="","",IFERROR(INDEX(WBS_CBS!$N$5:$N$16,MATCH($D58,WBS_CBS!$A$5:$A$16,0)),"Yes"))</f>
        <v/>
      </c>
      <c r="W58" s="150">
        <f>IF($D58="","",IFERROR(INDEX(WBS_CBS!$K$5:$K$16,MATCH($D58,WBS_CBS!$A$5:$A$16,0)),""))</f>
        <v/>
      </c>
      <c r="X58" s="150">
        <f>IF($D58="","",IFERROR(INDEX(WBS_CBS!$F$5:$F$16,MATCH($D58,WBS_CBS!$A$5:$A$16,0)),""))</f>
        <v/>
      </c>
      <c r="Y58" s="149" t="n"/>
      <c r="Z58" s="149" t="n"/>
      <c r="AA58" s="150">
        <f>IF($D58="","",IFERROR(INDEX(WBS_CBS!$L$5:$L$16,MATCH($D58,WBS_CBS!$A$5:$A$16,0)),""))</f>
        <v/>
      </c>
      <c r="AB58" s="149" t="n"/>
    </row>
    <row r="59">
      <c r="A59" s="149" t="n"/>
      <c r="B59" s="149" t="n"/>
      <c r="C59" s="150">
        <f>IF($D59="","",IFERROR(INDEX(WBS_CBS!$E$5:$E$16,MATCH($D59,WBS_CBS!$A$5:$A$16,0)),""))</f>
        <v/>
      </c>
      <c r="D59" s="149" t="n"/>
      <c r="E59" s="150">
        <f>IF($D59="","",IFERROR(INDEX(WBS_CBS!$C$5:$C$16,MATCH($D59,WBS_CBS!$A$5:$A$16,0)),""))</f>
        <v/>
      </c>
      <c r="F59" s="150">
        <f>IF($D59="","",IFERROR(INDEX(WBS_CBS!$J$5:$J$16,MATCH($D59,WBS_CBS!$A$5:$A$16,0)),""))</f>
        <v/>
      </c>
      <c r="G59" s="149" t="n"/>
      <c r="H59" s="151" t="n"/>
      <c r="I59" s="149" t="n"/>
      <c r="J59" s="152" t="n"/>
      <c r="K59" s="149" t="n"/>
      <c r="L59" s="153">
        <f>IF($K59="","",IFERROR(INDEX(FX_Rates!$B$5:$B$14,MATCH($K59,FX_Rates!$A$5:$A$14,0)),""))</f>
        <v/>
      </c>
      <c r="M59" s="153">
        <f>IF(OR($H59="",$J59=""),"",$H59*$J59)</f>
        <v/>
      </c>
      <c r="N59" s="153">
        <f>IF(OR($M59="",$L59=""),"",$M59*$L59)</f>
        <v/>
      </c>
      <c r="O59" s="149" t="n"/>
      <c r="P59" s="154">
        <f>IF($O59="","",IFERROR(INDEX(Basis_of_Estimate!$C$5:$C$9,MATCH($O59,Basis_of_Estimate!$A$5:$A$9,0)),""))</f>
        <v/>
      </c>
      <c r="Q59" s="154">
        <f>IF($O59="","",IFERROR(INDEX(Basis_of_Estimate!$D$5:$D$9,MATCH($O59,Basis_of_Estimate!$A$5:$A$9,0)),""))</f>
        <v/>
      </c>
      <c r="R59" s="153">
        <f>IF($N59="","",$N59*(1+$P59))</f>
        <v/>
      </c>
      <c r="S59" s="153">
        <f>IF($N59="","",$N59)</f>
        <v/>
      </c>
      <c r="T59" s="153">
        <f>IF($N59="","",$N59*(1+$Q59))</f>
        <v/>
      </c>
      <c r="U59" s="150">
        <f>IF($D59="","",IFERROR(INDEX(WBS_CBS!$M$5:$M$16,MATCH($D59,WBS_CBS!$A$5:$A$16,0)),"Yes"))</f>
        <v/>
      </c>
      <c r="V59" s="150">
        <f>IF($D59="","",IFERROR(INDEX(WBS_CBS!$N$5:$N$16,MATCH($D59,WBS_CBS!$A$5:$A$16,0)),"Yes"))</f>
        <v/>
      </c>
      <c r="W59" s="150">
        <f>IF($D59="","",IFERROR(INDEX(WBS_CBS!$K$5:$K$16,MATCH($D59,WBS_CBS!$A$5:$A$16,0)),""))</f>
        <v/>
      </c>
      <c r="X59" s="150">
        <f>IF($D59="","",IFERROR(INDEX(WBS_CBS!$F$5:$F$16,MATCH($D59,WBS_CBS!$A$5:$A$16,0)),""))</f>
        <v/>
      </c>
      <c r="Y59" s="149" t="n"/>
      <c r="Z59" s="149" t="n"/>
      <c r="AA59" s="150">
        <f>IF($D59="","",IFERROR(INDEX(WBS_CBS!$L$5:$L$16,MATCH($D59,WBS_CBS!$A$5:$A$16,0)),""))</f>
        <v/>
      </c>
      <c r="AB59" s="149" t="n"/>
    </row>
    <row r="60">
      <c r="A60" s="149" t="n"/>
      <c r="B60" s="149" t="n"/>
      <c r="C60" s="150">
        <f>IF($D60="","",IFERROR(INDEX(WBS_CBS!$E$5:$E$16,MATCH($D60,WBS_CBS!$A$5:$A$16,0)),""))</f>
        <v/>
      </c>
      <c r="D60" s="149" t="n"/>
      <c r="E60" s="150">
        <f>IF($D60="","",IFERROR(INDEX(WBS_CBS!$C$5:$C$16,MATCH($D60,WBS_CBS!$A$5:$A$16,0)),""))</f>
        <v/>
      </c>
      <c r="F60" s="150">
        <f>IF($D60="","",IFERROR(INDEX(WBS_CBS!$J$5:$J$16,MATCH($D60,WBS_CBS!$A$5:$A$16,0)),""))</f>
        <v/>
      </c>
      <c r="G60" s="149" t="n"/>
      <c r="H60" s="151" t="n"/>
      <c r="I60" s="149" t="n"/>
      <c r="J60" s="152" t="n"/>
      <c r="K60" s="149" t="n"/>
      <c r="L60" s="153">
        <f>IF($K60="","",IFERROR(INDEX(FX_Rates!$B$5:$B$14,MATCH($K60,FX_Rates!$A$5:$A$14,0)),""))</f>
        <v/>
      </c>
      <c r="M60" s="153">
        <f>IF(OR($H60="",$J60=""),"",$H60*$J60)</f>
        <v/>
      </c>
      <c r="N60" s="153">
        <f>IF(OR($M60="",$L60=""),"",$M60*$L60)</f>
        <v/>
      </c>
      <c r="O60" s="149" t="n"/>
      <c r="P60" s="154">
        <f>IF($O60="","",IFERROR(INDEX(Basis_of_Estimate!$C$5:$C$9,MATCH($O60,Basis_of_Estimate!$A$5:$A$9,0)),""))</f>
        <v/>
      </c>
      <c r="Q60" s="154">
        <f>IF($O60="","",IFERROR(INDEX(Basis_of_Estimate!$D$5:$D$9,MATCH($O60,Basis_of_Estimate!$A$5:$A$9,0)),""))</f>
        <v/>
      </c>
      <c r="R60" s="153">
        <f>IF($N60="","",$N60*(1+$P60))</f>
        <v/>
      </c>
      <c r="S60" s="153">
        <f>IF($N60="","",$N60)</f>
        <v/>
      </c>
      <c r="T60" s="153">
        <f>IF($N60="","",$N60*(1+$Q60))</f>
        <v/>
      </c>
      <c r="U60" s="150">
        <f>IF($D60="","",IFERROR(INDEX(WBS_CBS!$M$5:$M$16,MATCH($D60,WBS_CBS!$A$5:$A$16,0)),"Yes"))</f>
        <v/>
      </c>
      <c r="V60" s="150">
        <f>IF($D60="","",IFERROR(INDEX(WBS_CBS!$N$5:$N$16,MATCH($D60,WBS_CBS!$A$5:$A$16,0)),"Yes"))</f>
        <v/>
      </c>
      <c r="W60" s="150">
        <f>IF($D60="","",IFERROR(INDEX(WBS_CBS!$K$5:$K$16,MATCH($D60,WBS_CBS!$A$5:$A$16,0)),""))</f>
        <v/>
      </c>
      <c r="X60" s="150">
        <f>IF($D60="","",IFERROR(INDEX(WBS_CBS!$F$5:$F$16,MATCH($D60,WBS_CBS!$A$5:$A$16,0)),""))</f>
        <v/>
      </c>
      <c r="Y60" s="149" t="n"/>
      <c r="Z60" s="149" t="n"/>
      <c r="AA60" s="150">
        <f>IF($D60="","",IFERROR(INDEX(WBS_CBS!$L$5:$L$16,MATCH($D60,WBS_CBS!$A$5:$A$16,0)),""))</f>
        <v/>
      </c>
      <c r="AB60" s="149" t="n"/>
    </row>
    <row r="61">
      <c r="A61" s="149" t="n"/>
      <c r="B61" s="149" t="n"/>
      <c r="C61" s="150">
        <f>IF($D61="","",IFERROR(INDEX(WBS_CBS!$E$5:$E$16,MATCH($D61,WBS_CBS!$A$5:$A$16,0)),""))</f>
        <v/>
      </c>
      <c r="D61" s="149" t="n"/>
      <c r="E61" s="150">
        <f>IF($D61="","",IFERROR(INDEX(WBS_CBS!$C$5:$C$16,MATCH($D61,WBS_CBS!$A$5:$A$16,0)),""))</f>
        <v/>
      </c>
      <c r="F61" s="150">
        <f>IF($D61="","",IFERROR(INDEX(WBS_CBS!$J$5:$J$16,MATCH($D61,WBS_CBS!$A$5:$A$16,0)),""))</f>
        <v/>
      </c>
      <c r="G61" s="149" t="n"/>
      <c r="H61" s="151" t="n"/>
      <c r="I61" s="149" t="n"/>
      <c r="J61" s="152" t="n"/>
      <c r="K61" s="149" t="n"/>
      <c r="L61" s="153">
        <f>IF($K61="","",IFERROR(INDEX(FX_Rates!$B$5:$B$14,MATCH($K61,FX_Rates!$A$5:$A$14,0)),""))</f>
        <v/>
      </c>
      <c r="M61" s="153">
        <f>IF(OR($H61="",$J61=""),"",$H61*$J61)</f>
        <v/>
      </c>
      <c r="N61" s="153">
        <f>IF(OR($M61="",$L61=""),"",$M61*$L61)</f>
        <v/>
      </c>
      <c r="O61" s="149" t="n"/>
      <c r="P61" s="154">
        <f>IF($O61="","",IFERROR(INDEX(Basis_of_Estimate!$C$5:$C$9,MATCH($O61,Basis_of_Estimate!$A$5:$A$9,0)),""))</f>
        <v/>
      </c>
      <c r="Q61" s="154">
        <f>IF($O61="","",IFERROR(INDEX(Basis_of_Estimate!$D$5:$D$9,MATCH($O61,Basis_of_Estimate!$A$5:$A$9,0)),""))</f>
        <v/>
      </c>
      <c r="R61" s="153">
        <f>IF($N61="","",$N61*(1+$P61))</f>
        <v/>
      </c>
      <c r="S61" s="153">
        <f>IF($N61="","",$N61)</f>
        <v/>
      </c>
      <c r="T61" s="153">
        <f>IF($N61="","",$N61*(1+$Q61))</f>
        <v/>
      </c>
      <c r="U61" s="150">
        <f>IF($D61="","",IFERROR(INDEX(WBS_CBS!$M$5:$M$16,MATCH($D61,WBS_CBS!$A$5:$A$16,0)),"Yes"))</f>
        <v/>
      </c>
      <c r="V61" s="150">
        <f>IF($D61="","",IFERROR(INDEX(WBS_CBS!$N$5:$N$16,MATCH($D61,WBS_CBS!$A$5:$A$16,0)),"Yes"))</f>
        <v/>
      </c>
      <c r="W61" s="150">
        <f>IF($D61="","",IFERROR(INDEX(WBS_CBS!$K$5:$K$16,MATCH($D61,WBS_CBS!$A$5:$A$16,0)),""))</f>
        <v/>
      </c>
      <c r="X61" s="150">
        <f>IF($D61="","",IFERROR(INDEX(WBS_CBS!$F$5:$F$16,MATCH($D61,WBS_CBS!$A$5:$A$16,0)),""))</f>
        <v/>
      </c>
      <c r="Y61" s="149" t="n"/>
      <c r="Z61" s="149" t="n"/>
      <c r="AA61" s="150">
        <f>IF($D61="","",IFERROR(INDEX(WBS_CBS!$L$5:$L$16,MATCH($D61,WBS_CBS!$A$5:$A$16,0)),""))</f>
        <v/>
      </c>
      <c r="AB61" s="149" t="n"/>
    </row>
    <row r="62">
      <c r="A62" s="149" t="n"/>
      <c r="B62" s="149" t="n"/>
      <c r="C62" s="150">
        <f>IF($D62="","",IFERROR(INDEX(WBS_CBS!$E$5:$E$16,MATCH($D62,WBS_CBS!$A$5:$A$16,0)),""))</f>
        <v/>
      </c>
      <c r="D62" s="149" t="n"/>
      <c r="E62" s="150">
        <f>IF($D62="","",IFERROR(INDEX(WBS_CBS!$C$5:$C$16,MATCH($D62,WBS_CBS!$A$5:$A$16,0)),""))</f>
        <v/>
      </c>
      <c r="F62" s="150">
        <f>IF($D62="","",IFERROR(INDEX(WBS_CBS!$J$5:$J$16,MATCH($D62,WBS_CBS!$A$5:$A$16,0)),""))</f>
        <v/>
      </c>
      <c r="G62" s="149" t="n"/>
      <c r="H62" s="151" t="n"/>
      <c r="I62" s="149" t="n"/>
      <c r="J62" s="152" t="n"/>
      <c r="K62" s="149" t="n"/>
      <c r="L62" s="153">
        <f>IF($K62="","",IFERROR(INDEX(FX_Rates!$B$5:$B$14,MATCH($K62,FX_Rates!$A$5:$A$14,0)),""))</f>
        <v/>
      </c>
      <c r="M62" s="153">
        <f>IF(OR($H62="",$J62=""),"",$H62*$J62)</f>
        <v/>
      </c>
      <c r="N62" s="153">
        <f>IF(OR($M62="",$L62=""),"",$M62*$L62)</f>
        <v/>
      </c>
      <c r="O62" s="149" t="n"/>
      <c r="P62" s="154">
        <f>IF($O62="","",IFERROR(INDEX(Basis_of_Estimate!$C$5:$C$9,MATCH($O62,Basis_of_Estimate!$A$5:$A$9,0)),""))</f>
        <v/>
      </c>
      <c r="Q62" s="154">
        <f>IF($O62="","",IFERROR(INDEX(Basis_of_Estimate!$D$5:$D$9,MATCH($O62,Basis_of_Estimate!$A$5:$A$9,0)),""))</f>
        <v/>
      </c>
      <c r="R62" s="153">
        <f>IF($N62="","",$N62*(1+$P62))</f>
        <v/>
      </c>
      <c r="S62" s="153">
        <f>IF($N62="","",$N62)</f>
        <v/>
      </c>
      <c r="T62" s="153">
        <f>IF($N62="","",$N62*(1+$Q62))</f>
        <v/>
      </c>
      <c r="U62" s="150">
        <f>IF($D62="","",IFERROR(INDEX(WBS_CBS!$M$5:$M$16,MATCH($D62,WBS_CBS!$A$5:$A$16,0)),"Yes"))</f>
        <v/>
      </c>
      <c r="V62" s="150">
        <f>IF($D62="","",IFERROR(INDEX(WBS_CBS!$N$5:$N$16,MATCH($D62,WBS_CBS!$A$5:$A$16,0)),"Yes"))</f>
        <v/>
      </c>
      <c r="W62" s="150">
        <f>IF($D62="","",IFERROR(INDEX(WBS_CBS!$K$5:$K$16,MATCH($D62,WBS_CBS!$A$5:$A$16,0)),""))</f>
        <v/>
      </c>
      <c r="X62" s="150">
        <f>IF($D62="","",IFERROR(INDEX(WBS_CBS!$F$5:$F$16,MATCH($D62,WBS_CBS!$A$5:$A$16,0)),""))</f>
        <v/>
      </c>
      <c r="Y62" s="149" t="n"/>
      <c r="Z62" s="149" t="n"/>
      <c r="AA62" s="150">
        <f>IF($D62="","",IFERROR(INDEX(WBS_CBS!$L$5:$L$16,MATCH($D62,WBS_CBS!$A$5:$A$16,0)),""))</f>
        <v/>
      </c>
      <c r="AB62" s="149" t="n"/>
    </row>
    <row r="63">
      <c r="A63" s="149" t="n"/>
      <c r="B63" s="149" t="n"/>
      <c r="C63" s="150">
        <f>IF($D63="","",IFERROR(INDEX(WBS_CBS!$E$5:$E$16,MATCH($D63,WBS_CBS!$A$5:$A$16,0)),""))</f>
        <v/>
      </c>
      <c r="D63" s="149" t="n"/>
      <c r="E63" s="150">
        <f>IF($D63="","",IFERROR(INDEX(WBS_CBS!$C$5:$C$16,MATCH($D63,WBS_CBS!$A$5:$A$16,0)),""))</f>
        <v/>
      </c>
      <c r="F63" s="150">
        <f>IF($D63="","",IFERROR(INDEX(WBS_CBS!$J$5:$J$16,MATCH($D63,WBS_CBS!$A$5:$A$16,0)),""))</f>
        <v/>
      </c>
      <c r="G63" s="149" t="n"/>
      <c r="H63" s="151" t="n"/>
      <c r="I63" s="149" t="n"/>
      <c r="J63" s="152" t="n"/>
      <c r="K63" s="149" t="n"/>
      <c r="L63" s="153">
        <f>IF($K63="","",IFERROR(INDEX(FX_Rates!$B$5:$B$14,MATCH($K63,FX_Rates!$A$5:$A$14,0)),""))</f>
        <v/>
      </c>
      <c r="M63" s="153">
        <f>IF(OR($H63="",$J63=""),"",$H63*$J63)</f>
        <v/>
      </c>
      <c r="N63" s="153">
        <f>IF(OR($M63="",$L63=""),"",$M63*$L63)</f>
        <v/>
      </c>
      <c r="O63" s="149" t="n"/>
      <c r="P63" s="154">
        <f>IF($O63="","",IFERROR(INDEX(Basis_of_Estimate!$C$5:$C$9,MATCH($O63,Basis_of_Estimate!$A$5:$A$9,0)),""))</f>
        <v/>
      </c>
      <c r="Q63" s="154">
        <f>IF($O63="","",IFERROR(INDEX(Basis_of_Estimate!$D$5:$D$9,MATCH($O63,Basis_of_Estimate!$A$5:$A$9,0)),""))</f>
        <v/>
      </c>
      <c r="R63" s="153">
        <f>IF($N63="","",$N63*(1+$P63))</f>
        <v/>
      </c>
      <c r="S63" s="153">
        <f>IF($N63="","",$N63)</f>
        <v/>
      </c>
      <c r="T63" s="153">
        <f>IF($N63="","",$N63*(1+$Q63))</f>
        <v/>
      </c>
      <c r="U63" s="150">
        <f>IF($D63="","",IFERROR(INDEX(WBS_CBS!$M$5:$M$16,MATCH($D63,WBS_CBS!$A$5:$A$16,0)),"Yes"))</f>
        <v/>
      </c>
      <c r="V63" s="150">
        <f>IF($D63="","",IFERROR(INDEX(WBS_CBS!$N$5:$N$16,MATCH($D63,WBS_CBS!$A$5:$A$16,0)),"Yes"))</f>
        <v/>
      </c>
      <c r="W63" s="150">
        <f>IF($D63="","",IFERROR(INDEX(WBS_CBS!$K$5:$K$16,MATCH($D63,WBS_CBS!$A$5:$A$16,0)),""))</f>
        <v/>
      </c>
      <c r="X63" s="150">
        <f>IF($D63="","",IFERROR(INDEX(WBS_CBS!$F$5:$F$16,MATCH($D63,WBS_CBS!$A$5:$A$16,0)),""))</f>
        <v/>
      </c>
      <c r="Y63" s="149" t="n"/>
      <c r="Z63" s="149" t="n"/>
      <c r="AA63" s="150">
        <f>IF($D63="","",IFERROR(INDEX(WBS_CBS!$L$5:$L$16,MATCH($D63,WBS_CBS!$A$5:$A$16,0)),""))</f>
        <v/>
      </c>
      <c r="AB63" s="149" t="n"/>
    </row>
    <row r="64">
      <c r="A64" s="149" t="n"/>
      <c r="B64" s="149" t="n"/>
      <c r="C64" s="150">
        <f>IF($D64="","",IFERROR(INDEX(WBS_CBS!$E$5:$E$16,MATCH($D64,WBS_CBS!$A$5:$A$16,0)),""))</f>
        <v/>
      </c>
      <c r="D64" s="149" t="n"/>
      <c r="E64" s="150">
        <f>IF($D64="","",IFERROR(INDEX(WBS_CBS!$C$5:$C$16,MATCH($D64,WBS_CBS!$A$5:$A$16,0)),""))</f>
        <v/>
      </c>
      <c r="F64" s="150">
        <f>IF($D64="","",IFERROR(INDEX(WBS_CBS!$J$5:$J$16,MATCH($D64,WBS_CBS!$A$5:$A$16,0)),""))</f>
        <v/>
      </c>
      <c r="G64" s="149" t="n"/>
      <c r="H64" s="151" t="n"/>
      <c r="I64" s="149" t="n"/>
      <c r="J64" s="152" t="n"/>
      <c r="K64" s="149" t="n"/>
      <c r="L64" s="153">
        <f>IF($K64="","",IFERROR(INDEX(FX_Rates!$B$5:$B$14,MATCH($K64,FX_Rates!$A$5:$A$14,0)),""))</f>
        <v/>
      </c>
      <c r="M64" s="153">
        <f>IF(OR($H64="",$J64=""),"",$H64*$J64)</f>
        <v/>
      </c>
      <c r="N64" s="153">
        <f>IF(OR($M64="",$L64=""),"",$M64*$L64)</f>
        <v/>
      </c>
      <c r="O64" s="149" t="n"/>
      <c r="P64" s="154">
        <f>IF($O64="","",IFERROR(INDEX(Basis_of_Estimate!$C$5:$C$9,MATCH($O64,Basis_of_Estimate!$A$5:$A$9,0)),""))</f>
        <v/>
      </c>
      <c r="Q64" s="154">
        <f>IF($O64="","",IFERROR(INDEX(Basis_of_Estimate!$D$5:$D$9,MATCH($O64,Basis_of_Estimate!$A$5:$A$9,0)),""))</f>
        <v/>
      </c>
      <c r="R64" s="153">
        <f>IF($N64="","",$N64*(1+$P64))</f>
        <v/>
      </c>
      <c r="S64" s="153">
        <f>IF($N64="","",$N64)</f>
        <v/>
      </c>
      <c r="T64" s="153">
        <f>IF($N64="","",$N64*(1+$Q64))</f>
        <v/>
      </c>
      <c r="U64" s="150">
        <f>IF($D64="","",IFERROR(INDEX(WBS_CBS!$M$5:$M$16,MATCH($D64,WBS_CBS!$A$5:$A$16,0)),"Yes"))</f>
        <v/>
      </c>
      <c r="V64" s="150">
        <f>IF($D64="","",IFERROR(INDEX(WBS_CBS!$N$5:$N$16,MATCH($D64,WBS_CBS!$A$5:$A$16,0)),"Yes"))</f>
        <v/>
      </c>
      <c r="W64" s="150">
        <f>IF($D64="","",IFERROR(INDEX(WBS_CBS!$K$5:$K$16,MATCH($D64,WBS_CBS!$A$5:$A$16,0)),""))</f>
        <v/>
      </c>
      <c r="X64" s="150">
        <f>IF($D64="","",IFERROR(INDEX(WBS_CBS!$F$5:$F$16,MATCH($D64,WBS_CBS!$A$5:$A$16,0)),""))</f>
        <v/>
      </c>
      <c r="Y64" s="149" t="n"/>
      <c r="Z64" s="149" t="n"/>
      <c r="AA64" s="150">
        <f>IF($D64="","",IFERROR(INDEX(WBS_CBS!$L$5:$L$16,MATCH($D64,WBS_CBS!$A$5:$A$16,0)),""))</f>
        <v/>
      </c>
      <c r="AB64" s="149" t="n"/>
    </row>
    <row r="65">
      <c r="A65" s="149" t="n"/>
      <c r="B65" s="149" t="n"/>
      <c r="C65" s="150">
        <f>IF($D65="","",IFERROR(INDEX(WBS_CBS!$E$5:$E$16,MATCH($D65,WBS_CBS!$A$5:$A$16,0)),""))</f>
        <v/>
      </c>
      <c r="D65" s="149" t="n"/>
      <c r="E65" s="150">
        <f>IF($D65="","",IFERROR(INDEX(WBS_CBS!$C$5:$C$16,MATCH($D65,WBS_CBS!$A$5:$A$16,0)),""))</f>
        <v/>
      </c>
      <c r="F65" s="150">
        <f>IF($D65="","",IFERROR(INDEX(WBS_CBS!$J$5:$J$16,MATCH($D65,WBS_CBS!$A$5:$A$16,0)),""))</f>
        <v/>
      </c>
      <c r="G65" s="149" t="n"/>
      <c r="H65" s="151" t="n"/>
      <c r="I65" s="149" t="n"/>
      <c r="J65" s="152" t="n"/>
      <c r="K65" s="149" t="n"/>
      <c r="L65" s="153">
        <f>IF($K65="","",IFERROR(INDEX(FX_Rates!$B$5:$B$14,MATCH($K65,FX_Rates!$A$5:$A$14,0)),""))</f>
        <v/>
      </c>
      <c r="M65" s="153">
        <f>IF(OR($H65="",$J65=""),"",$H65*$J65)</f>
        <v/>
      </c>
      <c r="N65" s="153">
        <f>IF(OR($M65="",$L65=""),"",$M65*$L65)</f>
        <v/>
      </c>
      <c r="O65" s="149" t="n"/>
      <c r="P65" s="154">
        <f>IF($O65="","",IFERROR(INDEX(Basis_of_Estimate!$C$5:$C$9,MATCH($O65,Basis_of_Estimate!$A$5:$A$9,0)),""))</f>
        <v/>
      </c>
      <c r="Q65" s="154">
        <f>IF($O65="","",IFERROR(INDEX(Basis_of_Estimate!$D$5:$D$9,MATCH($O65,Basis_of_Estimate!$A$5:$A$9,0)),""))</f>
        <v/>
      </c>
      <c r="R65" s="153">
        <f>IF($N65="","",$N65*(1+$P65))</f>
        <v/>
      </c>
      <c r="S65" s="153">
        <f>IF($N65="","",$N65)</f>
        <v/>
      </c>
      <c r="T65" s="153">
        <f>IF($N65="","",$N65*(1+$Q65))</f>
        <v/>
      </c>
      <c r="U65" s="150">
        <f>IF($D65="","",IFERROR(INDEX(WBS_CBS!$M$5:$M$16,MATCH($D65,WBS_CBS!$A$5:$A$16,0)),"Yes"))</f>
        <v/>
      </c>
      <c r="V65" s="150">
        <f>IF($D65="","",IFERROR(INDEX(WBS_CBS!$N$5:$N$16,MATCH($D65,WBS_CBS!$A$5:$A$16,0)),"Yes"))</f>
        <v/>
      </c>
      <c r="W65" s="150">
        <f>IF($D65="","",IFERROR(INDEX(WBS_CBS!$K$5:$K$16,MATCH($D65,WBS_CBS!$A$5:$A$16,0)),""))</f>
        <v/>
      </c>
      <c r="X65" s="150">
        <f>IF($D65="","",IFERROR(INDEX(WBS_CBS!$F$5:$F$16,MATCH($D65,WBS_CBS!$A$5:$A$16,0)),""))</f>
        <v/>
      </c>
      <c r="Y65" s="149" t="n"/>
      <c r="Z65" s="149" t="n"/>
      <c r="AA65" s="150">
        <f>IF($D65="","",IFERROR(INDEX(WBS_CBS!$L$5:$L$16,MATCH($D65,WBS_CBS!$A$5:$A$16,0)),""))</f>
        <v/>
      </c>
      <c r="AB65" s="149" t="n"/>
    </row>
    <row r="66">
      <c r="A66" s="149" t="n"/>
      <c r="B66" s="149" t="n"/>
      <c r="C66" s="150">
        <f>IF($D66="","",IFERROR(INDEX(WBS_CBS!$E$5:$E$16,MATCH($D66,WBS_CBS!$A$5:$A$16,0)),""))</f>
        <v/>
      </c>
      <c r="D66" s="149" t="n"/>
      <c r="E66" s="150">
        <f>IF($D66="","",IFERROR(INDEX(WBS_CBS!$C$5:$C$16,MATCH($D66,WBS_CBS!$A$5:$A$16,0)),""))</f>
        <v/>
      </c>
      <c r="F66" s="150">
        <f>IF($D66="","",IFERROR(INDEX(WBS_CBS!$J$5:$J$16,MATCH($D66,WBS_CBS!$A$5:$A$16,0)),""))</f>
        <v/>
      </c>
      <c r="G66" s="149" t="n"/>
      <c r="H66" s="151" t="n"/>
      <c r="I66" s="149" t="n"/>
      <c r="J66" s="152" t="n"/>
      <c r="K66" s="149" t="n"/>
      <c r="L66" s="153">
        <f>IF($K66="","",IFERROR(INDEX(FX_Rates!$B$5:$B$14,MATCH($K66,FX_Rates!$A$5:$A$14,0)),""))</f>
        <v/>
      </c>
      <c r="M66" s="153">
        <f>IF(OR($H66="",$J66=""),"",$H66*$J66)</f>
        <v/>
      </c>
      <c r="N66" s="153">
        <f>IF(OR($M66="",$L66=""),"",$M66*$L66)</f>
        <v/>
      </c>
      <c r="O66" s="149" t="n"/>
      <c r="P66" s="154">
        <f>IF($O66="","",IFERROR(INDEX(Basis_of_Estimate!$C$5:$C$9,MATCH($O66,Basis_of_Estimate!$A$5:$A$9,0)),""))</f>
        <v/>
      </c>
      <c r="Q66" s="154">
        <f>IF($O66="","",IFERROR(INDEX(Basis_of_Estimate!$D$5:$D$9,MATCH($O66,Basis_of_Estimate!$A$5:$A$9,0)),""))</f>
        <v/>
      </c>
      <c r="R66" s="153">
        <f>IF($N66="","",$N66*(1+$P66))</f>
        <v/>
      </c>
      <c r="S66" s="153">
        <f>IF($N66="","",$N66)</f>
        <v/>
      </c>
      <c r="T66" s="153">
        <f>IF($N66="","",$N66*(1+$Q66))</f>
        <v/>
      </c>
      <c r="U66" s="150">
        <f>IF($D66="","",IFERROR(INDEX(WBS_CBS!$M$5:$M$16,MATCH($D66,WBS_CBS!$A$5:$A$16,0)),"Yes"))</f>
        <v/>
      </c>
      <c r="V66" s="150">
        <f>IF($D66="","",IFERROR(INDEX(WBS_CBS!$N$5:$N$16,MATCH($D66,WBS_CBS!$A$5:$A$16,0)),"Yes"))</f>
        <v/>
      </c>
      <c r="W66" s="150">
        <f>IF($D66="","",IFERROR(INDEX(WBS_CBS!$K$5:$K$16,MATCH($D66,WBS_CBS!$A$5:$A$16,0)),""))</f>
        <v/>
      </c>
      <c r="X66" s="150">
        <f>IF($D66="","",IFERROR(INDEX(WBS_CBS!$F$5:$F$16,MATCH($D66,WBS_CBS!$A$5:$A$16,0)),""))</f>
        <v/>
      </c>
      <c r="Y66" s="149" t="n"/>
      <c r="Z66" s="149" t="n"/>
      <c r="AA66" s="150">
        <f>IF($D66="","",IFERROR(INDEX(WBS_CBS!$L$5:$L$16,MATCH($D66,WBS_CBS!$A$5:$A$16,0)),""))</f>
        <v/>
      </c>
      <c r="AB66" s="149" t="n"/>
    </row>
    <row r="67">
      <c r="A67" s="149" t="n"/>
      <c r="B67" s="149" t="n"/>
      <c r="C67" s="150">
        <f>IF($D67="","",IFERROR(INDEX(WBS_CBS!$E$5:$E$16,MATCH($D67,WBS_CBS!$A$5:$A$16,0)),""))</f>
        <v/>
      </c>
      <c r="D67" s="149" t="n"/>
      <c r="E67" s="150">
        <f>IF($D67="","",IFERROR(INDEX(WBS_CBS!$C$5:$C$16,MATCH($D67,WBS_CBS!$A$5:$A$16,0)),""))</f>
        <v/>
      </c>
      <c r="F67" s="150">
        <f>IF($D67="","",IFERROR(INDEX(WBS_CBS!$J$5:$J$16,MATCH($D67,WBS_CBS!$A$5:$A$16,0)),""))</f>
        <v/>
      </c>
      <c r="G67" s="149" t="n"/>
      <c r="H67" s="151" t="n"/>
      <c r="I67" s="149" t="n"/>
      <c r="J67" s="152" t="n"/>
      <c r="K67" s="149" t="n"/>
      <c r="L67" s="153">
        <f>IF($K67="","",IFERROR(INDEX(FX_Rates!$B$5:$B$14,MATCH($K67,FX_Rates!$A$5:$A$14,0)),""))</f>
        <v/>
      </c>
      <c r="M67" s="153">
        <f>IF(OR($H67="",$J67=""),"",$H67*$J67)</f>
        <v/>
      </c>
      <c r="N67" s="153">
        <f>IF(OR($M67="",$L67=""),"",$M67*$L67)</f>
        <v/>
      </c>
      <c r="O67" s="149" t="n"/>
      <c r="P67" s="154">
        <f>IF($O67="","",IFERROR(INDEX(Basis_of_Estimate!$C$5:$C$9,MATCH($O67,Basis_of_Estimate!$A$5:$A$9,0)),""))</f>
        <v/>
      </c>
      <c r="Q67" s="154">
        <f>IF($O67="","",IFERROR(INDEX(Basis_of_Estimate!$D$5:$D$9,MATCH($O67,Basis_of_Estimate!$A$5:$A$9,0)),""))</f>
        <v/>
      </c>
      <c r="R67" s="153">
        <f>IF($N67="","",$N67*(1+$P67))</f>
        <v/>
      </c>
      <c r="S67" s="153">
        <f>IF($N67="","",$N67)</f>
        <v/>
      </c>
      <c r="T67" s="153">
        <f>IF($N67="","",$N67*(1+$Q67))</f>
        <v/>
      </c>
      <c r="U67" s="150">
        <f>IF($D67="","",IFERROR(INDEX(WBS_CBS!$M$5:$M$16,MATCH($D67,WBS_CBS!$A$5:$A$16,0)),"Yes"))</f>
        <v/>
      </c>
      <c r="V67" s="150">
        <f>IF($D67="","",IFERROR(INDEX(WBS_CBS!$N$5:$N$16,MATCH($D67,WBS_CBS!$A$5:$A$16,0)),"Yes"))</f>
        <v/>
      </c>
      <c r="W67" s="150">
        <f>IF($D67="","",IFERROR(INDEX(WBS_CBS!$K$5:$K$16,MATCH($D67,WBS_CBS!$A$5:$A$16,0)),""))</f>
        <v/>
      </c>
      <c r="X67" s="150">
        <f>IF($D67="","",IFERROR(INDEX(WBS_CBS!$F$5:$F$16,MATCH($D67,WBS_CBS!$A$5:$A$16,0)),""))</f>
        <v/>
      </c>
      <c r="Y67" s="149" t="n"/>
      <c r="Z67" s="149" t="n"/>
      <c r="AA67" s="150">
        <f>IF($D67="","",IFERROR(INDEX(WBS_CBS!$L$5:$L$16,MATCH($D67,WBS_CBS!$A$5:$A$16,0)),""))</f>
        <v/>
      </c>
      <c r="AB67" s="149" t="n"/>
    </row>
    <row r="68">
      <c r="A68" s="149" t="n"/>
      <c r="B68" s="149" t="n"/>
      <c r="C68" s="150">
        <f>IF($D68="","",IFERROR(INDEX(WBS_CBS!$E$5:$E$16,MATCH($D68,WBS_CBS!$A$5:$A$16,0)),""))</f>
        <v/>
      </c>
      <c r="D68" s="149" t="n"/>
      <c r="E68" s="150">
        <f>IF($D68="","",IFERROR(INDEX(WBS_CBS!$C$5:$C$16,MATCH($D68,WBS_CBS!$A$5:$A$16,0)),""))</f>
        <v/>
      </c>
      <c r="F68" s="150">
        <f>IF($D68="","",IFERROR(INDEX(WBS_CBS!$J$5:$J$16,MATCH($D68,WBS_CBS!$A$5:$A$16,0)),""))</f>
        <v/>
      </c>
      <c r="G68" s="149" t="n"/>
      <c r="H68" s="151" t="n"/>
      <c r="I68" s="149" t="n"/>
      <c r="J68" s="152" t="n"/>
      <c r="K68" s="149" t="n"/>
      <c r="L68" s="153">
        <f>IF($K68="","",IFERROR(INDEX(FX_Rates!$B$5:$B$14,MATCH($K68,FX_Rates!$A$5:$A$14,0)),""))</f>
        <v/>
      </c>
      <c r="M68" s="153">
        <f>IF(OR($H68="",$J68=""),"",$H68*$J68)</f>
        <v/>
      </c>
      <c r="N68" s="153">
        <f>IF(OR($M68="",$L68=""),"",$M68*$L68)</f>
        <v/>
      </c>
      <c r="O68" s="149" t="n"/>
      <c r="P68" s="154">
        <f>IF($O68="","",IFERROR(INDEX(Basis_of_Estimate!$C$5:$C$9,MATCH($O68,Basis_of_Estimate!$A$5:$A$9,0)),""))</f>
        <v/>
      </c>
      <c r="Q68" s="154">
        <f>IF($O68="","",IFERROR(INDEX(Basis_of_Estimate!$D$5:$D$9,MATCH($O68,Basis_of_Estimate!$A$5:$A$9,0)),""))</f>
        <v/>
      </c>
      <c r="R68" s="153">
        <f>IF($N68="","",$N68*(1+$P68))</f>
        <v/>
      </c>
      <c r="S68" s="153">
        <f>IF($N68="","",$N68)</f>
        <v/>
      </c>
      <c r="T68" s="153">
        <f>IF($N68="","",$N68*(1+$Q68))</f>
        <v/>
      </c>
      <c r="U68" s="150">
        <f>IF($D68="","",IFERROR(INDEX(WBS_CBS!$M$5:$M$16,MATCH($D68,WBS_CBS!$A$5:$A$16,0)),"Yes"))</f>
        <v/>
      </c>
      <c r="V68" s="150">
        <f>IF($D68="","",IFERROR(INDEX(WBS_CBS!$N$5:$N$16,MATCH($D68,WBS_CBS!$A$5:$A$16,0)),"Yes"))</f>
        <v/>
      </c>
      <c r="W68" s="150">
        <f>IF($D68="","",IFERROR(INDEX(WBS_CBS!$K$5:$K$16,MATCH($D68,WBS_CBS!$A$5:$A$16,0)),""))</f>
        <v/>
      </c>
      <c r="X68" s="150">
        <f>IF($D68="","",IFERROR(INDEX(WBS_CBS!$F$5:$F$16,MATCH($D68,WBS_CBS!$A$5:$A$16,0)),""))</f>
        <v/>
      </c>
      <c r="Y68" s="149" t="n"/>
      <c r="Z68" s="149" t="n"/>
      <c r="AA68" s="150">
        <f>IF($D68="","",IFERROR(INDEX(WBS_CBS!$L$5:$L$16,MATCH($D68,WBS_CBS!$A$5:$A$16,0)),""))</f>
        <v/>
      </c>
      <c r="AB68" s="149" t="n"/>
    </row>
    <row r="69">
      <c r="A69" s="149" t="n"/>
      <c r="B69" s="149" t="n"/>
      <c r="C69" s="150">
        <f>IF($D69="","",IFERROR(INDEX(WBS_CBS!$E$5:$E$16,MATCH($D69,WBS_CBS!$A$5:$A$16,0)),""))</f>
        <v/>
      </c>
      <c r="D69" s="149" t="n"/>
      <c r="E69" s="150">
        <f>IF($D69="","",IFERROR(INDEX(WBS_CBS!$C$5:$C$16,MATCH($D69,WBS_CBS!$A$5:$A$16,0)),""))</f>
        <v/>
      </c>
      <c r="F69" s="150">
        <f>IF($D69="","",IFERROR(INDEX(WBS_CBS!$J$5:$J$16,MATCH($D69,WBS_CBS!$A$5:$A$16,0)),""))</f>
        <v/>
      </c>
      <c r="G69" s="149" t="n"/>
      <c r="H69" s="151" t="n"/>
      <c r="I69" s="149" t="n"/>
      <c r="J69" s="152" t="n"/>
      <c r="K69" s="149" t="n"/>
      <c r="L69" s="153">
        <f>IF($K69="","",IFERROR(INDEX(FX_Rates!$B$5:$B$14,MATCH($K69,FX_Rates!$A$5:$A$14,0)),""))</f>
        <v/>
      </c>
      <c r="M69" s="153">
        <f>IF(OR($H69="",$J69=""),"",$H69*$J69)</f>
        <v/>
      </c>
      <c r="N69" s="153">
        <f>IF(OR($M69="",$L69=""),"",$M69*$L69)</f>
        <v/>
      </c>
      <c r="O69" s="149" t="n"/>
      <c r="P69" s="154">
        <f>IF($O69="","",IFERROR(INDEX(Basis_of_Estimate!$C$5:$C$9,MATCH($O69,Basis_of_Estimate!$A$5:$A$9,0)),""))</f>
        <v/>
      </c>
      <c r="Q69" s="154">
        <f>IF($O69="","",IFERROR(INDEX(Basis_of_Estimate!$D$5:$D$9,MATCH($O69,Basis_of_Estimate!$A$5:$A$9,0)),""))</f>
        <v/>
      </c>
      <c r="R69" s="153">
        <f>IF($N69="","",$N69*(1+$P69))</f>
        <v/>
      </c>
      <c r="S69" s="153">
        <f>IF($N69="","",$N69)</f>
        <v/>
      </c>
      <c r="T69" s="153">
        <f>IF($N69="","",$N69*(1+$Q69))</f>
        <v/>
      </c>
      <c r="U69" s="150">
        <f>IF($D69="","",IFERROR(INDEX(WBS_CBS!$M$5:$M$16,MATCH($D69,WBS_CBS!$A$5:$A$16,0)),"Yes"))</f>
        <v/>
      </c>
      <c r="V69" s="150">
        <f>IF($D69="","",IFERROR(INDEX(WBS_CBS!$N$5:$N$16,MATCH($D69,WBS_CBS!$A$5:$A$16,0)),"Yes"))</f>
        <v/>
      </c>
      <c r="W69" s="150">
        <f>IF($D69="","",IFERROR(INDEX(WBS_CBS!$K$5:$K$16,MATCH($D69,WBS_CBS!$A$5:$A$16,0)),""))</f>
        <v/>
      </c>
      <c r="X69" s="150">
        <f>IF($D69="","",IFERROR(INDEX(WBS_CBS!$F$5:$F$16,MATCH($D69,WBS_CBS!$A$5:$A$16,0)),""))</f>
        <v/>
      </c>
      <c r="Y69" s="149" t="n"/>
      <c r="Z69" s="149" t="n"/>
      <c r="AA69" s="150">
        <f>IF($D69="","",IFERROR(INDEX(WBS_CBS!$L$5:$L$16,MATCH($D69,WBS_CBS!$A$5:$A$16,0)),""))</f>
        <v/>
      </c>
      <c r="AB69" s="149" t="n"/>
    </row>
    <row r="70">
      <c r="A70" s="149" t="n"/>
      <c r="B70" s="149" t="n"/>
      <c r="C70" s="150">
        <f>IF($D70="","",IFERROR(INDEX(WBS_CBS!$E$5:$E$16,MATCH($D70,WBS_CBS!$A$5:$A$16,0)),""))</f>
        <v/>
      </c>
      <c r="D70" s="149" t="n"/>
      <c r="E70" s="150">
        <f>IF($D70="","",IFERROR(INDEX(WBS_CBS!$C$5:$C$16,MATCH($D70,WBS_CBS!$A$5:$A$16,0)),""))</f>
        <v/>
      </c>
      <c r="F70" s="150">
        <f>IF($D70="","",IFERROR(INDEX(WBS_CBS!$J$5:$J$16,MATCH($D70,WBS_CBS!$A$5:$A$16,0)),""))</f>
        <v/>
      </c>
      <c r="G70" s="149" t="n"/>
      <c r="H70" s="151" t="n"/>
      <c r="I70" s="149" t="n"/>
      <c r="J70" s="152" t="n"/>
      <c r="K70" s="149" t="n"/>
      <c r="L70" s="153">
        <f>IF($K70="","",IFERROR(INDEX(FX_Rates!$B$5:$B$14,MATCH($K70,FX_Rates!$A$5:$A$14,0)),""))</f>
        <v/>
      </c>
      <c r="M70" s="153">
        <f>IF(OR($H70="",$J70=""),"",$H70*$J70)</f>
        <v/>
      </c>
      <c r="N70" s="153">
        <f>IF(OR($M70="",$L70=""),"",$M70*$L70)</f>
        <v/>
      </c>
      <c r="O70" s="149" t="n"/>
      <c r="P70" s="154">
        <f>IF($O70="","",IFERROR(INDEX(Basis_of_Estimate!$C$5:$C$9,MATCH($O70,Basis_of_Estimate!$A$5:$A$9,0)),""))</f>
        <v/>
      </c>
      <c r="Q70" s="154">
        <f>IF($O70="","",IFERROR(INDEX(Basis_of_Estimate!$D$5:$D$9,MATCH($O70,Basis_of_Estimate!$A$5:$A$9,0)),""))</f>
        <v/>
      </c>
      <c r="R70" s="153">
        <f>IF($N70="","",$N70*(1+$P70))</f>
        <v/>
      </c>
      <c r="S70" s="153">
        <f>IF($N70="","",$N70)</f>
        <v/>
      </c>
      <c r="T70" s="153">
        <f>IF($N70="","",$N70*(1+$Q70))</f>
        <v/>
      </c>
      <c r="U70" s="150">
        <f>IF($D70="","",IFERROR(INDEX(WBS_CBS!$M$5:$M$16,MATCH($D70,WBS_CBS!$A$5:$A$16,0)),"Yes"))</f>
        <v/>
      </c>
      <c r="V70" s="150">
        <f>IF($D70="","",IFERROR(INDEX(WBS_CBS!$N$5:$N$16,MATCH($D70,WBS_CBS!$A$5:$A$16,0)),"Yes"))</f>
        <v/>
      </c>
      <c r="W70" s="150">
        <f>IF($D70="","",IFERROR(INDEX(WBS_CBS!$K$5:$K$16,MATCH($D70,WBS_CBS!$A$5:$A$16,0)),""))</f>
        <v/>
      </c>
      <c r="X70" s="150">
        <f>IF($D70="","",IFERROR(INDEX(WBS_CBS!$F$5:$F$16,MATCH($D70,WBS_CBS!$A$5:$A$16,0)),""))</f>
        <v/>
      </c>
      <c r="Y70" s="149" t="n"/>
      <c r="Z70" s="149" t="n"/>
      <c r="AA70" s="150">
        <f>IF($D70="","",IFERROR(INDEX(WBS_CBS!$L$5:$L$16,MATCH($D70,WBS_CBS!$A$5:$A$16,0)),""))</f>
        <v/>
      </c>
      <c r="AB70" s="149" t="n"/>
    </row>
    <row r="71">
      <c r="A71" s="149" t="n"/>
      <c r="B71" s="149" t="n"/>
      <c r="C71" s="150">
        <f>IF($D71="","",IFERROR(INDEX(WBS_CBS!$E$5:$E$16,MATCH($D71,WBS_CBS!$A$5:$A$16,0)),""))</f>
        <v/>
      </c>
      <c r="D71" s="149" t="n"/>
      <c r="E71" s="150">
        <f>IF($D71="","",IFERROR(INDEX(WBS_CBS!$C$5:$C$16,MATCH($D71,WBS_CBS!$A$5:$A$16,0)),""))</f>
        <v/>
      </c>
      <c r="F71" s="150">
        <f>IF($D71="","",IFERROR(INDEX(WBS_CBS!$J$5:$J$16,MATCH($D71,WBS_CBS!$A$5:$A$16,0)),""))</f>
        <v/>
      </c>
      <c r="G71" s="149" t="n"/>
      <c r="H71" s="151" t="n"/>
      <c r="I71" s="149" t="n"/>
      <c r="J71" s="152" t="n"/>
      <c r="K71" s="149" t="n"/>
      <c r="L71" s="153">
        <f>IF($K71="","",IFERROR(INDEX(FX_Rates!$B$5:$B$14,MATCH($K71,FX_Rates!$A$5:$A$14,0)),""))</f>
        <v/>
      </c>
      <c r="M71" s="153">
        <f>IF(OR($H71="",$J71=""),"",$H71*$J71)</f>
        <v/>
      </c>
      <c r="N71" s="153">
        <f>IF(OR($M71="",$L71=""),"",$M71*$L71)</f>
        <v/>
      </c>
      <c r="O71" s="149" t="n"/>
      <c r="P71" s="154">
        <f>IF($O71="","",IFERROR(INDEX(Basis_of_Estimate!$C$5:$C$9,MATCH($O71,Basis_of_Estimate!$A$5:$A$9,0)),""))</f>
        <v/>
      </c>
      <c r="Q71" s="154">
        <f>IF($O71="","",IFERROR(INDEX(Basis_of_Estimate!$D$5:$D$9,MATCH($O71,Basis_of_Estimate!$A$5:$A$9,0)),""))</f>
        <v/>
      </c>
      <c r="R71" s="153">
        <f>IF($N71="","",$N71*(1+$P71))</f>
        <v/>
      </c>
      <c r="S71" s="153">
        <f>IF($N71="","",$N71)</f>
        <v/>
      </c>
      <c r="T71" s="153">
        <f>IF($N71="","",$N71*(1+$Q71))</f>
        <v/>
      </c>
      <c r="U71" s="150">
        <f>IF($D71="","",IFERROR(INDEX(WBS_CBS!$M$5:$M$16,MATCH($D71,WBS_CBS!$A$5:$A$16,0)),"Yes"))</f>
        <v/>
      </c>
      <c r="V71" s="150">
        <f>IF($D71="","",IFERROR(INDEX(WBS_CBS!$N$5:$N$16,MATCH($D71,WBS_CBS!$A$5:$A$16,0)),"Yes"))</f>
        <v/>
      </c>
      <c r="W71" s="150">
        <f>IF($D71="","",IFERROR(INDEX(WBS_CBS!$K$5:$K$16,MATCH($D71,WBS_CBS!$A$5:$A$16,0)),""))</f>
        <v/>
      </c>
      <c r="X71" s="150">
        <f>IF($D71="","",IFERROR(INDEX(WBS_CBS!$F$5:$F$16,MATCH($D71,WBS_CBS!$A$5:$A$16,0)),""))</f>
        <v/>
      </c>
      <c r="Y71" s="149" t="n"/>
      <c r="Z71" s="149" t="n"/>
      <c r="AA71" s="150">
        <f>IF($D71="","",IFERROR(INDEX(WBS_CBS!$L$5:$L$16,MATCH($D71,WBS_CBS!$A$5:$A$16,0)),""))</f>
        <v/>
      </c>
      <c r="AB71" s="149" t="n"/>
    </row>
    <row r="72">
      <c r="A72" s="149" t="n"/>
      <c r="B72" s="149" t="n"/>
      <c r="C72" s="150">
        <f>IF($D72="","",IFERROR(INDEX(WBS_CBS!$E$5:$E$16,MATCH($D72,WBS_CBS!$A$5:$A$16,0)),""))</f>
        <v/>
      </c>
      <c r="D72" s="149" t="n"/>
      <c r="E72" s="150">
        <f>IF($D72="","",IFERROR(INDEX(WBS_CBS!$C$5:$C$16,MATCH($D72,WBS_CBS!$A$5:$A$16,0)),""))</f>
        <v/>
      </c>
      <c r="F72" s="150">
        <f>IF($D72="","",IFERROR(INDEX(WBS_CBS!$J$5:$J$16,MATCH($D72,WBS_CBS!$A$5:$A$16,0)),""))</f>
        <v/>
      </c>
      <c r="G72" s="149" t="n"/>
      <c r="H72" s="151" t="n"/>
      <c r="I72" s="149" t="n"/>
      <c r="J72" s="152" t="n"/>
      <c r="K72" s="149" t="n"/>
      <c r="L72" s="153">
        <f>IF($K72="","",IFERROR(INDEX(FX_Rates!$B$5:$B$14,MATCH($K72,FX_Rates!$A$5:$A$14,0)),""))</f>
        <v/>
      </c>
      <c r="M72" s="153">
        <f>IF(OR($H72="",$J72=""),"",$H72*$J72)</f>
        <v/>
      </c>
      <c r="N72" s="153">
        <f>IF(OR($M72="",$L72=""),"",$M72*$L72)</f>
        <v/>
      </c>
      <c r="O72" s="149" t="n"/>
      <c r="P72" s="154">
        <f>IF($O72="","",IFERROR(INDEX(Basis_of_Estimate!$C$5:$C$9,MATCH($O72,Basis_of_Estimate!$A$5:$A$9,0)),""))</f>
        <v/>
      </c>
      <c r="Q72" s="154">
        <f>IF($O72="","",IFERROR(INDEX(Basis_of_Estimate!$D$5:$D$9,MATCH($O72,Basis_of_Estimate!$A$5:$A$9,0)),""))</f>
        <v/>
      </c>
      <c r="R72" s="153">
        <f>IF($N72="","",$N72*(1+$P72))</f>
        <v/>
      </c>
      <c r="S72" s="153">
        <f>IF($N72="","",$N72)</f>
        <v/>
      </c>
      <c r="T72" s="153">
        <f>IF($N72="","",$N72*(1+$Q72))</f>
        <v/>
      </c>
      <c r="U72" s="150">
        <f>IF($D72="","",IFERROR(INDEX(WBS_CBS!$M$5:$M$16,MATCH($D72,WBS_CBS!$A$5:$A$16,0)),"Yes"))</f>
        <v/>
      </c>
      <c r="V72" s="150">
        <f>IF($D72="","",IFERROR(INDEX(WBS_CBS!$N$5:$N$16,MATCH($D72,WBS_CBS!$A$5:$A$16,0)),"Yes"))</f>
        <v/>
      </c>
      <c r="W72" s="150">
        <f>IF($D72="","",IFERROR(INDEX(WBS_CBS!$K$5:$K$16,MATCH($D72,WBS_CBS!$A$5:$A$16,0)),""))</f>
        <v/>
      </c>
      <c r="X72" s="150">
        <f>IF($D72="","",IFERROR(INDEX(WBS_CBS!$F$5:$F$16,MATCH($D72,WBS_CBS!$A$5:$A$16,0)),""))</f>
        <v/>
      </c>
      <c r="Y72" s="149" t="n"/>
      <c r="Z72" s="149" t="n"/>
      <c r="AA72" s="150">
        <f>IF($D72="","",IFERROR(INDEX(WBS_CBS!$L$5:$L$16,MATCH($D72,WBS_CBS!$A$5:$A$16,0)),""))</f>
        <v/>
      </c>
      <c r="AB72" s="149" t="n"/>
    </row>
    <row r="73">
      <c r="A73" s="149" t="n"/>
      <c r="B73" s="149" t="n"/>
      <c r="C73" s="150">
        <f>IF($D73="","",IFERROR(INDEX(WBS_CBS!$E$5:$E$16,MATCH($D73,WBS_CBS!$A$5:$A$16,0)),""))</f>
        <v/>
      </c>
      <c r="D73" s="149" t="n"/>
      <c r="E73" s="150">
        <f>IF($D73="","",IFERROR(INDEX(WBS_CBS!$C$5:$C$16,MATCH($D73,WBS_CBS!$A$5:$A$16,0)),""))</f>
        <v/>
      </c>
      <c r="F73" s="150">
        <f>IF($D73="","",IFERROR(INDEX(WBS_CBS!$J$5:$J$16,MATCH($D73,WBS_CBS!$A$5:$A$16,0)),""))</f>
        <v/>
      </c>
      <c r="G73" s="149" t="n"/>
      <c r="H73" s="151" t="n"/>
      <c r="I73" s="149" t="n"/>
      <c r="J73" s="152" t="n"/>
      <c r="K73" s="149" t="n"/>
      <c r="L73" s="153">
        <f>IF($K73="","",IFERROR(INDEX(FX_Rates!$B$5:$B$14,MATCH($K73,FX_Rates!$A$5:$A$14,0)),""))</f>
        <v/>
      </c>
      <c r="M73" s="153">
        <f>IF(OR($H73="",$J73=""),"",$H73*$J73)</f>
        <v/>
      </c>
      <c r="N73" s="153">
        <f>IF(OR($M73="",$L73=""),"",$M73*$L73)</f>
        <v/>
      </c>
      <c r="O73" s="149" t="n"/>
      <c r="P73" s="154">
        <f>IF($O73="","",IFERROR(INDEX(Basis_of_Estimate!$C$5:$C$9,MATCH($O73,Basis_of_Estimate!$A$5:$A$9,0)),""))</f>
        <v/>
      </c>
      <c r="Q73" s="154">
        <f>IF($O73="","",IFERROR(INDEX(Basis_of_Estimate!$D$5:$D$9,MATCH($O73,Basis_of_Estimate!$A$5:$A$9,0)),""))</f>
        <v/>
      </c>
      <c r="R73" s="153">
        <f>IF($N73="","",$N73*(1+$P73))</f>
        <v/>
      </c>
      <c r="S73" s="153">
        <f>IF($N73="","",$N73)</f>
        <v/>
      </c>
      <c r="T73" s="153">
        <f>IF($N73="","",$N73*(1+$Q73))</f>
        <v/>
      </c>
      <c r="U73" s="150">
        <f>IF($D73="","",IFERROR(INDEX(WBS_CBS!$M$5:$M$16,MATCH($D73,WBS_CBS!$A$5:$A$16,0)),"Yes"))</f>
        <v/>
      </c>
      <c r="V73" s="150">
        <f>IF($D73="","",IFERROR(INDEX(WBS_CBS!$N$5:$N$16,MATCH($D73,WBS_CBS!$A$5:$A$16,0)),"Yes"))</f>
        <v/>
      </c>
      <c r="W73" s="150">
        <f>IF($D73="","",IFERROR(INDEX(WBS_CBS!$K$5:$K$16,MATCH($D73,WBS_CBS!$A$5:$A$16,0)),""))</f>
        <v/>
      </c>
      <c r="X73" s="150">
        <f>IF($D73="","",IFERROR(INDEX(WBS_CBS!$F$5:$F$16,MATCH($D73,WBS_CBS!$A$5:$A$16,0)),""))</f>
        <v/>
      </c>
      <c r="Y73" s="149" t="n"/>
      <c r="Z73" s="149" t="n"/>
      <c r="AA73" s="150">
        <f>IF($D73="","",IFERROR(INDEX(WBS_CBS!$L$5:$L$16,MATCH($D73,WBS_CBS!$A$5:$A$16,0)),""))</f>
        <v/>
      </c>
      <c r="AB73" s="149" t="n"/>
    </row>
    <row r="74">
      <c r="A74" s="149" t="n"/>
      <c r="B74" s="149" t="n"/>
      <c r="C74" s="150">
        <f>IF($D74="","",IFERROR(INDEX(WBS_CBS!$E$5:$E$16,MATCH($D74,WBS_CBS!$A$5:$A$16,0)),""))</f>
        <v/>
      </c>
      <c r="D74" s="149" t="n"/>
      <c r="E74" s="150">
        <f>IF($D74="","",IFERROR(INDEX(WBS_CBS!$C$5:$C$16,MATCH($D74,WBS_CBS!$A$5:$A$16,0)),""))</f>
        <v/>
      </c>
      <c r="F74" s="150">
        <f>IF($D74="","",IFERROR(INDEX(WBS_CBS!$J$5:$J$16,MATCH($D74,WBS_CBS!$A$5:$A$16,0)),""))</f>
        <v/>
      </c>
      <c r="G74" s="149" t="n"/>
      <c r="H74" s="151" t="n"/>
      <c r="I74" s="149" t="n"/>
      <c r="J74" s="152" t="n"/>
      <c r="K74" s="149" t="n"/>
      <c r="L74" s="153">
        <f>IF($K74="","",IFERROR(INDEX(FX_Rates!$B$5:$B$14,MATCH($K74,FX_Rates!$A$5:$A$14,0)),""))</f>
        <v/>
      </c>
      <c r="M74" s="153">
        <f>IF(OR($H74="",$J74=""),"",$H74*$J74)</f>
        <v/>
      </c>
      <c r="N74" s="153">
        <f>IF(OR($M74="",$L74=""),"",$M74*$L74)</f>
        <v/>
      </c>
      <c r="O74" s="149" t="n"/>
      <c r="P74" s="154">
        <f>IF($O74="","",IFERROR(INDEX(Basis_of_Estimate!$C$5:$C$9,MATCH($O74,Basis_of_Estimate!$A$5:$A$9,0)),""))</f>
        <v/>
      </c>
      <c r="Q74" s="154">
        <f>IF($O74="","",IFERROR(INDEX(Basis_of_Estimate!$D$5:$D$9,MATCH($O74,Basis_of_Estimate!$A$5:$A$9,0)),""))</f>
        <v/>
      </c>
      <c r="R74" s="153">
        <f>IF($N74="","",$N74*(1+$P74))</f>
        <v/>
      </c>
      <c r="S74" s="153">
        <f>IF($N74="","",$N74)</f>
        <v/>
      </c>
      <c r="T74" s="153">
        <f>IF($N74="","",$N74*(1+$Q74))</f>
        <v/>
      </c>
      <c r="U74" s="150">
        <f>IF($D74="","",IFERROR(INDEX(WBS_CBS!$M$5:$M$16,MATCH($D74,WBS_CBS!$A$5:$A$16,0)),"Yes"))</f>
        <v/>
      </c>
      <c r="V74" s="150">
        <f>IF($D74="","",IFERROR(INDEX(WBS_CBS!$N$5:$N$16,MATCH($D74,WBS_CBS!$A$5:$A$16,0)),"Yes"))</f>
        <v/>
      </c>
      <c r="W74" s="150">
        <f>IF($D74="","",IFERROR(INDEX(WBS_CBS!$K$5:$K$16,MATCH($D74,WBS_CBS!$A$5:$A$16,0)),""))</f>
        <v/>
      </c>
      <c r="X74" s="150">
        <f>IF($D74="","",IFERROR(INDEX(WBS_CBS!$F$5:$F$16,MATCH($D74,WBS_CBS!$A$5:$A$16,0)),""))</f>
        <v/>
      </c>
      <c r="Y74" s="149" t="n"/>
      <c r="Z74" s="149" t="n"/>
      <c r="AA74" s="150">
        <f>IF($D74="","",IFERROR(INDEX(WBS_CBS!$L$5:$L$16,MATCH($D74,WBS_CBS!$A$5:$A$16,0)),""))</f>
        <v/>
      </c>
      <c r="AB74" s="149" t="n"/>
    </row>
    <row r="75">
      <c r="A75" s="149" t="n"/>
      <c r="B75" s="149" t="n"/>
      <c r="C75" s="150">
        <f>IF($D75="","",IFERROR(INDEX(WBS_CBS!$E$5:$E$16,MATCH($D75,WBS_CBS!$A$5:$A$16,0)),""))</f>
        <v/>
      </c>
      <c r="D75" s="149" t="n"/>
      <c r="E75" s="150">
        <f>IF($D75="","",IFERROR(INDEX(WBS_CBS!$C$5:$C$16,MATCH($D75,WBS_CBS!$A$5:$A$16,0)),""))</f>
        <v/>
      </c>
      <c r="F75" s="150">
        <f>IF($D75="","",IFERROR(INDEX(WBS_CBS!$J$5:$J$16,MATCH($D75,WBS_CBS!$A$5:$A$16,0)),""))</f>
        <v/>
      </c>
      <c r="G75" s="149" t="n"/>
      <c r="H75" s="151" t="n"/>
      <c r="I75" s="149" t="n"/>
      <c r="J75" s="152" t="n"/>
      <c r="K75" s="149" t="n"/>
      <c r="L75" s="153">
        <f>IF($K75="","",IFERROR(INDEX(FX_Rates!$B$5:$B$14,MATCH($K75,FX_Rates!$A$5:$A$14,0)),""))</f>
        <v/>
      </c>
      <c r="M75" s="153">
        <f>IF(OR($H75="",$J75=""),"",$H75*$J75)</f>
        <v/>
      </c>
      <c r="N75" s="153">
        <f>IF(OR($M75="",$L75=""),"",$M75*$L75)</f>
        <v/>
      </c>
      <c r="O75" s="149" t="n"/>
      <c r="P75" s="154">
        <f>IF($O75="","",IFERROR(INDEX(Basis_of_Estimate!$C$5:$C$9,MATCH($O75,Basis_of_Estimate!$A$5:$A$9,0)),""))</f>
        <v/>
      </c>
      <c r="Q75" s="154">
        <f>IF($O75="","",IFERROR(INDEX(Basis_of_Estimate!$D$5:$D$9,MATCH($O75,Basis_of_Estimate!$A$5:$A$9,0)),""))</f>
        <v/>
      </c>
      <c r="R75" s="153">
        <f>IF($N75="","",$N75*(1+$P75))</f>
        <v/>
      </c>
      <c r="S75" s="153">
        <f>IF($N75="","",$N75)</f>
        <v/>
      </c>
      <c r="T75" s="153">
        <f>IF($N75="","",$N75*(1+$Q75))</f>
        <v/>
      </c>
      <c r="U75" s="150">
        <f>IF($D75="","",IFERROR(INDEX(WBS_CBS!$M$5:$M$16,MATCH($D75,WBS_CBS!$A$5:$A$16,0)),"Yes"))</f>
        <v/>
      </c>
      <c r="V75" s="150">
        <f>IF($D75="","",IFERROR(INDEX(WBS_CBS!$N$5:$N$16,MATCH($D75,WBS_CBS!$A$5:$A$16,0)),"Yes"))</f>
        <v/>
      </c>
      <c r="W75" s="150">
        <f>IF($D75="","",IFERROR(INDEX(WBS_CBS!$K$5:$K$16,MATCH($D75,WBS_CBS!$A$5:$A$16,0)),""))</f>
        <v/>
      </c>
      <c r="X75" s="150">
        <f>IF($D75="","",IFERROR(INDEX(WBS_CBS!$F$5:$F$16,MATCH($D75,WBS_CBS!$A$5:$A$16,0)),""))</f>
        <v/>
      </c>
      <c r="Y75" s="149" t="n"/>
      <c r="Z75" s="149" t="n"/>
      <c r="AA75" s="150">
        <f>IF($D75="","",IFERROR(INDEX(WBS_CBS!$L$5:$L$16,MATCH($D75,WBS_CBS!$A$5:$A$16,0)),""))</f>
        <v/>
      </c>
      <c r="AB75" s="149" t="n"/>
    </row>
    <row r="76">
      <c r="A76" s="149" t="n"/>
      <c r="B76" s="149" t="n"/>
      <c r="C76" s="150">
        <f>IF($D76="","",IFERROR(INDEX(WBS_CBS!$E$5:$E$16,MATCH($D76,WBS_CBS!$A$5:$A$16,0)),""))</f>
        <v/>
      </c>
      <c r="D76" s="149" t="n"/>
      <c r="E76" s="150">
        <f>IF($D76="","",IFERROR(INDEX(WBS_CBS!$C$5:$C$16,MATCH($D76,WBS_CBS!$A$5:$A$16,0)),""))</f>
        <v/>
      </c>
      <c r="F76" s="150">
        <f>IF($D76="","",IFERROR(INDEX(WBS_CBS!$J$5:$J$16,MATCH($D76,WBS_CBS!$A$5:$A$16,0)),""))</f>
        <v/>
      </c>
      <c r="G76" s="149" t="n"/>
      <c r="H76" s="151" t="n"/>
      <c r="I76" s="149" t="n"/>
      <c r="J76" s="152" t="n"/>
      <c r="K76" s="149" t="n"/>
      <c r="L76" s="153">
        <f>IF($K76="","",IFERROR(INDEX(FX_Rates!$B$5:$B$14,MATCH($K76,FX_Rates!$A$5:$A$14,0)),""))</f>
        <v/>
      </c>
      <c r="M76" s="153">
        <f>IF(OR($H76="",$J76=""),"",$H76*$J76)</f>
        <v/>
      </c>
      <c r="N76" s="153">
        <f>IF(OR($M76="",$L76=""),"",$M76*$L76)</f>
        <v/>
      </c>
      <c r="O76" s="149" t="n"/>
      <c r="P76" s="154">
        <f>IF($O76="","",IFERROR(INDEX(Basis_of_Estimate!$C$5:$C$9,MATCH($O76,Basis_of_Estimate!$A$5:$A$9,0)),""))</f>
        <v/>
      </c>
      <c r="Q76" s="154">
        <f>IF($O76="","",IFERROR(INDEX(Basis_of_Estimate!$D$5:$D$9,MATCH($O76,Basis_of_Estimate!$A$5:$A$9,0)),""))</f>
        <v/>
      </c>
      <c r="R76" s="153">
        <f>IF($N76="","",$N76*(1+$P76))</f>
        <v/>
      </c>
      <c r="S76" s="153">
        <f>IF($N76="","",$N76)</f>
        <v/>
      </c>
      <c r="T76" s="153">
        <f>IF($N76="","",$N76*(1+$Q76))</f>
        <v/>
      </c>
      <c r="U76" s="150">
        <f>IF($D76="","",IFERROR(INDEX(WBS_CBS!$M$5:$M$16,MATCH($D76,WBS_CBS!$A$5:$A$16,0)),"Yes"))</f>
        <v/>
      </c>
      <c r="V76" s="150">
        <f>IF($D76="","",IFERROR(INDEX(WBS_CBS!$N$5:$N$16,MATCH($D76,WBS_CBS!$A$5:$A$16,0)),"Yes"))</f>
        <v/>
      </c>
      <c r="W76" s="150">
        <f>IF($D76="","",IFERROR(INDEX(WBS_CBS!$K$5:$K$16,MATCH($D76,WBS_CBS!$A$5:$A$16,0)),""))</f>
        <v/>
      </c>
      <c r="X76" s="150">
        <f>IF($D76="","",IFERROR(INDEX(WBS_CBS!$F$5:$F$16,MATCH($D76,WBS_CBS!$A$5:$A$16,0)),""))</f>
        <v/>
      </c>
      <c r="Y76" s="149" t="n"/>
      <c r="Z76" s="149" t="n"/>
      <c r="AA76" s="150">
        <f>IF($D76="","",IFERROR(INDEX(WBS_CBS!$L$5:$L$16,MATCH($D76,WBS_CBS!$A$5:$A$16,0)),""))</f>
        <v/>
      </c>
      <c r="AB76" s="149" t="n"/>
    </row>
    <row r="77">
      <c r="A77" s="149" t="n"/>
      <c r="B77" s="149" t="n"/>
      <c r="C77" s="150">
        <f>IF($D77="","",IFERROR(INDEX(WBS_CBS!$E$5:$E$16,MATCH($D77,WBS_CBS!$A$5:$A$16,0)),""))</f>
        <v/>
      </c>
      <c r="D77" s="149" t="n"/>
      <c r="E77" s="150">
        <f>IF($D77="","",IFERROR(INDEX(WBS_CBS!$C$5:$C$16,MATCH($D77,WBS_CBS!$A$5:$A$16,0)),""))</f>
        <v/>
      </c>
      <c r="F77" s="150">
        <f>IF($D77="","",IFERROR(INDEX(WBS_CBS!$J$5:$J$16,MATCH($D77,WBS_CBS!$A$5:$A$16,0)),""))</f>
        <v/>
      </c>
      <c r="G77" s="149" t="n"/>
      <c r="H77" s="151" t="n"/>
      <c r="I77" s="149" t="n"/>
      <c r="J77" s="152" t="n"/>
      <c r="K77" s="149" t="n"/>
      <c r="L77" s="153">
        <f>IF($K77="","",IFERROR(INDEX(FX_Rates!$B$5:$B$14,MATCH($K77,FX_Rates!$A$5:$A$14,0)),""))</f>
        <v/>
      </c>
      <c r="M77" s="153">
        <f>IF(OR($H77="",$J77=""),"",$H77*$J77)</f>
        <v/>
      </c>
      <c r="N77" s="153">
        <f>IF(OR($M77="",$L77=""),"",$M77*$L77)</f>
        <v/>
      </c>
      <c r="O77" s="149" t="n"/>
      <c r="P77" s="154">
        <f>IF($O77="","",IFERROR(INDEX(Basis_of_Estimate!$C$5:$C$9,MATCH($O77,Basis_of_Estimate!$A$5:$A$9,0)),""))</f>
        <v/>
      </c>
      <c r="Q77" s="154">
        <f>IF($O77="","",IFERROR(INDEX(Basis_of_Estimate!$D$5:$D$9,MATCH($O77,Basis_of_Estimate!$A$5:$A$9,0)),""))</f>
        <v/>
      </c>
      <c r="R77" s="153">
        <f>IF($N77="","",$N77*(1+$P77))</f>
        <v/>
      </c>
      <c r="S77" s="153">
        <f>IF($N77="","",$N77)</f>
        <v/>
      </c>
      <c r="T77" s="153">
        <f>IF($N77="","",$N77*(1+$Q77))</f>
        <v/>
      </c>
      <c r="U77" s="150">
        <f>IF($D77="","",IFERROR(INDEX(WBS_CBS!$M$5:$M$16,MATCH($D77,WBS_CBS!$A$5:$A$16,0)),"Yes"))</f>
        <v/>
      </c>
      <c r="V77" s="150">
        <f>IF($D77="","",IFERROR(INDEX(WBS_CBS!$N$5:$N$16,MATCH($D77,WBS_CBS!$A$5:$A$16,0)),"Yes"))</f>
        <v/>
      </c>
      <c r="W77" s="150">
        <f>IF($D77="","",IFERROR(INDEX(WBS_CBS!$K$5:$K$16,MATCH($D77,WBS_CBS!$A$5:$A$16,0)),""))</f>
        <v/>
      </c>
      <c r="X77" s="150">
        <f>IF($D77="","",IFERROR(INDEX(WBS_CBS!$F$5:$F$16,MATCH($D77,WBS_CBS!$A$5:$A$16,0)),""))</f>
        <v/>
      </c>
      <c r="Y77" s="149" t="n"/>
      <c r="Z77" s="149" t="n"/>
      <c r="AA77" s="150">
        <f>IF($D77="","",IFERROR(INDEX(WBS_CBS!$L$5:$L$16,MATCH($D77,WBS_CBS!$A$5:$A$16,0)),""))</f>
        <v/>
      </c>
      <c r="AB77" s="149" t="n"/>
    </row>
    <row r="78">
      <c r="A78" s="149" t="n"/>
      <c r="B78" s="149" t="n"/>
      <c r="C78" s="150">
        <f>IF($D78="","",IFERROR(INDEX(WBS_CBS!$E$5:$E$16,MATCH($D78,WBS_CBS!$A$5:$A$16,0)),""))</f>
        <v/>
      </c>
      <c r="D78" s="149" t="n"/>
      <c r="E78" s="150">
        <f>IF($D78="","",IFERROR(INDEX(WBS_CBS!$C$5:$C$16,MATCH($D78,WBS_CBS!$A$5:$A$16,0)),""))</f>
        <v/>
      </c>
      <c r="F78" s="150">
        <f>IF($D78="","",IFERROR(INDEX(WBS_CBS!$J$5:$J$16,MATCH($D78,WBS_CBS!$A$5:$A$16,0)),""))</f>
        <v/>
      </c>
      <c r="G78" s="149" t="n"/>
      <c r="H78" s="151" t="n"/>
      <c r="I78" s="149" t="n"/>
      <c r="J78" s="152" t="n"/>
      <c r="K78" s="149" t="n"/>
      <c r="L78" s="153">
        <f>IF($K78="","",IFERROR(INDEX(FX_Rates!$B$5:$B$14,MATCH($K78,FX_Rates!$A$5:$A$14,0)),""))</f>
        <v/>
      </c>
      <c r="M78" s="153">
        <f>IF(OR($H78="",$J78=""),"",$H78*$J78)</f>
        <v/>
      </c>
      <c r="N78" s="153">
        <f>IF(OR($M78="",$L78=""),"",$M78*$L78)</f>
        <v/>
      </c>
      <c r="O78" s="149" t="n"/>
      <c r="P78" s="154">
        <f>IF($O78="","",IFERROR(INDEX(Basis_of_Estimate!$C$5:$C$9,MATCH($O78,Basis_of_Estimate!$A$5:$A$9,0)),""))</f>
        <v/>
      </c>
      <c r="Q78" s="154">
        <f>IF($O78="","",IFERROR(INDEX(Basis_of_Estimate!$D$5:$D$9,MATCH($O78,Basis_of_Estimate!$A$5:$A$9,0)),""))</f>
        <v/>
      </c>
      <c r="R78" s="153">
        <f>IF($N78="","",$N78*(1+$P78))</f>
        <v/>
      </c>
      <c r="S78" s="153">
        <f>IF($N78="","",$N78)</f>
        <v/>
      </c>
      <c r="T78" s="153">
        <f>IF($N78="","",$N78*(1+$Q78))</f>
        <v/>
      </c>
      <c r="U78" s="150">
        <f>IF($D78="","",IFERROR(INDEX(WBS_CBS!$M$5:$M$16,MATCH($D78,WBS_CBS!$A$5:$A$16,0)),"Yes"))</f>
        <v/>
      </c>
      <c r="V78" s="150">
        <f>IF($D78="","",IFERROR(INDEX(WBS_CBS!$N$5:$N$16,MATCH($D78,WBS_CBS!$A$5:$A$16,0)),"Yes"))</f>
        <v/>
      </c>
      <c r="W78" s="150">
        <f>IF($D78="","",IFERROR(INDEX(WBS_CBS!$K$5:$K$16,MATCH($D78,WBS_CBS!$A$5:$A$16,0)),""))</f>
        <v/>
      </c>
      <c r="X78" s="150">
        <f>IF($D78="","",IFERROR(INDEX(WBS_CBS!$F$5:$F$16,MATCH($D78,WBS_CBS!$A$5:$A$16,0)),""))</f>
        <v/>
      </c>
      <c r="Y78" s="149" t="n"/>
      <c r="Z78" s="149" t="n"/>
      <c r="AA78" s="150">
        <f>IF($D78="","",IFERROR(INDEX(WBS_CBS!$L$5:$L$16,MATCH($D78,WBS_CBS!$A$5:$A$16,0)),""))</f>
        <v/>
      </c>
      <c r="AB78" s="149" t="n"/>
    </row>
    <row r="79">
      <c r="A79" s="149" t="n"/>
      <c r="B79" s="149" t="n"/>
      <c r="C79" s="150">
        <f>IF($D79="","",IFERROR(INDEX(WBS_CBS!$E$5:$E$16,MATCH($D79,WBS_CBS!$A$5:$A$16,0)),""))</f>
        <v/>
      </c>
      <c r="D79" s="149" t="n"/>
      <c r="E79" s="150">
        <f>IF($D79="","",IFERROR(INDEX(WBS_CBS!$C$5:$C$16,MATCH($D79,WBS_CBS!$A$5:$A$16,0)),""))</f>
        <v/>
      </c>
      <c r="F79" s="150">
        <f>IF($D79="","",IFERROR(INDEX(WBS_CBS!$J$5:$J$16,MATCH($D79,WBS_CBS!$A$5:$A$16,0)),""))</f>
        <v/>
      </c>
      <c r="G79" s="149" t="n"/>
      <c r="H79" s="151" t="n"/>
      <c r="I79" s="149" t="n"/>
      <c r="J79" s="152" t="n"/>
      <c r="K79" s="149" t="n"/>
      <c r="L79" s="153">
        <f>IF($K79="","",IFERROR(INDEX(FX_Rates!$B$5:$B$14,MATCH($K79,FX_Rates!$A$5:$A$14,0)),""))</f>
        <v/>
      </c>
      <c r="M79" s="153">
        <f>IF(OR($H79="",$J79=""),"",$H79*$J79)</f>
        <v/>
      </c>
      <c r="N79" s="153">
        <f>IF(OR($M79="",$L79=""),"",$M79*$L79)</f>
        <v/>
      </c>
      <c r="O79" s="149" t="n"/>
      <c r="P79" s="154">
        <f>IF($O79="","",IFERROR(INDEX(Basis_of_Estimate!$C$5:$C$9,MATCH($O79,Basis_of_Estimate!$A$5:$A$9,0)),""))</f>
        <v/>
      </c>
      <c r="Q79" s="154">
        <f>IF($O79="","",IFERROR(INDEX(Basis_of_Estimate!$D$5:$D$9,MATCH($O79,Basis_of_Estimate!$A$5:$A$9,0)),""))</f>
        <v/>
      </c>
      <c r="R79" s="153">
        <f>IF($N79="","",$N79*(1+$P79))</f>
        <v/>
      </c>
      <c r="S79" s="153">
        <f>IF($N79="","",$N79)</f>
        <v/>
      </c>
      <c r="T79" s="153">
        <f>IF($N79="","",$N79*(1+$Q79))</f>
        <v/>
      </c>
      <c r="U79" s="150">
        <f>IF($D79="","",IFERROR(INDEX(WBS_CBS!$M$5:$M$16,MATCH($D79,WBS_CBS!$A$5:$A$16,0)),"Yes"))</f>
        <v/>
      </c>
      <c r="V79" s="150">
        <f>IF($D79="","",IFERROR(INDEX(WBS_CBS!$N$5:$N$16,MATCH($D79,WBS_CBS!$A$5:$A$16,0)),"Yes"))</f>
        <v/>
      </c>
      <c r="W79" s="150">
        <f>IF($D79="","",IFERROR(INDEX(WBS_CBS!$K$5:$K$16,MATCH($D79,WBS_CBS!$A$5:$A$16,0)),""))</f>
        <v/>
      </c>
      <c r="X79" s="150">
        <f>IF($D79="","",IFERROR(INDEX(WBS_CBS!$F$5:$F$16,MATCH($D79,WBS_CBS!$A$5:$A$16,0)),""))</f>
        <v/>
      </c>
      <c r="Y79" s="149" t="n"/>
      <c r="Z79" s="149" t="n"/>
      <c r="AA79" s="150">
        <f>IF($D79="","",IFERROR(INDEX(WBS_CBS!$L$5:$L$16,MATCH($D79,WBS_CBS!$A$5:$A$16,0)),""))</f>
        <v/>
      </c>
      <c r="AB79" s="149" t="n"/>
    </row>
    <row r="80">
      <c r="A80" s="149" t="n"/>
      <c r="B80" s="149" t="n"/>
      <c r="C80" s="150">
        <f>IF($D80="","",IFERROR(INDEX(WBS_CBS!$E$5:$E$16,MATCH($D80,WBS_CBS!$A$5:$A$16,0)),""))</f>
        <v/>
      </c>
      <c r="D80" s="149" t="n"/>
      <c r="E80" s="150">
        <f>IF($D80="","",IFERROR(INDEX(WBS_CBS!$C$5:$C$16,MATCH($D80,WBS_CBS!$A$5:$A$16,0)),""))</f>
        <v/>
      </c>
      <c r="F80" s="150">
        <f>IF($D80="","",IFERROR(INDEX(WBS_CBS!$J$5:$J$16,MATCH($D80,WBS_CBS!$A$5:$A$16,0)),""))</f>
        <v/>
      </c>
      <c r="G80" s="149" t="n"/>
      <c r="H80" s="151" t="n"/>
      <c r="I80" s="149" t="n"/>
      <c r="J80" s="152" t="n"/>
      <c r="K80" s="149" t="n"/>
      <c r="L80" s="153">
        <f>IF($K80="","",IFERROR(INDEX(FX_Rates!$B$5:$B$14,MATCH($K80,FX_Rates!$A$5:$A$14,0)),""))</f>
        <v/>
      </c>
      <c r="M80" s="153">
        <f>IF(OR($H80="",$J80=""),"",$H80*$J80)</f>
        <v/>
      </c>
      <c r="N80" s="153">
        <f>IF(OR($M80="",$L80=""),"",$M80*$L80)</f>
        <v/>
      </c>
      <c r="O80" s="149" t="n"/>
      <c r="P80" s="154">
        <f>IF($O80="","",IFERROR(INDEX(Basis_of_Estimate!$C$5:$C$9,MATCH($O80,Basis_of_Estimate!$A$5:$A$9,0)),""))</f>
        <v/>
      </c>
      <c r="Q80" s="154">
        <f>IF($O80="","",IFERROR(INDEX(Basis_of_Estimate!$D$5:$D$9,MATCH($O80,Basis_of_Estimate!$A$5:$A$9,0)),""))</f>
        <v/>
      </c>
      <c r="R80" s="153">
        <f>IF($N80="","",$N80*(1+$P80))</f>
        <v/>
      </c>
      <c r="S80" s="153">
        <f>IF($N80="","",$N80)</f>
        <v/>
      </c>
      <c r="T80" s="153">
        <f>IF($N80="","",$N80*(1+$Q80))</f>
        <v/>
      </c>
      <c r="U80" s="150">
        <f>IF($D80="","",IFERROR(INDEX(WBS_CBS!$M$5:$M$16,MATCH($D80,WBS_CBS!$A$5:$A$16,0)),"Yes"))</f>
        <v/>
      </c>
      <c r="V80" s="150">
        <f>IF($D80="","",IFERROR(INDEX(WBS_CBS!$N$5:$N$16,MATCH($D80,WBS_CBS!$A$5:$A$16,0)),"Yes"))</f>
        <v/>
      </c>
      <c r="W80" s="150">
        <f>IF($D80="","",IFERROR(INDEX(WBS_CBS!$K$5:$K$16,MATCH($D80,WBS_CBS!$A$5:$A$16,0)),""))</f>
        <v/>
      </c>
      <c r="X80" s="150">
        <f>IF($D80="","",IFERROR(INDEX(WBS_CBS!$F$5:$F$16,MATCH($D80,WBS_CBS!$A$5:$A$16,0)),""))</f>
        <v/>
      </c>
      <c r="Y80" s="149" t="n"/>
      <c r="Z80" s="149" t="n"/>
      <c r="AA80" s="150">
        <f>IF($D80="","",IFERROR(INDEX(WBS_CBS!$L$5:$L$16,MATCH($D80,WBS_CBS!$A$5:$A$16,0)),""))</f>
        <v/>
      </c>
      <c r="AB80" s="149" t="n"/>
    </row>
    <row r="81">
      <c r="A81" s="149" t="n"/>
      <c r="B81" s="149" t="n"/>
      <c r="C81" s="150">
        <f>IF($D81="","",IFERROR(INDEX(WBS_CBS!$E$5:$E$16,MATCH($D81,WBS_CBS!$A$5:$A$16,0)),""))</f>
        <v/>
      </c>
      <c r="D81" s="149" t="n"/>
      <c r="E81" s="150">
        <f>IF($D81="","",IFERROR(INDEX(WBS_CBS!$C$5:$C$16,MATCH($D81,WBS_CBS!$A$5:$A$16,0)),""))</f>
        <v/>
      </c>
      <c r="F81" s="150">
        <f>IF($D81="","",IFERROR(INDEX(WBS_CBS!$J$5:$J$16,MATCH($D81,WBS_CBS!$A$5:$A$16,0)),""))</f>
        <v/>
      </c>
      <c r="G81" s="149" t="n"/>
      <c r="H81" s="151" t="n"/>
      <c r="I81" s="149" t="n"/>
      <c r="J81" s="152" t="n"/>
      <c r="K81" s="149" t="n"/>
      <c r="L81" s="153">
        <f>IF($K81="","",IFERROR(INDEX(FX_Rates!$B$5:$B$14,MATCH($K81,FX_Rates!$A$5:$A$14,0)),""))</f>
        <v/>
      </c>
      <c r="M81" s="153">
        <f>IF(OR($H81="",$J81=""),"",$H81*$J81)</f>
        <v/>
      </c>
      <c r="N81" s="153">
        <f>IF(OR($M81="",$L81=""),"",$M81*$L81)</f>
        <v/>
      </c>
      <c r="O81" s="149" t="n"/>
      <c r="P81" s="154">
        <f>IF($O81="","",IFERROR(INDEX(Basis_of_Estimate!$C$5:$C$9,MATCH($O81,Basis_of_Estimate!$A$5:$A$9,0)),""))</f>
        <v/>
      </c>
      <c r="Q81" s="154">
        <f>IF($O81="","",IFERROR(INDEX(Basis_of_Estimate!$D$5:$D$9,MATCH($O81,Basis_of_Estimate!$A$5:$A$9,0)),""))</f>
        <v/>
      </c>
      <c r="R81" s="153">
        <f>IF($N81="","",$N81*(1+$P81))</f>
        <v/>
      </c>
      <c r="S81" s="153">
        <f>IF($N81="","",$N81)</f>
        <v/>
      </c>
      <c r="T81" s="153">
        <f>IF($N81="","",$N81*(1+$Q81))</f>
        <v/>
      </c>
      <c r="U81" s="150">
        <f>IF($D81="","",IFERROR(INDEX(WBS_CBS!$M$5:$M$16,MATCH($D81,WBS_CBS!$A$5:$A$16,0)),"Yes"))</f>
        <v/>
      </c>
      <c r="V81" s="150">
        <f>IF($D81="","",IFERROR(INDEX(WBS_CBS!$N$5:$N$16,MATCH($D81,WBS_CBS!$A$5:$A$16,0)),"Yes"))</f>
        <v/>
      </c>
      <c r="W81" s="150">
        <f>IF($D81="","",IFERROR(INDEX(WBS_CBS!$K$5:$K$16,MATCH($D81,WBS_CBS!$A$5:$A$16,0)),""))</f>
        <v/>
      </c>
      <c r="X81" s="150">
        <f>IF($D81="","",IFERROR(INDEX(WBS_CBS!$F$5:$F$16,MATCH($D81,WBS_CBS!$A$5:$A$16,0)),""))</f>
        <v/>
      </c>
      <c r="Y81" s="149" t="n"/>
      <c r="Z81" s="149" t="n"/>
      <c r="AA81" s="150">
        <f>IF($D81="","",IFERROR(INDEX(WBS_CBS!$L$5:$L$16,MATCH($D81,WBS_CBS!$A$5:$A$16,0)),""))</f>
        <v/>
      </c>
      <c r="AB81" s="149" t="n"/>
    </row>
    <row r="82">
      <c r="A82" s="149" t="n"/>
      <c r="B82" s="149" t="n"/>
      <c r="C82" s="150">
        <f>IF($D82="","",IFERROR(INDEX(WBS_CBS!$E$5:$E$16,MATCH($D82,WBS_CBS!$A$5:$A$16,0)),""))</f>
        <v/>
      </c>
      <c r="D82" s="149" t="n"/>
      <c r="E82" s="150">
        <f>IF($D82="","",IFERROR(INDEX(WBS_CBS!$C$5:$C$16,MATCH($D82,WBS_CBS!$A$5:$A$16,0)),""))</f>
        <v/>
      </c>
      <c r="F82" s="150">
        <f>IF($D82="","",IFERROR(INDEX(WBS_CBS!$J$5:$J$16,MATCH($D82,WBS_CBS!$A$5:$A$16,0)),""))</f>
        <v/>
      </c>
      <c r="G82" s="149" t="n"/>
      <c r="H82" s="151" t="n"/>
      <c r="I82" s="149" t="n"/>
      <c r="J82" s="152" t="n"/>
      <c r="K82" s="149" t="n"/>
      <c r="L82" s="153">
        <f>IF($K82="","",IFERROR(INDEX(FX_Rates!$B$5:$B$14,MATCH($K82,FX_Rates!$A$5:$A$14,0)),""))</f>
        <v/>
      </c>
      <c r="M82" s="153">
        <f>IF(OR($H82="",$J82=""),"",$H82*$J82)</f>
        <v/>
      </c>
      <c r="N82" s="153">
        <f>IF(OR($M82="",$L82=""),"",$M82*$L82)</f>
        <v/>
      </c>
      <c r="O82" s="149" t="n"/>
      <c r="P82" s="154">
        <f>IF($O82="","",IFERROR(INDEX(Basis_of_Estimate!$C$5:$C$9,MATCH($O82,Basis_of_Estimate!$A$5:$A$9,0)),""))</f>
        <v/>
      </c>
      <c r="Q82" s="154">
        <f>IF($O82="","",IFERROR(INDEX(Basis_of_Estimate!$D$5:$D$9,MATCH($O82,Basis_of_Estimate!$A$5:$A$9,0)),""))</f>
        <v/>
      </c>
      <c r="R82" s="153">
        <f>IF($N82="","",$N82*(1+$P82))</f>
        <v/>
      </c>
      <c r="S82" s="153">
        <f>IF($N82="","",$N82)</f>
        <v/>
      </c>
      <c r="T82" s="153">
        <f>IF($N82="","",$N82*(1+$Q82))</f>
        <v/>
      </c>
      <c r="U82" s="150">
        <f>IF($D82="","",IFERROR(INDEX(WBS_CBS!$M$5:$M$16,MATCH($D82,WBS_CBS!$A$5:$A$16,0)),"Yes"))</f>
        <v/>
      </c>
      <c r="V82" s="150">
        <f>IF($D82="","",IFERROR(INDEX(WBS_CBS!$N$5:$N$16,MATCH($D82,WBS_CBS!$A$5:$A$16,0)),"Yes"))</f>
        <v/>
      </c>
      <c r="W82" s="150">
        <f>IF($D82="","",IFERROR(INDEX(WBS_CBS!$K$5:$K$16,MATCH($D82,WBS_CBS!$A$5:$A$16,0)),""))</f>
        <v/>
      </c>
      <c r="X82" s="150">
        <f>IF($D82="","",IFERROR(INDEX(WBS_CBS!$F$5:$F$16,MATCH($D82,WBS_CBS!$A$5:$A$16,0)),""))</f>
        <v/>
      </c>
      <c r="Y82" s="149" t="n"/>
      <c r="Z82" s="149" t="n"/>
      <c r="AA82" s="150">
        <f>IF($D82="","",IFERROR(INDEX(WBS_CBS!$L$5:$L$16,MATCH($D82,WBS_CBS!$A$5:$A$16,0)),""))</f>
        <v/>
      </c>
      <c r="AB82" s="149" t="n"/>
    </row>
    <row r="83">
      <c r="A83" s="149" t="n"/>
      <c r="B83" s="149" t="n"/>
      <c r="C83" s="150">
        <f>IF($D83="","",IFERROR(INDEX(WBS_CBS!$E$5:$E$16,MATCH($D83,WBS_CBS!$A$5:$A$16,0)),""))</f>
        <v/>
      </c>
      <c r="D83" s="149" t="n"/>
      <c r="E83" s="150">
        <f>IF($D83="","",IFERROR(INDEX(WBS_CBS!$C$5:$C$16,MATCH($D83,WBS_CBS!$A$5:$A$16,0)),""))</f>
        <v/>
      </c>
      <c r="F83" s="150">
        <f>IF($D83="","",IFERROR(INDEX(WBS_CBS!$J$5:$J$16,MATCH($D83,WBS_CBS!$A$5:$A$16,0)),""))</f>
        <v/>
      </c>
      <c r="G83" s="149" t="n"/>
      <c r="H83" s="151" t="n"/>
      <c r="I83" s="149" t="n"/>
      <c r="J83" s="152" t="n"/>
      <c r="K83" s="149" t="n"/>
      <c r="L83" s="153">
        <f>IF($K83="","",IFERROR(INDEX(FX_Rates!$B$5:$B$14,MATCH($K83,FX_Rates!$A$5:$A$14,0)),""))</f>
        <v/>
      </c>
      <c r="M83" s="153">
        <f>IF(OR($H83="",$J83=""),"",$H83*$J83)</f>
        <v/>
      </c>
      <c r="N83" s="153">
        <f>IF(OR($M83="",$L83=""),"",$M83*$L83)</f>
        <v/>
      </c>
      <c r="O83" s="149" t="n"/>
      <c r="P83" s="154">
        <f>IF($O83="","",IFERROR(INDEX(Basis_of_Estimate!$C$5:$C$9,MATCH($O83,Basis_of_Estimate!$A$5:$A$9,0)),""))</f>
        <v/>
      </c>
      <c r="Q83" s="154">
        <f>IF($O83="","",IFERROR(INDEX(Basis_of_Estimate!$D$5:$D$9,MATCH($O83,Basis_of_Estimate!$A$5:$A$9,0)),""))</f>
        <v/>
      </c>
      <c r="R83" s="153">
        <f>IF($N83="","",$N83*(1+$P83))</f>
        <v/>
      </c>
      <c r="S83" s="153">
        <f>IF($N83="","",$N83)</f>
        <v/>
      </c>
      <c r="T83" s="153">
        <f>IF($N83="","",$N83*(1+$Q83))</f>
        <v/>
      </c>
      <c r="U83" s="150">
        <f>IF($D83="","",IFERROR(INDEX(WBS_CBS!$M$5:$M$16,MATCH($D83,WBS_CBS!$A$5:$A$16,0)),"Yes"))</f>
        <v/>
      </c>
      <c r="V83" s="150">
        <f>IF($D83="","",IFERROR(INDEX(WBS_CBS!$N$5:$N$16,MATCH($D83,WBS_CBS!$A$5:$A$16,0)),"Yes"))</f>
        <v/>
      </c>
      <c r="W83" s="150">
        <f>IF($D83="","",IFERROR(INDEX(WBS_CBS!$K$5:$K$16,MATCH($D83,WBS_CBS!$A$5:$A$16,0)),""))</f>
        <v/>
      </c>
      <c r="X83" s="150">
        <f>IF($D83="","",IFERROR(INDEX(WBS_CBS!$F$5:$F$16,MATCH($D83,WBS_CBS!$A$5:$A$16,0)),""))</f>
        <v/>
      </c>
      <c r="Y83" s="149" t="n"/>
      <c r="Z83" s="149" t="n"/>
      <c r="AA83" s="150">
        <f>IF($D83="","",IFERROR(INDEX(WBS_CBS!$L$5:$L$16,MATCH($D83,WBS_CBS!$A$5:$A$16,0)),""))</f>
        <v/>
      </c>
      <c r="AB83" s="149" t="n"/>
    </row>
    <row r="84">
      <c r="A84" s="149" t="n"/>
      <c r="B84" s="149" t="n"/>
      <c r="C84" s="150">
        <f>IF($D84="","",IFERROR(INDEX(WBS_CBS!$E$5:$E$16,MATCH($D84,WBS_CBS!$A$5:$A$16,0)),""))</f>
        <v/>
      </c>
      <c r="D84" s="149" t="n"/>
      <c r="E84" s="150">
        <f>IF($D84="","",IFERROR(INDEX(WBS_CBS!$C$5:$C$16,MATCH($D84,WBS_CBS!$A$5:$A$16,0)),""))</f>
        <v/>
      </c>
      <c r="F84" s="150">
        <f>IF($D84="","",IFERROR(INDEX(WBS_CBS!$J$5:$J$16,MATCH($D84,WBS_CBS!$A$5:$A$16,0)),""))</f>
        <v/>
      </c>
      <c r="G84" s="149" t="n"/>
      <c r="H84" s="151" t="n"/>
      <c r="I84" s="149" t="n"/>
      <c r="J84" s="152" t="n"/>
      <c r="K84" s="149" t="n"/>
      <c r="L84" s="153">
        <f>IF($K84="","",IFERROR(INDEX(FX_Rates!$B$5:$B$14,MATCH($K84,FX_Rates!$A$5:$A$14,0)),""))</f>
        <v/>
      </c>
      <c r="M84" s="153">
        <f>IF(OR($H84="",$J84=""),"",$H84*$J84)</f>
        <v/>
      </c>
      <c r="N84" s="153">
        <f>IF(OR($M84="",$L84=""),"",$M84*$L84)</f>
        <v/>
      </c>
      <c r="O84" s="149" t="n"/>
      <c r="P84" s="154">
        <f>IF($O84="","",IFERROR(INDEX(Basis_of_Estimate!$C$5:$C$9,MATCH($O84,Basis_of_Estimate!$A$5:$A$9,0)),""))</f>
        <v/>
      </c>
      <c r="Q84" s="154">
        <f>IF($O84="","",IFERROR(INDEX(Basis_of_Estimate!$D$5:$D$9,MATCH($O84,Basis_of_Estimate!$A$5:$A$9,0)),""))</f>
        <v/>
      </c>
      <c r="R84" s="153">
        <f>IF($N84="","",$N84*(1+$P84))</f>
        <v/>
      </c>
      <c r="S84" s="153">
        <f>IF($N84="","",$N84)</f>
        <v/>
      </c>
      <c r="T84" s="153">
        <f>IF($N84="","",$N84*(1+$Q84))</f>
        <v/>
      </c>
      <c r="U84" s="150">
        <f>IF($D84="","",IFERROR(INDEX(WBS_CBS!$M$5:$M$16,MATCH($D84,WBS_CBS!$A$5:$A$16,0)),"Yes"))</f>
        <v/>
      </c>
      <c r="V84" s="150">
        <f>IF($D84="","",IFERROR(INDEX(WBS_CBS!$N$5:$N$16,MATCH($D84,WBS_CBS!$A$5:$A$16,0)),"Yes"))</f>
        <v/>
      </c>
      <c r="W84" s="150">
        <f>IF($D84="","",IFERROR(INDEX(WBS_CBS!$K$5:$K$16,MATCH($D84,WBS_CBS!$A$5:$A$16,0)),""))</f>
        <v/>
      </c>
      <c r="X84" s="150">
        <f>IF($D84="","",IFERROR(INDEX(WBS_CBS!$F$5:$F$16,MATCH($D84,WBS_CBS!$A$5:$A$16,0)),""))</f>
        <v/>
      </c>
      <c r="Y84" s="149" t="n"/>
      <c r="Z84" s="149" t="n"/>
      <c r="AA84" s="150">
        <f>IF($D84="","",IFERROR(INDEX(WBS_CBS!$L$5:$L$16,MATCH($D84,WBS_CBS!$A$5:$A$16,0)),""))</f>
        <v/>
      </c>
      <c r="AB84" s="149" t="n"/>
    </row>
    <row r="85">
      <c r="A85" s="149" t="n"/>
      <c r="B85" s="149" t="n"/>
      <c r="C85" s="150">
        <f>IF($D85="","",IFERROR(INDEX(WBS_CBS!$E$5:$E$16,MATCH($D85,WBS_CBS!$A$5:$A$16,0)),""))</f>
        <v/>
      </c>
      <c r="D85" s="149" t="n"/>
      <c r="E85" s="150">
        <f>IF($D85="","",IFERROR(INDEX(WBS_CBS!$C$5:$C$16,MATCH($D85,WBS_CBS!$A$5:$A$16,0)),""))</f>
        <v/>
      </c>
      <c r="F85" s="150">
        <f>IF($D85="","",IFERROR(INDEX(WBS_CBS!$J$5:$J$16,MATCH($D85,WBS_CBS!$A$5:$A$16,0)),""))</f>
        <v/>
      </c>
      <c r="G85" s="149" t="n"/>
      <c r="H85" s="151" t="n"/>
      <c r="I85" s="149" t="n"/>
      <c r="J85" s="152" t="n"/>
      <c r="K85" s="149" t="n"/>
      <c r="L85" s="153">
        <f>IF($K85="","",IFERROR(INDEX(FX_Rates!$B$5:$B$14,MATCH($K85,FX_Rates!$A$5:$A$14,0)),""))</f>
        <v/>
      </c>
      <c r="M85" s="153">
        <f>IF(OR($H85="",$J85=""),"",$H85*$J85)</f>
        <v/>
      </c>
      <c r="N85" s="153">
        <f>IF(OR($M85="",$L85=""),"",$M85*$L85)</f>
        <v/>
      </c>
      <c r="O85" s="149" t="n"/>
      <c r="P85" s="154">
        <f>IF($O85="","",IFERROR(INDEX(Basis_of_Estimate!$C$5:$C$9,MATCH($O85,Basis_of_Estimate!$A$5:$A$9,0)),""))</f>
        <v/>
      </c>
      <c r="Q85" s="154">
        <f>IF($O85="","",IFERROR(INDEX(Basis_of_Estimate!$D$5:$D$9,MATCH($O85,Basis_of_Estimate!$A$5:$A$9,0)),""))</f>
        <v/>
      </c>
      <c r="R85" s="153">
        <f>IF($N85="","",$N85*(1+$P85))</f>
        <v/>
      </c>
      <c r="S85" s="153">
        <f>IF($N85="","",$N85)</f>
        <v/>
      </c>
      <c r="T85" s="153">
        <f>IF($N85="","",$N85*(1+$Q85))</f>
        <v/>
      </c>
      <c r="U85" s="150">
        <f>IF($D85="","",IFERROR(INDEX(WBS_CBS!$M$5:$M$16,MATCH($D85,WBS_CBS!$A$5:$A$16,0)),"Yes"))</f>
        <v/>
      </c>
      <c r="V85" s="150">
        <f>IF($D85="","",IFERROR(INDEX(WBS_CBS!$N$5:$N$16,MATCH($D85,WBS_CBS!$A$5:$A$16,0)),"Yes"))</f>
        <v/>
      </c>
      <c r="W85" s="150">
        <f>IF($D85="","",IFERROR(INDEX(WBS_CBS!$K$5:$K$16,MATCH($D85,WBS_CBS!$A$5:$A$16,0)),""))</f>
        <v/>
      </c>
      <c r="X85" s="150">
        <f>IF($D85="","",IFERROR(INDEX(WBS_CBS!$F$5:$F$16,MATCH($D85,WBS_CBS!$A$5:$A$16,0)),""))</f>
        <v/>
      </c>
      <c r="Y85" s="149" t="n"/>
      <c r="Z85" s="149" t="n"/>
      <c r="AA85" s="150">
        <f>IF($D85="","",IFERROR(INDEX(WBS_CBS!$L$5:$L$16,MATCH($D85,WBS_CBS!$A$5:$A$16,0)),""))</f>
        <v/>
      </c>
      <c r="AB85" s="149" t="n"/>
    </row>
    <row r="86">
      <c r="A86" s="149" t="n"/>
      <c r="B86" s="149" t="n"/>
      <c r="C86" s="150">
        <f>IF($D86="","",IFERROR(INDEX(WBS_CBS!$E$5:$E$16,MATCH($D86,WBS_CBS!$A$5:$A$16,0)),""))</f>
        <v/>
      </c>
      <c r="D86" s="149" t="n"/>
      <c r="E86" s="150">
        <f>IF($D86="","",IFERROR(INDEX(WBS_CBS!$C$5:$C$16,MATCH($D86,WBS_CBS!$A$5:$A$16,0)),""))</f>
        <v/>
      </c>
      <c r="F86" s="150">
        <f>IF($D86="","",IFERROR(INDEX(WBS_CBS!$J$5:$J$16,MATCH($D86,WBS_CBS!$A$5:$A$16,0)),""))</f>
        <v/>
      </c>
      <c r="G86" s="149" t="n"/>
      <c r="H86" s="151" t="n"/>
      <c r="I86" s="149" t="n"/>
      <c r="J86" s="152" t="n"/>
      <c r="K86" s="149" t="n"/>
      <c r="L86" s="153">
        <f>IF($K86="","",IFERROR(INDEX(FX_Rates!$B$5:$B$14,MATCH($K86,FX_Rates!$A$5:$A$14,0)),""))</f>
        <v/>
      </c>
      <c r="M86" s="153">
        <f>IF(OR($H86="",$J86=""),"",$H86*$J86)</f>
        <v/>
      </c>
      <c r="N86" s="153">
        <f>IF(OR($M86="",$L86=""),"",$M86*$L86)</f>
        <v/>
      </c>
      <c r="O86" s="149" t="n"/>
      <c r="P86" s="154">
        <f>IF($O86="","",IFERROR(INDEX(Basis_of_Estimate!$C$5:$C$9,MATCH($O86,Basis_of_Estimate!$A$5:$A$9,0)),""))</f>
        <v/>
      </c>
      <c r="Q86" s="154">
        <f>IF($O86="","",IFERROR(INDEX(Basis_of_Estimate!$D$5:$D$9,MATCH($O86,Basis_of_Estimate!$A$5:$A$9,0)),""))</f>
        <v/>
      </c>
      <c r="R86" s="153">
        <f>IF($N86="","",$N86*(1+$P86))</f>
        <v/>
      </c>
      <c r="S86" s="153">
        <f>IF($N86="","",$N86)</f>
        <v/>
      </c>
      <c r="T86" s="153">
        <f>IF($N86="","",$N86*(1+$Q86))</f>
        <v/>
      </c>
      <c r="U86" s="150">
        <f>IF($D86="","",IFERROR(INDEX(WBS_CBS!$M$5:$M$16,MATCH($D86,WBS_CBS!$A$5:$A$16,0)),"Yes"))</f>
        <v/>
      </c>
      <c r="V86" s="150">
        <f>IF($D86="","",IFERROR(INDEX(WBS_CBS!$N$5:$N$16,MATCH($D86,WBS_CBS!$A$5:$A$16,0)),"Yes"))</f>
        <v/>
      </c>
      <c r="W86" s="150">
        <f>IF($D86="","",IFERROR(INDEX(WBS_CBS!$K$5:$K$16,MATCH($D86,WBS_CBS!$A$5:$A$16,0)),""))</f>
        <v/>
      </c>
      <c r="X86" s="150">
        <f>IF($D86="","",IFERROR(INDEX(WBS_CBS!$F$5:$F$16,MATCH($D86,WBS_CBS!$A$5:$A$16,0)),""))</f>
        <v/>
      </c>
      <c r="Y86" s="149" t="n"/>
      <c r="Z86" s="149" t="n"/>
      <c r="AA86" s="150">
        <f>IF($D86="","",IFERROR(INDEX(WBS_CBS!$L$5:$L$16,MATCH($D86,WBS_CBS!$A$5:$A$16,0)),""))</f>
        <v/>
      </c>
      <c r="AB86" s="149" t="n"/>
    </row>
    <row r="87">
      <c r="A87" s="149" t="n"/>
      <c r="B87" s="149" t="n"/>
      <c r="C87" s="150">
        <f>IF($D87="","",IFERROR(INDEX(WBS_CBS!$E$5:$E$16,MATCH($D87,WBS_CBS!$A$5:$A$16,0)),""))</f>
        <v/>
      </c>
      <c r="D87" s="149" t="n"/>
      <c r="E87" s="150">
        <f>IF($D87="","",IFERROR(INDEX(WBS_CBS!$C$5:$C$16,MATCH($D87,WBS_CBS!$A$5:$A$16,0)),""))</f>
        <v/>
      </c>
      <c r="F87" s="150">
        <f>IF($D87="","",IFERROR(INDEX(WBS_CBS!$J$5:$J$16,MATCH($D87,WBS_CBS!$A$5:$A$16,0)),""))</f>
        <v/>
      </c>
      <c r="G87" s="149" t="n"/>
      <c r="H87" s="151" t="n"/>
      <c r="I87" s="149" t="n"/>
      <c r="J87" s="152" t="n"/>
      <c r="K87" s="149" t="n"/>
      <c r="L87" s="153">
        <f>IF($K87="","",IFERROR(INDEX(FX_Rates!$B$5:$B$14,MATCH($K87,FX_Rates!$A$5:$A$14,0)),""))</f>
        <v/>
      </c>
      <c r="M87" s="153">
        <f>IF(OR($H87="",$J87=""),"",$H87*$J87)</f>
        <v/>
      </c>
      <c r="N87" s="153">
        <f>IF(OR($M87="",$L87=""),"",$M87*$L87)</f>
        <v/>
      </c>
      <c r="O87" s="149" t="n"/>
      <c r="P87" s="154">
        <f>IF($O87="","",IFERROR(INDEX(Basis_of_Estimate!$C$5:$C$9,MATCH($O87,Basis_of_Estimate!$A$5:$A$9,0)),""))</f>
        <v/>
      </c>
      <c r="Q87" s="154">
        <f>IF($O87="","",IFERROR(INDEX(Basis_of_Estimate!$D$5:$D$9,MATCH($O87,Basis_of_Estimate!$A$5:$A$9,0)),""))</f>
        <v/>
      </c>
      <c r="R87" s="153">
        <f>IF($N87="","",$N87*(1+$P87))</f>
        <v/>
      </c>
      <c r="S87" s="153">
        <f>IF($N87="","",$N87)</f>
        <v/>
      </c>
      <c r="T87" s="153">
        <f>IF($N87="","",$N87*(1+$Q87))</f>
        <v/>
      </c>
      <c r="U87" s="150">
        <f>IF($D87="","",IFERROR(INDEX(WBS_CBS!$M$5:$M$16,MATCH($D87,WBS_CBS!$A$5:$A$16,0)),"Yes"))</f>
        <v/>
      </c>
      <c r="V87" s="150">
        <f>IF($D87="","",IFERROR(INDEX(WBS_CBS!$N$5:$N$16,MATCH($D87,WBS_CBS!$A$5:$A$16,0)),"Yes"))</f>
        <v/>
      </c>
      <c r="W87" s="150">
        <f>IF($D87="","",IFERROR(INDEX(WBS_CBS!$K$5:$K$16,MATCH($D87,WBS_CBS!$A$5:$A$16,0)),""))</f>
        <v/>
      </c>
      <c r="X87" s="150">
        <f>IF($D87="","",IFERROR(INDEX(WBS_CBS!$F$5:$F$16,MATCH($D87,WBS_CBS!$A$5:$A$16,0)),""))</f>
        <v/>
      </c>
      <c r="Y87" s="149" t="n"/>
      <c r="Z87" s="149" t="n"/>
      <c r="AA87" s="150">
        <f>IF($D87="","",IFERROR(INDEX(WBS_CBS!$L$5:$L$16,MATCH($D87,WBS_CBS!$A$5:$A$16,0)),""))</f>
        <v/>
      </c>
      <c r="AB87" s="149" t="n"/>
    </row>
    <row r="88">
      <c r="A88" s="149" t="n"/>
      <c r="B88" s="149" t="n"/>
      <c r="C88" s="150">
        <f>IF($D88="","",IFERROR(INDEX(WBS_CBS!$E$5:$E$16,MATCH($D88,WBS_CBS!$A$5:$A$16,0)),""))</f>
        <v/>
      </c>
      <c r="D88" s="149" t="n"/>
      <c r="E88" s="150">
        <f>IF($D88="","",IFERROR(INDEX(WBS_CBS!$C$5:$C$16,MATCH($D88,WBS_CBS!$A$5:$A$16,0)),""))</f>
        <v/>
      </c>
      <c r="F88" s="150">
        <f>IF($D88="","",IFERROR(INDEX(WBS_CBS!$J$5:$J$16,MATCH($D88,WBS_CBS!$A$5:$A$16,0)),""))</f>
        <v/>
      </c>
      <c r="G88" s="149" t="n"/>
      <c r="H88" s="151" t="n"/>
      <c r="I88" s="149" t="n"/>
      <c r="J88" s="152" t="n"/>
      <c r="K88" s="149" t="n"/>
      <c r="L88" s="153">
        <f>IF($K88="","",IFERROR(INDEX(FX_Rates!$B$5:$B$14,MATCH($K88,FX_Rates!$A$5:$A$14,0)),""))</f>
        <v/>
      </c>
      <c r="M88" s="153">
        <f>IF(OR($H88="",$J88=""),"",$H88*$J88)</f>
        <v/>
      </c>
      <c r="N88" s="153">
        <f>IF(OR($M88="",$L88=""),"",$M88*$L88)</f>
        <v/>
      </c>
      <c r="O88" s="149" t="n"/>
      <c r="P88" s="154">
        <f>IF($O88="","",IFERROR(INDEX(Basis_of_Estimate!$C$5:$C$9,MATCH($O88,Basis_of_Estimate!$A$5:$A$9,0)),""))</f>
        <v/>
      </c>
      <c r="Q88" s="154">
        <f>IF($O88="","",IFERROR(INDEX(Basis_of_Estimate!$D$5:$D$9,MATCH($O88,Basis_of_Estimate!$A$5:$A$9,0)),""))</f>
        <v/>
      </c>
      <c r="R88" s="153">
        <f>IF($N88="","",$N88*(1+$P88))</f>
        <v/>
      </c>
      <c r="S88" s="153">
        <f>IF($N88="","",$N88)</f>
        <v/>
      </c>
      <c r="T88" s="153">
        <f>IF($N88="","",$N88*(1+$Q88))</f>
        <v/>
      </c>
      <c r="U88" s="150">
        <f>IF($D88="","",IFERROR(INDEX(WBS_CBS!$M$5:$M$16,MATCH($D88,WBS_CBS!$A$5:$A$16,0)),"Yes"))</f>
        <v/>
      </c>
      <c r="V88" s="150">
        <f>IF($D88="","",IFERROR(INDEX(WBS_CBS!$N$5:$N$16,MATCH($D88,WBS_CBS!$A$5:$A$16,0)),"Yes"))</f>
        <v/>
      </c>
      <c r="W88" s="150">
        <f>IF($D88="","",IFERROR(INDEX(WBS_CBS!$K$5:$K$16,MATCH($D88,WBS_CBS!$A$5:$A$16,0)),""))</f>
        <v/>
      </c>
      <c r="X88" s="150">
        <f>IF($D88="","",IFERROR(INDEX(WBS_CBS!$F$5:$F$16,MATCH($D88,WBS_CBS!$A$5:$A$16,0)),""))</f>
        <v/>
      </c>
      <c r="Y88" s="149" t="n"/>
      <c r="Z88" s="149" t="n"/>
      <c r="AA88" s="150">
        <f>IF($D88="","",IFERROR(INDEX(WBS_CBS!$L$5:$L$16,MATCH($D88,WBS_CBS!$A$5:$A$16,0)),""))</f>
        <v/>
      </c>
      <c r="AB88" s="149" t="n"/>
    </row>
    <row r="89">
      <c r="A89" s="149" t="n"/>
      <c r="B89" s="149" t="n"/>
      <c r="C89" s="150">
        <f>IF($D89="","",IFERROR(INDEX(WBS_CBS!$E$5:$E$16,MATCH($D89,WBS_CBS!$A$5:$A$16,0)),""))</f>
        <v/>
      </c>
      <c r="D89" s="149" t="n"/>
      <c r="E89" s="150">
        <f>IF($D89="","",IFERROR(INDEX(WBS_CBS!$C$5:$C$16,MATCH($D89,WBS_CBS!$A$5:$A$16,0)),""))</f>
        <v/>
      </c>
      <c r="F89" s="150">
        <f>IF($D89="","",IFERROR(INDEX(WBS_CBS!$J$5:$J$16,MATCH($D89,WBS_CBS!$A$5:$A$16,0)),""))</f>
        <v/>
      </c>
      <c r="G89" s="149" t="n"/>
      <c r="H89" s="151" t="n"/>
      <c r="I89" s="149" t="n"/>
      <c r="J89" s="152" t="n"/>
      <c r="K89" s="149" t="n"/>
      <c r="L89" s="153">
        <f>IF($K89="","",IFERROR(INDEX(FX_Rates!$B$5:$B$14,MATCH($K89,FX_Rates!$A$5:$A$14,0)),""))</f>
        <v/>
      </c>
      <c r="M89" s="153">
        <f>IF(OR($H89="",$J89=""),"",$H89*$J89)</f>
        <v/>
      </c>
      <c r="N89" s="153">
        <f>IF(OR($M89="",$L89=""),"",$M89*$L89)</f>
        <v/>
      </c>
      <c r="O89" s="149" t="n"/>
      <c r="P89" s="154">
        <f>IF($O89="","",IFERROR(INDEX(Basis_of_Estimate!$C$5:$C$9,MATCH($O89,Basis_of_Estimate!$A$5:$A$9,0)),""))</f>
        <v/>
      </c>
      <c r="Q89" s="154">
        <f>IF($O89="","",IFERROR(INDEX(Basis_of_Estimate!$D$5:$D$9,MATCH($O89,Basis_of_Estimate!$A$5:$A$9,0)),""))</f>
        <v/>
      </c>
      <c r="R89" s="153">
        <f>IF($N89="","",$N89*(1+$P89))</f>
        <v/>
      </c>
      <c r="S89" s="153">
        <f>IF($N89="","",$N89)</f>
        <v/>
      </c>
      <c r="T89" s="153">
        <f>IF($N89="","",$N89*(1+$Q89))</f>
        <v/>
      </c>
      <c r="U89" s="150">
        <f>IF($D89="","",IFERROR(INDEX(WBS_CBS!$M$5:$M$16,MATCH($D89,WBS_CBS!$A$5:$A$16,0)),"Yes"))</f>
        <v/>
      </c>
      <c r="V89" s="150">
        <f>IF($D89="","",IFERROR(INDEX(WBS_CBS!$N$5:$N$16,MATCH($D89,WBS_CBS!$A$5:$A$16,0)),"Yes"))</f>
        <v/>
      </c>
      <c r="W89" s="150">
        <f>IF($D89="","",IFERROR(INDEX(WBS_CBS!$K$5:$K$16,MATCH($D89,WBS_CBS!$A$5:$A$16,0)),""))</f>
        <v/>
      </c>
      <c r="X89" s="150">
        <f>IF($D89="","",IFERROR(INDEX(WBS_CBS!$F$5:$F$16,MATCH($D89,WBS_CBS!$A$5:$A$16,0)),""))</f>
        <v/>
      </c>
      <c r="Y89" s="149" t="n"/>
      <c r="Z89" s="149" t="n"/>
      <c r="AA89" s="150">
        <f>IF($D89="","",IFERROR(INDEX(WBS_CBS!$L$5:$L$16,MATCH($D89,WBS_CBS!$A$5:$A$16,0)),""))</f>
        <v/>
      </c>
      <c r="AB89" s="149" t="n"/>
    </row>
    <row r="90">
      <c r="A90" s="149" t="n"/>
      <c r="B90" s="149" t="n"/>
      <c r="C90" s="150">
        <f>IF($D90="","",IFERROR(INDEX(WBS_CBS!$E$5:$E$16,MATCH($D90,WBS_CBS!$A$5:$A$16,0)),""))</f>
        <v/>
      </c>
      <c r="D90" s="149" t="n"/>
      <c r="E90" s="150">
        <f>IF($D90="","",IFERROR(INDEX(WBS_CBS!$C$5:$C$16,MATCH($D90,WBS_CBS!$A$5:$A$16,0)),""))</f>
        <v/>
      </c>
      <c r="F90" s="150">
        <f>IF($D90="","",IFERROR(INDEX(WBS_CBS!$J$5:$J$16,MATCH($D90,WBS_CBS!$A$5:$A$16,0)),""))</f>
        <v/>
      </c>
      <c r="G90" s="149" t="n"/>
      <c r="H90" s="151" t="n"/>
      <c r="I90" s="149" t="n"/>
      <c r="J90" s="152" t="n"/>
      <c r="K90" s="149" t="n"/>
      <c r="L90" s="153">
        <f>IF($K90="","",IFERROR(INDEX(FX_Rates!$B$5:$B$14,MATCH($K90,FX_Rates!$A$5:$A$14,0)),""))</f>
        <v/>
      </c>
      <c r="M90" s="153">
        <f>IF(OR($H90="",$J90=""),"",$H90*$J90)</f>
        <v/>
      </c>
      <c r="N90" s="153">
        <f>IF(OR($M90="",$L90=""),"",$M90*$L90)</f>
        <v/>
      </c>
      <c r="O90" s="149" t="n"/>
      <c r="P90" s="154">
        <f>IF($O90="","",IFERROR(INDEX(Basis_of_Estimate!$C$5:$C$9,MATCH($O90,Basis_of_Estimate!$A$5:$A$9,0)),""))</f>
        <v/>
      </c>
      <c r="Q90" s="154">
        <f>IF($O90="","",IFERROR(INDEX(Basis_of_Estimate!$D$5:$D$9,MATCH($O90,Basis_of_Estimate!$A$5:$A$9,0)),""))</f>
        <v/>
      </c>
      <c r="R90" s="153">
        <f>IF($N90="","",$N90*(1+$P90))</f>
        <v/>
      </c>
      <c r="S90" s="153">
        <f>IF($N90="","",$N90)</f>
        <v/>
      </c>
      <c r="T90" s="153">
        <f>IF($N90="","",$N90*(1+$Q90))</f>
        <v/>
      </c>
      <c r="U90" s="150">
        <f>IF($D90="","",IFERROR(INDEX(WBS_CBS!$M$5:$M$16,MATCH($D90,WBS_CBS!$A$5:$A$16,0)),"Yes"))</f>
        <v/>
      </c>
      <c r="V90" s="150">
        <f>IF($D90="","",IFERROR(INDEX(WBS_CBS!$N$5:$N$16,MATCH($D90,WBS_CBS!$A$5:$A$16,0)),"Yes"))</f>
        <v/>
      </c>
      <c r="W90" s="150">
        <f>IF($D90="","",IFERROR(INDEX(WBS_CBS!$K$5:$K$16,MATCH($D90,WBS_CBS!$A$5:$A$16,0)),""))</f>
        <v/>
      </c>
      <c r="X90" s="150">
        <f>IF($D90="","",IFERROR(INDEX(WBS_CBS!$F$5:$F$16,MATCH($D90,WBS_CBS!$A$5:$A$16,0)),""))</f>
        <v/>
      </c>
      <c r="Y90" s="149" t="n"/>
      <c r="Z90" s="149" t="n"/>
      <c r="AA90" s="150">
        <f>IF($D90="","",IFERROR(INDEX(WBS_CBS!$L$5:$L$16,MATCH($D90,WBS_CBS!$A$5:$A$16,0)),""))</f>
        <v/>
      </c>
      <c r="AB90" s="149" t="n"/>
    </row>
    <row r="91">
      <c r="A91" s="149" t="n"/>
      <c r="B91" s="149" t="n"/>
      <c r="C91" s="150">
        <f>IF($D91="","",IFERROR(INDEX(WBS_CBS!$E$5:$E$16,MATCH($D91,WBS_CBS!$A$5:$A$16,0)),""))</f>
        <v/>
      </c>
      <c r="D91" s="149" t="n"/>
      <c r="E91" s="150">
        <f>IF($D91="","",IFERROR(INDEX(WBS_CBS!$C$5:$C$16,MATCH($D91,WBS_CBS!$A$5:$A$16,0)),""))</f>
        <v/>
      </c>
      <c r="F91" s="150">
        <f>IF($D91="","",IFERROR(INDEX(WBS_CBS!$J$5:$J$16,MATCH($D91,WBS_CBS!$A$5:$A$16,0)),""))</f>
        <v/>
      </c>
      <c r="G91" s="149" t="n"/>
      <c r="H91" s="151" t="n"/>
      <c r="I91" s="149" t="n"/>
      <c r="J91" s="152" t="n"/>
      <c r="K91" s="149" t="n"/>
      <c r="L91" s="153">
        <f>IF($K91="","",IFERROR(INDEX(FX_Rates!$B$5:$B$14,MATCH($K91,FX_Rates!$A$5:$A$14,0)),""))</f>
        <v/>
      </c>
      <c r="M91" s="153">
        <f>IF(OR($H91="",$J91=""),"",$H91*$J91)</f>
        <v/>
      </c>
      <c r="N91" s="153">
        <f>IF(OR($M91="",$L91=""),"",$M91*$L91)</f>
        <v/>
      </c>
      <c r="O91" s="149" t="n"/>
      <c r="P91" s="154">
        <f>IF($O91="","",IFERROR(INDEX(Basis_of_Estimate!$C$5:$C$9,MATCH($O91,Basis_of_Estimate!$A$5:$A$9,0)),""))</f>
        <v/>
      </c>
      <c r="Q91" s="154">
        <f>IF($O91="","",IFERROR(INDEX(Basis_of_Estimate!$D$5:$D$9,MATCH($O91,Basis_of_Estimate!$A$5:$A$9,0)),""))</f>
        <v/>
      </c>
      <c r="R91" s="153">
        <f>IF($N91="","",$N91*(1+$P91))</f>
        <v/>
      </c>
      <c r="S91" s="153">
        <f>IF($N91="","",$N91)</f>
        <v/>
      </c>
      <c r="T91" s="153">
        <f>IF($N91="","",$N91*(1+$Q91))</f>
        <v/>
      </c>
      <c r="U91" s="150">
        <f>IF($D91="","",IFERROR(INDEX(WBS_CBS!$M$5:$M$16,MATCH($D91,WBS_CBS!$A$5:$A$16,0)),"Yes"))</f>
        <v/>
      </c>
      <c r="V91" s="150">
        <f>IF($D91="","",IFERROR(INDEX(WBS_CBS!$N$5:$N$16,MATCH($D91,WBS_CBS!$A$5:$A$16,0)),"Yes"))</f>
        <v/>
      </c>
      <c r="W91" s="150">
        <f>IF($D91="","",IFERROR(INDEX(WBS_CBS!$K$5:$K$16,MATCH($D91,WBS_CBS!$A$5:$A$16,0)),""))</f>
        <v/>
      </c>
      <c r="X91" s="150">
        <f>IF($D91="","",IFERROR(INDEX(WBS_CBS!$F$5:$F$16,MATCH($D91,WBS_CBS!$A$5:$A$16,0)),""))</f>
        <v/>
      </c>
      <c r="Y91" s="149" t="n"/>
      <c r="Z91" s="149" t="n"/>
      <c r="AA91" s="150">
        <f>IF($D91="","",IFERROR(INDEX(WBS_CBS!$L$5:$L$16,MATCH($D91,WBS_CBS!$A$5:$A$16,0)),""))</f>
        <v/>
      </c>
      <c r="AB91" s="149" t="n"/>
    </row>
    <row r="92">
      <c r="A92" s="149" t="n"/>
      <c r="B92" s="149" t="n"/>
      <c r="C92" s="150">
        <f>IF($D92="","",IFERROR(INDEX(WBS_CBS!$E$5:$E$16,MATCH($D92,WBS_CBS!$A$5:$A$16,0)),""))</f>
        <v/>
      </c>
      <c r="D92" s="149" t="n"/>
      <c r="E92" s="150">
        <f>IF($D92="","",IFERROR(INDEX(WBS_CBS!$C$5:$C$16,MATCH($D92,WBS_CBS!$A$5:$A$16,0)),""))</f>
        <v/>
      </c>
      <c r="F92" s="150">
        <f>IF($D92="","",IFERROR(INDEX(WBS_CBS!$J$5:$J$16,MATCH($D92,WBS_CBS!$A$5:$A$16,0)),""))</f>
        <v/>
      </c>
      <c r="G92" s="149" t="n"/>
      <c r="H92" s="151" t="n"/>
      <c r="I92" s="149" t="n"/>
      <c r="J92" s="152" t="n"/>
      <c r="K92" s="149" t="n"/>
      <c r="L92" s="153">
        <f>IF($K92="","",IFERROR(INDEX(FX_Rates!$B$5:$B$14,MATCH($K92,FX_Rates!$A$5:$A$14,0)),""))</f>
        <v/>
      </c>
      <c r="M92" s="153">
        <f>IF(OR($H92="",$J92=""),"",$H92*$J92)</f>
        <v/>
      </c>
      <c r="N92" s="153">
        <f>IF(OR($M92="",$L92=""),"",$M92*$L92)</f>
        <v/>
      </c>
      <c r="O92" s="149" t="n"/>
      <c r="P92" s="154">
        <f>IF($O92="","",IFERROR(INDEX(Basis_of_Estimate!$C$5:$C$9,MATCH($O92,Basis_of_Estimate!$A$5:$A$9,0)),""))</f>
        <v/>
      </c>
      <c r="Q92" s="154">
        <f>IF($O92="","",IFERROR(INDEX(Basis_of_Estimate!$D$5:$D$9,MATCH($O92,Basis_of_Estimate!$A$5:$A$9,0)),""))</f>
        <v/>
      </c>
      <c r="R92" s="153">
        <f>IF($N92="","",$N92*(1+$P92))</f>
        <v/>
      </c>
      <c r="S92" s="153">
        <f>IF($N92="","",$N92)</f>
        <v/>
      </c>
      <c r="T92" s="153">
        <f>IF($N92="","",$N92*(1+$Q92))</f>
        <v/>
      </c>
      <c r="U92" s="150">
        <f>IF($D92="","",IFERROR(INDEX(WBS_CBS!$M$5:$M$16,MATCH($D92,WBS_CBS!$A$5:$A$16,0)),"Yes"))</f>
        <v/>
      </c>
      <c r="V92" s="150">
        <f>IF($D92="","",IFERROR(INDEX(WBS_CBS!$N$5:$N$16,MATCH($D92,WBS_CBS!$A$5:$A$16,0)),"Yes"))</f>
        <v/>
      </c>
      <c r="W92" s="150">
        <f>IF($D92="","",IFERROR(INDEX(WBS_CBS!$K$5:$K$16,MATCH($D92,WBS_CBS!$A$5:$A$16,0)),""))</f>
        <v/>
      </c>
      <c r="X92" s="150">
        <f>IF($D92="","",IFERROR(INDEX(WBS_CBS!$F$5:$F$16,MATCH($D92,WBS_CBS!$A$5:$A$16,0)),""))</f>
        <v/>
      </c>
      <c r="Y92" s="149" t="n"/>
      <c r="Z92" s="149" t="n"/>
      <c r="AA92" s="150">
        <f>IF($D92="","",IFERROR(INDEX(WBS_CBS!$L$5:$L$16,MATCH($D92,WBS_CBS!$A$5:$A$16,0)),""))</f>
        <v/>
      </c>
      <c r="AB92" s="149" t="n"/>
    </row>
    <row r="93">
      <c r="A93" s="149" t="n"/>
      <c r="B93" s="149" t="n"/>
      <c r="C93" s="150">
        <f>IF($D93="","",IFERROR(INDEX(WBS_CBS!$E$5:$E$16,MATCH($D93,WBS_CBS!$A$5:$A$16,0)),""))</f>
        <v/>
      </c>
      <c r="D93" s="149" t="n"/>
      <c r="E93" s="150">
        <f>IF($D93="","",IFERROR(INDEX(WBS_CBS!$C$5:$C$16,MATCH($D93,WBS_CBS!$A$5:$A$16,0)),""))</f>
        <v/>
      </c>
      <c r="F93" s="150">
        <f>IF($D93="","",IFERROR(INDEX(WBS_CBS!$J$5:$J$16,MATCH($D93,WBS_CBS!$A$5:$A$16,0)),""))</f>
        <v/>
      </c>
      <c r="G93" s="149" t="n"/>
      <c r="H93" s="151" t="n"/>
      <c r="I93" s="149" t="n"/>
      <c r="J93" s="152" t="n"/>
      <c r="K93" s="149" t="n"/>
      <c r="L93" s="153">
        <f>IF($K93="","",IFERROR(INDEX(FX_Rates!$B$5:$B$14,MATCH($K93,FX_Rates!$A$5:$A$14,0)),""))</f>
        <v/>
      </c>
      <c r="M93" s="153">
        <f>IF(OR($H93="",$J93=""),"",$H93*$J93)</f>
        <v/>
      </c>
      <c r="N93" s="153">
        <f>IF(OR($M93="",$L93=""),"",$M93*$L93)</f>
        <v/>
      </c>
      <c r="O93" s="149" t="n"/>
      <c r="P93" s="154">
        <f>IF($O93="","",IFERROR(INDEX(Basis_of_Estimate!$C$5:$C$9,MATCH($O93,Basis_of_Estimate!$A$5:$A$9,0)),""))</f>
        <v/>
      </c>
      <c r="Q93" s="154">
        <f>IF($O93="","",IFERROR(INDEX(Basis_of_Estimate!$D$5:$D$9,MATCH($O93,Basis_of_Estimate!$A$5:$A$9,0)),""))</f>
        <v/>
      </c>
      <c r="R93" s="153">
        <f>IF($N93="","",$N93*(1+$P93))</f>
        <v/>
      </c>
      <c r="S93" s="153">
        <f>IF($N93="","",$N93)</f>
        <v/>
      </c>
      <c r="T93" s="153">
        <f>IF($N93="","",$N93*(1+$Q93))</f>
        <v/>
      </c>
      <c r="U93" s="150">
        <f>IF($D93="","",IFERROR(INDEX(WBS_CBS!$M$5:$M$16,MATCH($D93,WBS_CBS!$A$5:$A$16,0)),"Yes"))</f>
        <v/>
      </c>
      <c r="V93" s="150">
        <f>IF($D93="","",IFERROR(INDEX(WBS_CBS!$N$5:$N$16,MATCH($D93,WBS_CBS!$A$5:$A$16,0)),"Yes"))</f>
        <v/>
      </c>
      <c r="W93" s="150">
        <f>IF($D93="","",IFERROR(INDEX(WBS_CBS!$K$5:$K$16,MATCH($D93,WBS_CBS!$A$5:$A$16,0)),""))</f>
        <v/>
      </c>
      <c r="X93" s="150">
        <f>IF($D93="","",IFERROR(INDEX(WBS_CBS!$F$5:$F$16,MATCH($D93,WBS_CBS!$A$5:$A$16,0)),""))</f>
        <v/>
      </c>
      <c r="Y93" s="149" t="n"/>
      <c r="Z93" s="149" t="n"/>
      <c r="AA93" s="150">
        <f>IF($D93="","",IFERROR(INDEX(WBS_CBS!$L$5:$L$16,MATCH($D93,WBS_CBS!$A$5:$A$16,0)),""))</f>
        <v/>
      </c>
      <c r="AB93" s="149" t="n"/>
    </row>
    <row r="94">
      <c r="A94" s="149" t="n"/>
      <c r="B94" s="149" t="n"/>
      <c r="C94" s="150">
        <f>IF($D94="","",IFERROR(INDEX(WBS_CBS!$E$5:$E$16,MATCH($D94,WBS_CBS!$A$5:$A$16,0)),""))</f>
        <v/>
      </c>
      <c r="D94" s="149" t="n"/>
      <c r="E94" s="150">
        <f>IF($D94="","",IFERROR(INDEX(WBS_CBS!$C$5:$C$16,MATCH($D94,WBS_CBS!$A$5:$A$16,0)),""))</f>
        <v/>
      </c>
      <c r="F94" s="150">
        <f>IF($D94="","",IFERROR(INDEX(WBS_CBS!$J$5:$J$16,MATCH($D94,WBS_CBS!$A$5:$A$16,0)),""))</f>
        <v/>
      </c>
      <c r="G94" s="149" t="n"/>
      <c r="H94" s="151" t="n"/>
      <c r="I94" s="149" t="n"/>
      <c r="J94" s="152" t="n"/>
      <c r="K94" s="149" t="n"/>
      <c r="L94" s="153">
        <f>IF($K94="","",IFERROR(INDEX(FX_Rates!$B$5:$B$14,MATCH($K94,FX_Rates!$A$5:$A$14,0)),""))</f>
        <v/>
      </c>
      <c r="M94" s="153">
        <f>IF(OR($H94="",$J94=""),"",$H94*$J94)</f>
        <v/>
      </c>
      <c r="N94" s="153">
        <f>IF(OR($M94="",$L94=""),"",$M94*$L94)</f>
        <v/>
      </c>
      <c r="O94" s="149" t="n"/>
      <c r="P94" s="154">
        <f>IF($O94="","",IFERROR(INDEX(Basis_of_Estimate!$C$5:$C$9,MATCH($O94,Basis_of_Estimate!$A$5:$A$9,0)),""))</f>
        <v/>
      </c>
      <c r="Q94" s="154">
        <f>IF($O94="","",IFERROR(INDEX(Basis_of_Estimate!$D$5:$D$9,MATCH($O94,Basis_of_Estimate!$A$5:$A$9,0)),""))</f>
        <v/>
      </c>
      <c r="R94" s="153">
        <f>IF($N94="","",$N94*(1+$P94))</f>
        <v/>
      </c>
      <c r="S94" s="153">
        <f>IF($N94="","",$N94)</f>
        <v/>
      </c>
      <c r="T94" s="153">
        <f>IF($N94="","",$N94*(1+$Q94))</f>
        <v/>
      </c>
      <c r="U94" s="150">
        <f>IF($D94="","",IFERROR(INDEX(WBS_CBS!$M$5:$M$16,MATCH($D94,WBS_CBS!$A$5:$A$16,0)),"Yes"))</f>
        <v/>
      </c>
      <c r="V94" s="150">
        <f>IF($D94="","",IFERROR(INDEX(WBS_CBS!$N$5:$N$16,MATCH($D94,WBS_CBS!$A$5:$A$16,0)),"Yes"))</f>
        <v/>
      </c>
      <c r="W94" s="150">
        <f>IF($D94="","",IFERROR(INDEX(WBS_CBS!$K$5:$K$16,MATCH($D94,WBS_CBS!$A$5:$A$16,0)),""))</f>
        <v/>
      </c>
      <c r="X94" s="150">
        <f>IF($D94="","",IFERROR(INDEX(WBS_CBS!$F$5:$F$16,MATCH($D94,WBS_CBS!$A$5:$A$16,0)),""))</f>
        <v/>
      </c>
      <c r="Y94" s="149" t="n"/>
      <c r="Z94" s="149" t="n"/>
      <c r="AA94" s="150">
        <f>IF($D94="","",IFERROR(INDEX(WBS_CBS!$L$5:$L$16,MATCH($D94,WBS_CBS!$A$5:$A$16,0)),""))</f>
        <v/>
      </c>
      <c r="AB94" s="149" t="n"/>
    </row>
    <row r="95">
      <c r="A95" s="149" t="n"/>
      <c r="B95" s="149" t="n"/>
      <c r="C95" s="150">
        <f>IF($D95="","",IFERROR(INDEX(WBS_CBS!$E$5:$E$16,MATCH($D95,WBS_CBS!$A$5:$A$16,0)),""))</f>
        <v/>
      </c>
      <c r="D95" s="149" t="n"/>
      <c r="E95" s="150">
        <f>IF($D95="","",IFERROR(INDEX(WBS_CBS!$C$5:$C$16,MATCH($D95,WBS_CBS!$A$5:$A$16,0)),""))</f>
        <v/>
      </c>
      <c r="F95" s="150">
        <f>IF($D95="","",IFERROR(INDEX(WBS_CBS!$J$5:$J$16,MATCH($D95,WBS_CBS!$A$5:$A$16,0)),""))</f>
        <v/>
      </c>
      <c r="G95" s="149" t="n"/>
      <c r="H95" s="151" t="n"/>
      <c r="I95" s="149" t="n"/>
      <c r="J95" s="152" t="n"/>
      <c r="K95" s="149" t="n"/>
      <c r="L95" s="153">
        <f>IF($K95="","",IFERROR(INDEX(FX_Rates!$B$5:$B$14,MATCH($K95,FX_Rates!$A$5:$A$14,0)),""))</f>
        <v/>
      </c>
      <c r="M95" s="153">
        <f>IF(OR($H95="",$J95=""),"",$H95*$J95)</f>
        <v/>
      </c>
      <c r="N95" s="153">
        <f>IF(OR($M95="",$L95=""),"",$M95*$L95)</f>
        <v/>
      </c>
      <c r="O95" s="149" t="n"/>
      <c r="P95" s="154">
        <f>IF($O95="","",IFERROR(INDEX(Basis_of_Estimate!$C$5:$C$9,MATCH($O95,Basis_of_Estimate!$A$5:$A$9,0)),""))</f>
        <v/>
      </c>
      <c r="Q95" s="154">
        <f>IF($O95="","",IFERROR(INDEX(Basis_of_Estimate!$D$5:$D$9,MATCH($O95,Basis_of_Estimate!$A$5:$A$9,0)),""))</f>
        <v/>
      </c>
      <c r="R95" s="153">
        <f>IF($N95="","",$N95*(1+$P95))</f>
        <v/>
      </c>
      <c r="S95" s="153">
        <f>IF($N95="","",$N95)</f>
        <v/>
      </c>
      <c r="T95" s="153">
        <f>IF($N95="","",$N95*(1+$Q95))</f>
        <v/>
      </c>
      <c r="U95" s="150">
        <f>IF($D95="","",IFERROR(INDEX(WBS_CBS!$M$5:$M$16,MATCH($D95,WBS_CBS!$A$5:$A$16,0)),"Yes"))</f>
        <v/>
      </c>
      <c r="V95" s="150">
        <f>IF($D95="","",IFERROR(INDEX(WBS_CBS!$N$5:$N$16,MATCH($D95,WBS_CBS!$A$5:$A$16,0)),"Yes"))</f>
        <v/>
      </c>
      <c r="W95" s="150">
        <f>IF($D95="","",IFERROR(INDEX(WBS_CBS!$K$5:$K$16,MATCH($D95,WBS_CBS!$A$5:$A$16,0)),""))</f>
        <v/>
      </c>
      <c r="X95" s="150">
        <f>IF($D95="","",IFERROR(INDEX(WBS_CBS!$F$5:$F$16,MATCH($D95,WBS_CBS!$A$5:$A$16,0)),""))</f>
        <v/>
      </c>
      <c r="Y95" s="149" t="n"/>
      <c r="Z95" s="149" t="n"/>
      <c r="AA95" s="150">
        <f>IF($D95="","",IFERROR(INDEX(WBS_CBS!$L$5:$L$16,MATCH($D95,WBS_CBS!$A$5:$A$16,0)),""))</f>
        <v/>
      </c>
      <c r="AB95" s="149" t="n"/>
    </row>
    <row r="96">
      <c r="A96" s="149" t="n"/>
      <c r="B96" s="149" t="n"/>
      <c r="C96" s="150">
        <f>IF($D96="","",IFERROR(INDEX(WBS_CBS!$E$5:$E$16,MATCH($D96,WBS_CBS!$A$5:$A$16,0)),""))</f>
        <v/>
      </c>
      <c r="D96" s="149" t="n"/>
      <c r="E96" s="150">
        <f>IF($D96="","",IFERROR(INDEX(WBS_CBS!$C$5:$C$16,MATCH($D96,WBS_CBS!$A$5:$A$16,0)),""))</f>
        <v/>
      </c>
      <c r="F96" s="150">
        <f>IF($D96="","",IFERROR(INDEX(WBS_CBS!$J$5:$J$16,MATCH($D96,WBS_CBS!$A$5:$A$16,0)),""))</f>
        <v/>
      </c>
      <c r="G96" s="149" t="n"/>
      <c r="H96" s="151" t="n"/>
      <c r="I96" s="149" t="n"/>
      <c r="J96" s="152" t="n"/>
      <c r="K96" s="149" t="n"/>
      <c r="L96" s="153">
        <f>IF($K96="","",IFERROR(INDEX(FX_Rates!$B$5:$B$14,MATCH($K96,FX_Rates!$A$5:$A$14,0)),""))</f>
        <v/>
      </c>
      <c r="M96" s="153">
        <f>IF(OR($H96="",$J96=""),"",$H96*$J96)</f>
        <v/>
      </c>
      <c r="N96" s="153">
        <f>IF(OR($M96="",$L96=""),"",$M96*$L96)</f>
        <v/>
      </c>
      <c r="O96" s="149" t="n"/>
      <c r="P96" s="154">
        <f>IF($O96="","",IFERROR(INDEX(Basis_of_Estimate!$C$5:$C$9,MATCH($O96,Basis_of_Estimate!$A$5:$A$9,0)),""))</f>
        <v/>
      </c>
      <c r="Q96" s="154">
        <f>IF($O96="","",IFERROR(INDEX(Basis_of_Estimate!$D$5:$D$9,MATCH($O96,Basis_of_Estimate!$A$5:$A$9,0)),""))</f>
        <v/>
      </c>
      <c r="R96" s="153">
        <f>IF($N96="","",$N96*(1+$P96))</f>
        <v/>
      </c>
      <c r="S96" s="153">
        <f>IF($N96="","",$N96)</f>
        <v/>
      </c>
      <c r="T96" s="153">
        <f>IF($N96="","",$N96*(1+$Q96))</f>
        <v/>
      </c>
      <c r="U96" s="150">
        <f>IF($D96="","",IFERROR(INDEX(WBS_CBS!$M$5:$M$16,MATCH($D96,WBS_CBS!$A$5:$A$16,0)),"Yes"))</f>
        <v/>
      </c>
      <c r="V96" s="150">
        <f>IF($D96="","",IFERROR(INDEX(WBS_CBS!$N$5:$N$16,MATCH($D96,WBS_CBS!$A$5:$A$16,0)),"Yes"))</f>
        <v/>
      </c>
      <c r="W96" s="150">
        <f>IF($D96="","",IFERROR(INDEX(WBS_CBS!$K$5:$K$16,MATCH($D96,WBS_CBS!$A$5:$A$16,0)),""))</f>
        <v/>
      </c>
      <c r="X96" s="150">
        <f>IF($D96="","",IFERROR(INDEX(WBS_CBS!$F$5:$F$16,MATCH($D96,WBS_CBS!$A$5:$A$16,0)),""))</f>
        <v/>
      </c>
      <c r="Y96" s="149" t="n"/>
      <c r="Z96" s="149" t="n"/>
      <c r="AA96" s="150">
        <f>IF($D96="","",IFERROR(INDEX(WBS_CBS!$L$5:$L$16,MATCH($D96,WBS_CBS!$A$5:$A$16,0)),""))</f>
        <v/>
      </c>
      <c r="AB96" s="149" t="n"/>
    </row>
    <row r="97">
      <c r="A97" s="149" t="n"/>
      <c r="B97" s="149" t="n"/>
      <c r="C97" s="150">
        <f>IF($D97="","",IFERROR(INDEX(WBS_CBS!$E$5:$E$16,MATCH($D97,WBS_CBS!$A$5:$A$16,0)),""))</f>
        <v/>
      </c>
      <c r="D97" s="149" t="n"/>
      <c r="E97" s="150">
        <f>IF($D97="","",IFERROR(INDEX(WBS_CBS!$C$5:$C$16,MATCH($D97,WBS_CBS!$A$5:$A$16,0)),""))</f>
        <v/>
      </c>
      <c r="F97" s="150">
        <f>IF($D97="","",IFERROR(INDEX(WBS_CBS!$J$5:$J$16,MATCH($D97,WBS_CBS!$A$5:$A$16,0)),""))</f>
        <v/>
      </c>
      <c r="G97" s="149" t="n"/>
      <c r="H97" s="151" t="n"/>
      <c r="I97" s="149" t="n"/>
      <c r="J97" s="152" t="n"/>
      <c r="K97" s="149" t="n"/>
      <c r="L97" s="153">
        <f>IF($K97="","",IFERROR(INDEX(FX_Rates!$B$5:$B$14,MATCH($K97,FX_Rates!$A$5:$A$14,0)),""))</f>
        <v/>
      </c>
      <c r="M97" s="153">
        <f>IF(OR($H97="",$J97=""),"",$H97*$J97)</f>
        <v/>
      </c>
      <c r="N97" s="153">
        <f>IF(OR($M97="",$L97=""),"",$M97*$L97)</f>
        <v/>
      </c>
      <c r="O97" s="149" t="n"/>
      <c r="P97" s="154">
        <f>IF($O97="","",IFERROR(INDEX(Basis_of_Estimate!$C$5:$C$9,MATCH($O97,Basis_of_Estimate!$A$5:$A$9,0)),""))</f>
        <v/>
      </c>
      <c r="Q97" s="154">
        <f>IF($O97="","",IFERROR(INDEX(Basis_of_Estimate!$D$5:$D$9,MATCH($O97,Basis_of_Estimate!$A$5:$A$9,0)),""))</f>
        <v/>
      </c>
      <c r="R97" s="153">
        <f>IF($N97="","",$N97*(1+$P97))</f>
        <v/>
      </c>
      <c r="S97" s="153">
        <f>IF($N97="","",$N97)</f>
        <v/>
      </c>
      <c r="T97" s="153">
        <f>IF($N97="","",$N97*(1+$Q97))</f>
        <v/>
      </c>
      <c r="U97" s="150">
        <f>IF($D97="","",IFERROR(INDEX(WBS_CBS!$M$5:$M$16,MATCH($D97,WBS_CBS!$A$5:$A$16,0)),"Yes"))</f>
        <v/>
      </c>
      <c r="V97" s="150">
        <f>IF($D97="","",IFERROR(INDEX(WBS_CBS!$N$5:$N$16,MATCH($D97,WBS_CBS!$A$5:$A$16,0)),"Yes"))</f>
        <v/>
      </c>
      <c r="W97" s="150">
        <f>IF($D97="","",IFERROR(INDEX(WBS_CBS!$K$5:$K$16,MATCH($D97,WBS_CBS!$A$5:$A$16,0)),""))</f>
        <v/>
      </c>
      <c r="X97" s="150">
        <f>IF($D97="","",IFERROR(INDEX(WBS_CBS!$F$5:$F$16,MATCH($D97,WBS_CBS!$A$5:$A$16,0)),""))</f>
        <v/>
      </c>
      <c r="Y97" s="149" t="n"/>
      <c r="Z97" s="149" t="n"/>
      <c r="AA97" s="150">
        <f>IF($D97="","",IFERROR(INDEX(WBS_CBS!$L$5:$L$16,MATCH($D97,WBS_CBS!$A$5:$A$16,0)),""))</f>
        <v/>
      </c>
      <c r="AB97" s="149" t="n"/>
    </row>
    <row r="98">
      <c r="A98" s="149" t="n"/>
      <c r="B98" s="149" t="n"/>
      <c r="C98" s="150">
        <f>IF($D98="","",IFERROR(INDEX(WBS_CBS!$E$5:$E$16,MATCH($D98,WBS_CBS!$A$5:$A$16,0)),""))</f>
        <v/>
      </c>
      <c r="D98" s="149" t="n"/>
      <c r="E98" s="150">
        <f>IF($D98="","",IFERROR(INDEX(WBS_CBS!$C$5:$C$16,MATCH($D98,WBS_CBS!$A$5:$A$16,0)),""))</f>
        <v/>
      </c>
      <c r="F98" s="150">
        <f>IF($D98="","",IFERROR(INDEX(WBS_CBS!$J$5:$J$16,MATCH($D98,WBS_CBS!$A$5:$A$16,0)),""))</f>
        <v/>
      </c>
      <c r="G98" s="149" t="n"/>
      <c r="H98" s="151" t="n"/>
      <c r="I98" s="149" t="n"/>
      <c r="J98" s="152" t="n"/>
      <c r="K98" s="149" t="n"/>
      <c r="L98" s="153">
        <f>IF($K98="","",IFERROR(INDEX(FX_Rates!$B$5:$B$14,MATCH($K98,FX_Rates!$A$5:$A$14,0)),""))</f>
        <v/>
      </c>
      <c r="M98" s="153">
        <f>IF(OR($H98="",$J98=""),"",$H98*$J98)</f>
        <v/>
      </c>
      <c r="N98" s="153">
        <f>IF(OR($M98="",$L98=""),"",$M98*$L98)</f>
        <v/>
      </c>
      <c r="O98" s="149" t="n"/>
      <c r="P98" s="154">
        <f>IF($O98="","",IFERROR(INDEX(Basis_of_Estimate!$C$5:$C$9,MATCH($O98,Basis_of_Estimate!$A$5:$A$9,0)),""))</f>
        <v/>
      </c>
      <c r="Q98" s="154">
        <f>IF($O98="","",IFERROR(INDEX(Basis_of_Estimate!$D$5:$D$9,MATCH($O98,Basis_of_Estimate!$A$5:$A$9,0)),""))</f>
        <v/>
      </c>
      <c r="R98" s="153">
        <f>IF($N98="","",$N98*(1+$P98))</f>
        <v/>
      </c>
      <c r="S98" s="153">
        <f>IF($N98="","",$N98)</f>
        <v/>
      </c>
      <c r="T98" s="153">
        <f>IF($N98="","",$N98*(1+$Q98))</f>
        <v/>
      </c>
      <c r="U98" s="150">
        <f>IF($D98="","",IFERROR(INDEX(WBS_CBS!$M$5:$M$16,MATCH($D98,WBS_CBS!$A$5:$A$16,0)),"Yes"))</f>
        <v/>
      </c>
      <c r="V98" s="150">
        <f>IF($D98="","",IFERROR(INDEX(WBS_CBS!$N$5:$N$16,MATCH($D98,WBS_CBS!$A$5:$A$16,0)),"Yes"))</f>
        <v/>
      </c>
      <c r="W98" s="150">
        <f>IF($D98="","",IFERROR(INDEX(WBS_CBS!$K$5:$K$16,MATCH($D98,WBS_CBS!$A$5:$A$16,0)),""))</f>
        <v/>
      </c>
      <c r="X98" s="150">
        <f>IF($D98="","",IFERROR(INDEX(WBS_CBS!$F$5:$F$16,MATCH($D98,WBS_CBS!$A$5:$A$16,0)),""))</f>
        <v/>
      </c>
      <c r="Y98" s="149" t="n"/>
      <c r="Z98" s="149" t="n"/>
      <c r="AA98" s="150">
        <f>IF($D98="","",IFERROR(INDEX(WBS_CBS!$L$5:$L$16,MATCH($D98,WBS_CBS!$A$5:$A$16,0)),""))</f>
        <v/>
      </c>
      <c r="AB98" s="149" t="n"/>
    </row>
    <row r="99">
      <c r="A99" s="149" t="n"/>
      <c r="B99" s="149" t="n"/>
      <c r="C99" s="150">
        <f>IF($D99="","",IFERROR(INDEX(WBS_CBS!$E$5:$E$16,MATCH($D99,WBS_CBS!$A$5:$A$16,0)),""))</f>
        <v/>
      </c>
      <c r="D99" s="149" t="n"/>
      <c r="E99" s="150">
        <f>IF($D99="","",IFERROR(INDEX(WBS_CBS!$C$5:$C$16,MATCH($D99,WBS_CBS!$A$5:$A$16,0)),""))</f>
        <v/>
      </c>
      <c r="F99" s="150">
        <f>IF($D99="","",IFERROR(INDEX(WBS_CBS!$J$5:$J$16,MATCH($D99,WBS_CBS!$A$5:$A$16,0)),""))</f>
        <v/>
      </c>
      <c r="G99" s="149" t="n"/>
      <c r="H99" s="151" t="n"/>
      <c r="I99" s="149" t="n"/>
      <c r="J99" s="152" t="n"/>
      <c r="K99" s="149" t="n"/>
      <c r="L99" s="153">
        <f>IF($K99="","",IFERROR(INDEX(FX_Rates!$B$5:$B$14,MATCH($K99,FX_Rates!$A$5:$A$14,0)),""))</f>
        <v/>
      </c>
      <c r="M99" s="153">
        <f>IF(OR($H99="",$J99=""),"",$H99*$J99)</f>
        <v/>
      </c>
      <c r="N99" s="153">
        <f>IF(OR($M99="",$L99=""),"",$M99*$L99)</f>
        <v/>
      </c>
      <c r="O99" s="149" t="n"/>
      <c r="P99" s="154">
        <f>IF($O99="","",IFERROR(INDEX(Basis_of_Estimate!$C$5:$C$9,MATCH($O99,Basis_of_Estimate!$A$5:$A$9,0)),""))</f>
        <v/>
      </c>
      <c r="Q99" s="154">
        <f>IF($O99="","",IFERROR(INDEX(Basis_of_Estimate!$D$5:$D$9,MATCH($O99,Basis_of_Estimate!$A$5:$A$9,0)),""))</f>
        <v/>
      </c>
      <c r="R99" s="153">
        <f>IF($N99="","",$N99*(1+$P99))</f>
        <v/>
      </c>
      <c r="S99" s="153">
        <f>IF($N99="","",$N99)</f>
        <v/>
      </c>
      <c r="T99" s="153">
        <f>IF($N99="","",$N99*(1+$Q99))</f>
        <v/>
      </c>
      <c r="U99" s="150">
        <f>IF($D99="","",IFERROR(INDEX(WBS_CBS!$M$5:$M$16,MATCH($D99,WBS_CBS!$A$5:$A$16,0)),"Yes"))</f>
        <v/>
      </c>
      <c r="V99" s="150">
        <f>IF($D99="","",IFERROR(INDEX(WBS_CBS!$N$5:$N$16,MATCH($D99,WBS_CBS!$A$5:$A$16,0)),"Yes"))</f>
        <v/>
      </c>
      <c r="W99" s="150">
        <f>IF($D99="","",IFERROR(INDEX(WBS_CBS!$K$5:$K$16,MATCH($D99,WBS_CBS!$A$5:$A$16,0)),""))</f>
        <v/>
      </c>
      <c r="X99" s="150">
        <f>IF($D99="","",IFERROR(INDEX(WBS_CBS!$F$5:$F$16,MATCH($D99,WBS_CBS!$A$5:$A$16,0)),""))</f>
        <v/>
      </c>
      <c r="Y99" s="149" t="n"/>
      <c r="Z99" s="149" t="n"/>
      <c r="AA99" s="150">
        <f>IF($D99="","",IFERROR(INDEX(WBS_CBS!$L$5:$L$16,MATCH($D99,WBS_CBS!$A$5:$A$16,0)),""))</f>
        <v/>
      </c>
      <c r="AB99" s="149" t="n"/>
    </row>
    <row r="100">
      <c r="A100" s="149" t="n"/>
      <c r="B100" s="149" t="n"/>
      <c r="C100" s="150">
        <f>IF($D100="","",IFERROR(INDEX(WBS_CBS!$E$5:$E$16,MATCH($D100,WBS_CBS!$A$5:$A$16,0)),""))</f>
        <v/>
      </c>
      <c r="D100" s="149" t="n"/>
      <c r="E100" s="150">
        <f>IF($D100="","",IFERROR(INDEX(WBS_CBS!$C$5:$C$16,MATCH($D100,WBS_CBS!$A$5:$A$16,0)),""))</f>
        <v/>
      </c>
      <c r="F100" s="150">
        <f>IF($D100="","",IFERROR(INDEX(WBS_CBS!$J$5:$J$16,MATCH($D100,WBS_CBS!$A$5:$A$16,0)),""))</f>
        <v/>
      </c>
      <c r="G100" s="149" t="n"/>
      <c r="H100" s="151" t="n"/>
      <c r="I100" s="149" t="n"/>
      <c r="J100" s="152" t="n"/>
      <c r="K100" s="149" t="n"/>
      <c r="L100" s="153">
        <f>IF($K100="","",IFERROR(INDEX(FX_Rates!$B$5:$B$14,MATCH($K100,FX_Rates!$A$5:$A$14,0)),""))</f>
        <v/>
      </c>
      <c r="M100" s="153">
        <f>IF(OR($H100="",$J100=""),"",$H100*$J100)</f>
        <v/>
      </c>
      <c r="N100" s="153">
        <f>IF(OR($M100="",$L100=""),"",$M100*$L100)</f>
        <v/>
      </c>
      <c r="O100" s="149" t="n"/>
      <c r="P100" s="154">
        <f>IF($O100="","",IFERROR(INDEX(Basis_of_Estimate!$C$5:$C$9,MATCH($O100,Basis_of_Estimate!$A$5:$A$9,0)),""))</f>
        <v/>
      </c>
      <c r="Q100" s="154">
        <f>IF($O100="","",IFERROR(INDEX(Basis_of_Estimate!$D$5:$D$9,MATCH($O100,Basis_of_Estimate!$A$5:$A$9,0)),""))</f>
        <v/>
      </c>
      <c r="R100" s="153">
        <f>IF($N100="","",$N100*(1+$P100))</f>
        <v/>
      </c>
      <c r="S100" s="153">
        <f>IF($N100="","",$N100)</f>
        <v/>
      </c>
      <c r="T100" s="153">
        <f>IF($N100="","",$N100*(1+$Q100))</f>
        <v/>
      </c>
      <c r="U100" s="150">
        <f>IF($D100="","",IFERROR(INDEX(WBS_CBS!$M$5:$M$16,MATCH($D100,WBS_CBS!$A$5:$A$16,0)),"Yes"))</f>
        <v/>
      </c>
      <c r="V100" s="150">
        <f>IF($D100="","",IFERROR(INDEX(WBS_CBS!$N$5:$N$16,MATCH($D100,WBS_CBS!$A$5:$A$16,0)),"Yes"))</f>
        <v/>
      </c>
      <c r="W100" s="150">
        <f>IF($D100="","",IFERROR(INDEX(WBS_CBS!$K$5:$K$16,MATCH($D100,WBS_CBS!$A$5:$A$16,0)),""))</f>
        <v/>
      </c>
      <c r="X100" s="150">
        <f>IF($D100="","",IFERROR(INDEX(WBS_CBS!$F$5:$F$16,MATCH($D100,WBS_CBS!$A$5:$A$16,0)),""))</f>
        <v/>
      </c>
      <c r="Y100" s="149" t="n"/>
      <c r="Z100" s="149" t="n"/>
      <c r="AA100" s="150">
        <f>IF($D100="","",IFERROR(INDEX(WBS_CBS!$L$5:$L$16,MATCH($D100,WBS_CBS!$A$5:$A$16,0)),""))</f>
        <v/>
      </c>
      <c r="AB100" s="149" t="n"/>
    </row>
    <row r="101">
      <c r="A101" s="149" t="n"/>
      <c r="B101" s="149" t="n"/>
      <c r="C101" s="150">
        <f>IF($D101="","",IFERROR(INDEX(WBS_CBS!$E$5:$E$16,MATCH($D101,WBS_CBS!$A$5:$A$16,0)),""))</f>
        <v/>
      </c>
      <c r="D101" s="149" t="n"/>
      <c r="E101" s="150">
        <f>IF($D101="","",IFERROR(INDEX(WBS_CBS!$C$5:$C$16,MATCH($D101,WBS_CBS!$A$5:$A$16,0)),""))</f>
        <v/>
      </c>
      <c r="F101" s="150">
        <f>IF($D101="","",IFERROR(INDEX(WBS_CBS!$J$5:$J$16,MATCH($D101,WBS_CBS!$A$5:$A$16,0)),""))</f>
        <v/>
      </c>
      <c r="G101" s="149" t="n"/>
      <c r="H101" s="151" t="n"/>
      <c r="I101" s="149" t="n"/>
      <c r="J101" s="152" t="n"/>
      <c r="K101" s="149" t="n"/>
      <c r="L101" s="153">
        <f>IF($K101="","",IFERROR(INDEX(FX_Rates!$B$5:$B$14,MATCH($K101,FX_Rates!$A$5:$A$14,0)),""))</f>
        <v/>
      </c>
      <c r="M101" s="153">
        <f>IF(OR($H101="",$J101=""),"",$H101*$J101)</f>
        <v/>
      </c>
      <c r="N101" s="153">
        <f>IF(OR($M101="",$L101=""),"",$M101*$L101)</f>
        <v/>
      </c>
      <c r="O101" s="149" t="n"/>
      <c r="P101" s="154">
        <f>IF($O101="","",IFERROR(INDEX(Basis_of_Estimate!$C$5:$C$9,MATCH($O101,Basis_of_Estimate!$A$5:$A$9,0)),""))</f>
        <v/>
      </c>
      <c r="Q101" s="154">
        <f>IF($O101="","",IFERROR(INDEX(Basis_of_Estimate!$D$5:$D$9,MATCH($O101,Basis_of_Estimate!$A$5:$A$9,0)),""))</f>
        <v/>
      </c>
      <c r="R101" s="153">
        <f>IF($N101="","",$N101*(1+$P101))</f>
        <v/>
      </c>
      <c r="S101" s="153">
        <f>IF($N101="","",$N101)</f>
        <v/>
      </c>
      <c r="T101" s="153">
        <f>IF($N101="","",$N101*(1+$Q101))</f>
        <v/>
      </c>
      <c r="U101" s="150">
        <f>IF($D101="","",IFERROR(INDEX(WBS_CBS!$M$5:$M$16,MATCH($D101,WBS_CBS!$A$5:$A$16,0)),"Yes"))</f>
        <v/>
      </c>
      <c r="V101" s="150">
        <f>IF($D101="","",IFERROR(INDEX(WBS_CBS!$N$5:$N$16,MATCH($D101,WBS_CBS!$A$5:$A$16,0)),"Yes"))</f>
        <v/>
      </c>
      <c r="W101" s="150">
        <f>IF($D101="","",IFERROR(INDEX(WBS_CBS!$K$5:$K$16,MATCH($D101,WBS_CBS!$A$5:$A$16,0)),""))</f>
        <v/>
      </c>
      <c r="X101" s="150">
        <f>IF($D101="","",IFERROR(INDEX(WBS_CBS!$F$5:$F$16,MATCH($D101,WBS_CBS!$A$5:$A$16,0)),""))</f>
        <v/>
      </c>
      <c r="Y101" s="149" t="n"/>
      <c r="Z101" s="149" t="n"/>
      <c r="AA101" s="150">
        <f>IF($D101="","",IFERROR(INDEX(WBS_CBS!$L$5:$L$16,MATCH($D101,WBS_CBS!$A$5:$A$16,0)),""))</f>
        <v/>
      </c>
      <c r="AB101" s="149" t="n"/>
    </row>
    <row r="102">
      <c r="A102" s="149" t="n"/>
      <c r="B102" s="149" t="n"/>
      <c r="C102" s="150">
        <f>IF($D102="","",IFERROR(INDEX(WBS_CBS!$E$5:$E$16,MATCH($D102,WBS_CBS!$A$5:$A$16,0)),""))</f>
        <v/>
      </c>
      <c r="D102" s="149" t="n"/>
      <c r="E102" s="150">
        <f>IF($D102="","",IFERROR(INDEX(WBS_CBS!$C$5:$C$16,MATCH($D102,WBS_CBS!$A$5:$A$16,0)),""))</f>
        <v/>
      </c>
      <c r="F102" s="150">
        <f>IF($D102="","",IFERROR(INDEX(WBS_CBS!$J$5:$J$16,MATCH($D102,WBS_CBS!$A$5:$A$16,0)),""))</f>
        <v/>
      </c>
      <c r="G102" s="149" t="n"/>
      <c r="H102" s="151" t="n"/>
      <c r="I102" s="149" t="n"/>
      <c r="J102" s="152" t="n"/>
      <c r="K102" s="149" t="n"/>
      <c r="L102" s="153">
        <f>IF($K102="","",IFERROR(INDEX(FX_Rates!$B$5:$B$14,MATCH($K102,FX_Rates!$A$5:$A$14,0)),""))</f>
        <v/>
      </c>
      <c r="M102" s="153">
        <f>IF(OR($H102="",$J102=""),"",$H102*$J102)</f>
        <v/>
      </c>
      <c r="N102" s="153">
        <f>IF(OR($M102="",$L102=""),"",$M102*$L102)</f>
        <v/>
      </c>
      <c r="O102" s="149" t="n"/>
      <c r="P102" s="154">
        <f>IF($O102="","",IFERROR(INDEX(Basis_of_Estimate!$C$5:$C$9,MATCH($O102,Basis_of_Estimate!$A$5:$A$9,0)),""))</f>
        <v/>
      </c>
      <c r="Q102" s="154">
        <f>IF($O102="","",IFERROR(INDEX(Basis_of_Estimate!$D$5:$D$9,MATCH($O102,Basis_of_Estimate!$A$5:$A$9,0)),""))</f>
        <v/>
      </c>
      <c r="R102" s="153">
        <f>IF($N102="","",$N102*(1+$P102))</f>
        <v/>
      </c>
      <c r="S102" s="153">
        <f>IF($N102="","",$N102)</f>
        <v/>
      </c>
      <c r="T102" s="153">
        <f>IF($N102="","",$N102*(1+$Q102))</f>
        <v/>
      </c>
      <c r="U102" s="150">
        <f>IF($D102="","",IFERROR(INDEX(WBS_CBS!$M$5:$M$16,MATCH($D102,WBS_CBS!$A$5:$A$16,0)),"Yes"))</f>
        <v/>
      </c>
      <c r="V102" s="150">
        <f>IF($D102="","",IFERROR(INDEX(WBS_CBS!$N$5:$N$16,MATCH($D102,WBS_CBS!$A$5:$A$16,0)),"Yes"))</f>
        <v/>
      </c>
      <c r="W102" s="150">
        <f>IF($D102="","",IFERROR(INDEX(WBS_CBS!$K$5:$K$16,MATCH($D102,WBS_CBS!$A$5:$A$16,0)),""))</f>
        <v/>
      </c>
      <c r="X102" s="150">
        <f>IF($D102="","",IFERROR(INDEX(WBS_CBS!$F$5:$F$16,MATCH($D102,WBS_CBS!$A$5:$A$16,0)),""))</f>
        <v/>
      </c>
      <c r="Y102" s="149" t="n"/>
      <c r="Z102" s="149" t="n"/>
      <c r="AA102" s="150">
        <f>IF($D102="","",IFERROR(INDEX(WBS_CBS!$L$5:$L$16,MATCH($D102,WBS_CBS!$A$5:$A$16,0)),""))</f>
        <v/>
      </c>
      <c r="AB102" s="149" t="n"/>
    </row>
    <row r="103">
      <c r="A103" s="149" t="n"/>
      <c r="B103" s="149" t="n"/>
      <c r="C103" s="150">
        <f>IF($D103="","",IFERROR(INDEX(WBS_CBS!$E$5:$E$16,MATCH($D103,WBS_CBS!$A$5:$A$16,0)),""))</f>
        <v/>
      </c>
      <c r="D103" s="149" t="n"/>
      <c r="E103" s="150">
        <f>IF($D103="","",IFERROR(INDEX(WBS_CBS!$C$5:$C$16,MATCH($D103,WBS_CBS!$A$5:$A$16,0)),""))</f>
        <v/>
      </c>
      <c r="F103" s="150">
        <f>IF($D103="","",IFERROR(INDEX(WBS_CBS!$J$5:$J$16,MATCH($D103,WBS_CBS!$A$5:$A$16,0)),""))</f>
        <v/>
      </c>
      <c r="G103" s="149" t="n"/>
      <c r="H103" s="151" t="n"/>
      <c r="I103" s="149" t="n"/>
      <c r="J103" s="152" t="n"/>
      <c r="K103" s="149" t="n"/>
      <c r="L103" s="153">
        <f>IF($K103="","",IFERROR(INDEX(FX_Rates!$B$5:$B$14,MATCH($K103,FX_Rates!$A$5:$A$14,0)),""))</f>
        <v/>
      </c>
      <c r="M103" s="153">
        <f>IF(OR($H103="",$J103=""),"",$H103*$J103)</f>
        <v/>
      </c>
      <c r="N103" s="153">
        <f>IF(OR($M103="",$L103=""),"",$M103*$L103)</f>
        <v/>
      </c>
      <c r="O103" s="149" t="n"/>
      <c r="P103" s="154">
        <f>IF($O103="","",IFERROR(INDEX(Basis_of_Estimate!$C$5:$C$9,MATCH($O103,Basis_of_Estimate!$A$5:$A$9,0)),""))</f>
        <v/>
      </c>
      <c r="Q103" s="154">
        <f>IF($O103="","",IFERROR(INDEX(Basis_of_Estimate!$D$5:$D$9,MATCH($O103,Basis_of_Estimate!$A$5:$A$9,0)),""))</f>
        <v/>
      </c>
      <c r="R103" s="153">
        <f>IF($N103="","",$N103*(1+$P103))</f>
        <v/>
      </c>
      <c r="S103" s="153">
        <f>IF($N103="","",$N103)</f>
        <v/>
      </c>
      <c r="T103" s="153">
        <f>IF($N103="","",$N103*(1+$Q103))</f>
        <v/>
      </c>
      <c r="U103" s="150">
        <f>IF($D103="","",IFERROR(INDEX(WBS_CBS!$M$5:$M$16,MATCH($D103,WBS_CBS!$A$5:$A$16,0)),"Yes"))</f>
        <v/>
      </c>
      <c r="V103" s="150">
        <f>IF($D103="","",IFERROR(INDEX(WBS_CBS!$N$5:$N$16,MATCH($D103,WBS_CBS!$A$5:$A$16,0)),"Yes"))</f>
        <v/>
      </c>
      <c r="W103" s="150">
        <f>IF($D103="","",IFERROR(INDEX(WBS_CBS!$K$5:$K$16,MATCH($D103,WBS_CBS!$A$5:$A$16,0)),""))</f>
        <v/>
      </c>
      <c r="X103" s="150">
        <f>IF($D103="","",IFERROR(INDEX(WBS_CBS!$F$5:$F$16,MATCH($D103,WBS_CBS!$A$5:$A$16,0)),""))</f>
        <v/>
      </c>
      <c r="Y103" s="149" t="n"/>
      <c r="Z103" s="149" t="n"/>
      <c r="AA103" s="150">
        <f>IF($D103="","",IFERROR(INDEX(WBS_CBS!$L$5:$L$16,MATCH($D103,WBS_CBS!$A$5:$A$16,0)),""))</f>
        <v/>
      </c>
      <c r="AB103" s="149" t="n"/>
    </row>
    <row r="104">
      <c r="A104" s="149" t="n"/>
      <c r="B104" s="149" t="n"/>
      <c r="C104" s="150">
        <f>IF($D104="","",IFERROR(INDEX(WBS_CBS!$E$5:$E$16,MATCH($D104,WBS_CBS!$A$5:$A$16,0)),""))</f>
        <v/>
      </c>
      <c r="D104" s="149" t="n"/>
      <c r="E104" s="150">
        <f>IF($D104="","",IFERROR(INDEX(WBS_CBS!$C$5:$C$16,MATCH($D104,WBS_CBS!$A$5:$A$16,0)),""))</f>
        <v/>
      </c>
      <c r="F104" s="150">
        <f>IF($D104="","",IFERROR(INDEX(WBS_CBS!$J$5:$J$16,MATCH($D104,WBS_CBS!$A$5:$A$16,0)),""))</f>
        <v/>
      </c>
      <c r="G104" s="149" t="n"/>
      <c r="H104" s="151" t="n"/>
      <c r="I104" s="149" t="n"/>
      <c r="J104" s="152" t="n"/>
      <c r="K104" s="149" t="n"/>
      <c r="L104" s="153">
        <f>IF($K104="","",IFERROR(INDEX(FX_Rates!$B$5:$B$14,MATCH($K104,FX_Rates!$A$5:$A$14,0)),""))</f>
        <v/>
      </c>
      <c r="M104" s="153">
        <f>IF(OR($H104="",$J104=""),"",$H104*$J104)</f>
        <v/>
      </c>
      <c r="N104" s="153">
        <f>IF(OR($M104="",$L104=""),"",$M104*$L104)</f>
        <v/>
      </c>
      <c r="O104" s="149" t="n"/>
      <c r="P104" s="154">
        <f>IF($O104="","",IFERROR(INDEX(Basis_of_Estimate!$C$5:$C$9,MATCH($O104,Basis_of_Estimate!$A$5:$A$9,0)),""))</f>
        <v/>
      </c>
      <c r="Q104" s="154">
        <f>IF($O104="","",IFERROR(INDEX(Basis_of_Estimate!$D$5:$D$9,MATCH($O104,Basis_of_Estimate!$A$5:$A$9,0)),""))</f>
        <v/>
      </c>
      <c r="R104" s="153">
        <f>IF($N104="","",$N104*(1+$P104))</f>
        <v/>
      </c>
      <c r="S104" s="153">
        <f>IF($N104="","",$N104)</f>
        <v/>
      </c>
      <c r="T104" s="153">
        <f>IF($N104="","",$N104*(1+$Q104))</f>
        <v/>
      </c>
      <c r="U104" s="150">
        <f>IF($D104="","",IFERROR(INDEX(WBS_CBS!$M$5:$M$16,MATCH($D104,WBS_CBS!$A$5:$A$16,0)),"Yes"))</f>
        <v/>
      </c>
      <c r="V104" s="150">
        <f>IF($D104="","",IFERROR(INDEX(WBS_CBS!$N$5:$N$16,MATCH($D104,WBS_CBS!$A$5:$A$16,0)),"Yes"))</f>
        <v/>
      </c>
      <c r="W104" s="150">
        <f>IF($D104="","",IFERROR(INDEX(WBS_CBS!$K$5:$K$16,MATCH($D104,WBS_CBS!$A$5:$A$16,0)),""))</f>
        <v/>
      </c>
      <c r="X104" s="150">
        <f>IF($D104="","",IFERROR(INDEX(WBS_CBS!$F$5:$F$16,MATCH($D104,WBS_CBS!$A$5:$A$16,0)),""))</f>
        <v/>
      </c>
      <c r="Y104" s="149" t="n"/>
      <c r="Z104" s="149" t="n"/>
      <c r="AA104" s="150">
        <f>IF($D104="","",IFERROR(INDEX(WBS_CBS!$L$5:$L$16,MATCH($D104,WBS_CBS!$A$5:$A$16,0)),""))</f>
        <v/>
      </c>
      <c r="AB104" s="149" t="n"/>
    </row>
  </sheetData>
  <mergeCells count="2">
    <mergeCell ref="A2:AB2"/>
    <mergeCell ref="A1:AB1"/>
  </mergeCells>
  <dataValidations count="19">
    <dataValidation sqref="C5:C104" showDropDown="0" showInputMessage="0" showErrorMessage="0" allowBlank="0" type="list">
      <formula1>"Process,Mechanical,Piping,Civil,Electrical,Instrumentation,Automation,Construction,Project Management,Procurement,HSE,Commissioning,Owner,Other"</formula1>
    </dataValidation>
    <dataValidation sqref="D5:D104" showDropDown="0" showInputMessage="0" showErrorMessage="0" allowBlank="0" type="list">
      <formula1>"1.0,2.0,3.0,4.0,5.0,6.0,7.0,8.0,9.0,10.0,11.0,12.0"</formula1>
    </dataValidation>
    <dataValidation sqref="E5:E104" showDropDown="0" showInputMessage="0" showErrorMessage="0" allowBlank="0" type="list">
      <formula1>"PM,ENG,PROC,EQP,BULK,CIV,ELE,I&amp;A,CON,COM,OWN,OTH"</formula1>
    </dataValidation>
    <dataValidation sqref="F5:F104" showDropDown="0" showInputMessage="0" showErrorMessage="0" allowBlank="0" type="list">
      <formula1>"Direct Cost,Indirect Cost,Owner Cost,Manpower Cost,Other Cost"</formula1>
    </dataValidation>
    <dataValidation sqref="G5:G104" showDropDown="0" showInputMessage="0" showErrorMessage="0" allowBlank="0" type="list">
      <formula1>"Equipment,Bulk Material,Construction,Engineering,EPCM,Owner,Labour,Freight,Spares,Other"</formula1>
    </dataValidation>
    <dataValidation sqref="I5:I104" showDropDown="0" showInputMessage="0" showErrorMessage="0" allowBlank="0" type="list">
      <formula1>"lot,each,m,m2,m3,kg,ton,h,month,FTE-month"</formula1>
    </dataValidation>
    <dataValidation sqref="K5:K104" showDropDown="0" showInputMessage="0" showErrorMessage="0" allowBlank="0" type="list">
      <formula1>"EUR,USD,GBP,CHF,DKK,SEK,NOK,PLN,TRY,MAD"</formula1>
    </dataValidation>
    <dataValidation sqref="O5:O104" showDropDown="0" showInputMessage="0" showErrorMessage="0" allowBlank="0" type="list">
      <formula1>"Class 5,Class 4,Class 3,Class 2,Class 1"</formula1>
    </dataValidation>
    <dataValidation sqref="U5:V104" showDropDown="0" showInputMessage="0" showErrorMessage="0" allowBlank="0" type="list">
      <formula1>"Yes,No"</formula1>
    </dataValidation>
    <dataValidation sqref="W5:X104" showDropDown="0" showInputMessage="0" showErrorMessage="0" allowBlank="0" type="list">
      <formula1>"Engineering,Procurement,Construction,Commissioning,Other"</formula1>
    </dataValidation>
    <dataValidation sqref="AA5:AA104" showDropDown="0" showInputMessage="0" showErrorMessage="0" allowBlank="0" type="list">
      <formula1>"Linear,Front Loaded,Back Loaded,Bell Curve,Manual"</formula1>
    </dataValidation>
    <dataValidation sqref="D5:D104" showDropDown="0" showInputMessage="0" showErrorMessage="0" allowBlank="1" errorTitle="Invalid selection" error="Select a value from the list." type="list">
      <formula1>WBS_CBS!$A$5:$A$16</formula1>
    </dataValidation>
    <dataValidation sqref="K5:K104" showDropDown="0" showInputMessage="0" showErrorMessage="0" allowBlank="1" errorTitle="Invalid selection" error="Select a value from the list." type="list">
      <formula1>FX_Rates!$A$5:$A$14</formula1>
    </dataValidation>
    <dataValidation sqref="O5:O104" showDropDown="0" showInputMessage="0" showErrorMessage="0" allowBlank="1" errorTitle="Invalid selection" error="Select a value from the list." type="list">
      <formula1>Basis_of_Estimate!$A$5:$A$9</formula1>
    </dataValidation>
    <dataValidation sqref="U5:U104" showDropDown="0" showInputMessage="0" showErrorMessage="0" allowBlank="1" errorTitle="Invalid selection" error="Select a value from the list." type="list">
      <formula1>Lists_Config!$E$5:$E$6</formula1>
    </dataValidation>
    <dataValidation sqref="V5:V104" showDropDown="0" showInputMessage="0" showErrorMessage="0" allowBlank="1" errorTitle="Invalid selection" error="Select a value from the list." type="list">
      <formula1>Lists_Config!$E$5:$E$6</formula1>
    </dataValidation>
    <dataValidation sqref="AA5:AA104" showDropDown="0" showInputMessage="0" showErrorMessage="0" allowBlank="1" errorTitle="Invalid selection" error="Select a value from the list." type="list">
      <formula1>Lists_Config!$I$5:$I$8</formula1>
    </dataValidation>
    <dataValidation sqref="I5:I104" showDropDown="0" showInputMessage="0" showErrorMessage="0" allowBlank="1" errorTitle="Invalid selection" error="Select a value from the list." type="list">
      <formula1>Lists_Config!$J$5:$J$14</formula1>
    </dataValidation>
    <dataValidation sqref="G5:G104" showDropDown="0" showInputMessage="0" showErrorMessage="0" allowBlank="1" errorTitle="Invalid selection" error="Select a value from the list." type="list">
      <formula1>Lists_Config!$C$5:$C$13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0070AD47"/>
    <outlinePr summaryBelow="1" summaryRight="1"/>
    <pageSetUpPr/>
  </sheetPr>
  <dimension ref="A1:AD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25"/>
  <cols>
    <col width="12" customWidth="1" style="70" min="1" max="1"/>
    <col width="32" customWidth="1" style="70" min="2" max="2"/>
    <col width="16" customWidth="1" style="70" min="3" max="7"/>
    <col width="10" customWidth="1" style="70" min="4" max="4"/>
    <col width="12" customWidth="1" style="70" min="5" max="5"/>
    <col width="16" customWidth="1" style="70" min="6" max="6"/>
    <col width="14" customWidth="1" style="70" min="7" max="7"/>
    <col width="10" customWidth="1" style="70" min="8" max="8"/>
    <col width="10" customWidth="1" style="70" min="9" max="9"/>
    <col width="14" customWidth="1" style="70" min="10" max="14"/>
    <col width="12" customWidth="1" style="70" min="11" max="11"/>
    <col width="12" customWidth="1" style="70" min="12" max="12"/>
    <col width="14" customWidth="1" style="70" min="13" max="13"/>
    <col width="14" customWidth="1" style="70" min="14" max="14"/>
    <col width="14" customWidth="1" style="70" min="15" max="20"/>
    <col width="12" customWidth="1" style="70" min="16" max="16"/>
    <col width="12" customWidth="1" style="70" min="17" max="17"/>
    <col width="14" customWidth="1" style="70" min="18" max="18"/>
    <col width="14" customWidth="1" style="70" min="19" max="19"/>
    <col width="14" customWidth="1" style="70" min="20" max="20"/>
    <col width="12" customWidth="1" style="70" min="21" max="27"/>
    <col width="12" customWidth="1" style="70" min="22" max="22"/>
    <col width="14" customWidth="1" style="70" min="23" max="23"/>
    <col width="14" customWidth="1" style="70" min="24" max="24"/>
    <col width="12" customWidth="1" style="70" min="25" max="25"/>
    <col width="12" customWidth="1" style="70" min="26" max="26"/>
    <col width="14" customWidth="1" style="70" min="27" max="27"/>
    <col width="24" customWidth="1" style="70" min="28" max="28"/>
  </cols>
  <sheetData>
    <row r="1" ht="24" customHeight="1" s="70">
      <c r="A1" s="144" t="inlineStr">
        <is>
          <t>Construction Estimate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100" t="n"/>
      <c r="AD1" s="100" t="n"/>
    </row>
    <row r="2" ht="21.95000076293945" customHeight="1" s="70">
      <c r="A2" s="67" t="inlineStr">
        <is>
          <t>User input layer. Cost_Register must be rebuilt from these sheets via BuildCostRegister.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</row>
    <row r="4" ht="28" customHeight="1" s="70">
      <c r="A4" s="148" t="inlineStr">
        <is>
          <t>Item ID</t>
        </is>
      </c>
      <c r="B4" s="148" t="inlineStr">
        <is>
          <t>Description</t>
        </is>
      </c>
      <c r="C4" s="148" t="inlineStr">
        <is>
          <t>Discipline</t>
        </is>
      </c>
      <c r="D4" s="148" t="inlineStr">
        <is>
          <t>WBS</t>
        </is>
      </c>
      <c r="E4" s="148" t="inlineStr">
        <is>
          <t>CBS</t>
        </is>
      </c>
      <c r="F4" s="148" t="inlineStr">
        <is>
          <t>Cost Category</t>
        </is>
      </c>
      <c r="G4" s="148" t="inlineStr">
        <is>
          <t>Cost Type</t>
        </is>
      </c>
      <c r="H4" s="148" t="inlineStr">
        <is>
          <t>Quantity</t>
        </is>
      </c>
      <c r="I4" s="148" t="inlineStr">
        <is>
          <t>Unit</t>
        </is>
      </c>
      <c r="J4" s="148" t="inlineStr">
        <is>
          <t>Unit Rate</t>
        </is>
      </c>
      <c r="K4" s="148" t="inlineStr">
        <is>
          <t>Currency</t>
        </is>
      </c>
      <c r="L4" s="148" t="inlineStr">
        <is>
          <t>FX Rate</t>
        </is>
      </c>
      <c r="M4" s="148" t="inlineStr">
        <is>
          <t>Base Cost</t>
        </is>
      </c>
      <c r="N4" s="148" t="inlineStr">
        <is>
          <t>Base Cost EUR</t>
        </is>
      </c>
      <c r="O4" s="148" t="inlineStr">
        <is>
          <t>Estimate Basis</t>
        </is>
      </c>
      <c r="P4" s="148" t="inlineStr">
        <is>
          <t>Accuracy Low %</t>
        </is>
      </c>
      <c r="Q4" s="148" t="inlineStr">
        <is>
          <t>Accuracy High %</t>
        </is>
      </c>
      <c r="R4" s="148" t="inlineStr">
        <is>
          <t>Low Cost</t>
        </is>
      </c>
      <c r="S4" s="148" t="inlineStr">
        <is>
          <t>Most Likely Cost</t>
        </is>
      </c>
      <c r="T4" s="148" t="inlineStr">
        <is>
          <t>High Cost</t>
        </is>
      </c>
      <c r="U4" s="148" t="inlineStr">
        <is>
          <t>Contingency Eligible</t>
        </is>
      </c>
      <c r="V4" s="148" t="inlineStr">
        <is>
          <t>Escalation Eligible</t>
        </is>
      </c>
      <c r="W4" s="148" t="inlineStr">
        <is>
          <t>Spend Category</t>
        </is>
      </c>
      <c r="X4" s="148" t="inlineStr">
        <is>
          <t>Phase</t>
        </is>
      </c>
      <c r="Y4" s="148" t="inlineStr">
        <is>
          <t>Start Month</t>
        </is>
      </c>
      <c r="Z4" s="148" t="inlineStr">
        <is>
          <t>End Month</t>
        </is>
      </c>
      <c r="AA4" s="148" t="inlineStr">
        <is>
          <t>Spend Curve</t>
        </is>
      </c>
      <c r="AB4" s="148" t="inlineStr">
        <is>
          <t>Notes</t>
        </is>
      </c>
    </row>
    <row r="5">
      <c r="A5" s="149" t="inlineStr">
        <is>
          <t>CN-001</t>
        </is>
      </c>
      <c r="B5" s="149" t="inlineStr">
        <is>
          <t>Civil works and foundations</t>
        </is>
      </c>
      <c r="C5" s="150">
        <f>IF($D5="","",IFERROR(INDEX(WBS_CBS!$E$5:$E$16,MATCH($D5,WBS_CBS!$A$5:$A$16,0)),""))</f>
        <v/>
      </c>
      <c r="D5" s="149" t="inlineStr">
        <is>
          <t>6.0</t>
        </is>
      </c>
      <c r="E5" s="150">
        <f>IF($D5="","",IFERROR(INDEX(WBS_CBS!$C$5:$C$16,MATCH($D5,WBS_CBS!$A$5:$A$16,0)),""))</f>
        <v/>
      </c>
      <c r="F5" s="150">
        <f>IF($D5="","",IFERROR(INDEX(WBS_CBS!$J$5:$J$16,MATCH($D5,WBS_CBS!$A$5:$A$16,0)),""))</f>
        <v/>
      </c>
      <c r="G5" s="149" t="inlineStr">
        <is>
          <t>Construction</t>
        </is>
      </c>
      <c r="H5" s="151" t="n">
        <v>1</v>
      </c>
      <c r="I5" s="149" t="inlineStr">
        <is>
          <t>lot</t>
        </is>
      </c>
      <c r="J5" s="152" t="n">
        <v>2000000</v>
      </c>
      <c r="K5" s="149" t="inlineStr">
        <is>
          <t>EUR</t>
        </is>
      </c>
      <c r="L5" s="153">
        <f>IF($K5="","",IFERROR(INDEX(FX_Rates!$B$5:$B$14,MATCH($K5,FX_Rates!$A$5:$A$14,0)),""))</f>
        <v/>
      </c>
      <c r="M5" s="153">
        <f>IF(OR($H5="",$J5=""),"",$H5*$J5)</f>
        <v/>
      </c>
      <c r="N5" s="153">
        <f>IF(OR($M5="",$L5=""),"",$M5*$L5)</f>
        <v/>
      </c>
      <c r="O5" s="149" t="inlineStr">
        <is>
          <t>Class 3</t>
        </is>
      </c>
      <c r="P5" s="154">
        <f>IF($O5="","",IFERROR(INDEX(Basis_of_Estimate!$C$5:$C$9,MATCH($O5,Basis_of_Estimate!$A$5:$A$9,0)),""))</f>
        <v/>
      </c>
      <c r="Q5" s="154">
        <f>IF($O5="","",IFERROR(INDEX(Basis_of_Estimate!$D$5:$D$9,MATCH($O5,Basis_of_Estimate!$A$5:$A$9,0)),""))</f>
        <v/>
      </c>
      <c r="R5" s="153">
        <f>IF($N5="","",$N5*(1+$P5))</f>
        <v/>
      </c>
      <c r="S5" s="153">
        <f>IF($N5="","",$N5)</f>
        <v/>
      </c>
      <c r="T5" s="153">
        <f>IF($N5="","",$N5*(1+$Q5))</f>
        <v/>
      </c>
      <c r="U5" s="150">
        <f>IF($D5="","",IFERROR(INDEX(WBS_CBS!$M$5:$M$16,MATCH($D5,WBS_CBS!$A$5:$A$16,0)),"Yes"))</f>
        <v/>
      </c>
      <c r="V5" s="150">
        <f>IF($D5="","",IFERROR(INDEX(WBS_CBS!$N$5:$N$16,MATCH($D5,WBS_CBS!$A$5:$A$16,0)),"Yes"))</f>
        <v/>
      </c>
      <c r="W5" s="150">
        <f>IF($D5="","",IFERROR(INDEX(WBS_CBS!$K$5:$K$16,MATCH($D5,WBS_CBS!$A$5:$A$16,0)),""))</f>
        <v/>
      </c>
      <c r="X5" s="150">
        <f>IF($D5="","",IFERROR(INDEX(WBS_CBS!$F$5:$F$16,MATCH($D5,WBS_CBS!$A$5:$A$16,0)),""))</f>
        <v/>
      </c>
      <c r="Y5" s="149" t="n">
        <v>12</v>
      </c>
      <c r="Z5" s="149" t="n">
        <v>26</v>
      </c>
      <c r="AA5" s="150">
        <f>IF($D5="","",IFERROR(INDEX(WBS_CBS!$L$5:$L$16,MATCH($D5,WBS_CBS!$A$5:$A$16,0)),""))</f>
        <v/>
      </c>
      <c r="AB5" s="149" t="n"/>
    </row>
    <row r="6">
      <c r="A6" s="149" t="inlineStr">
        <is>
          <t>CN-002</t>
        </is>
      </c>
      <c r="B6" s="149" t="inlineStr">
        <is>
          <t>Mechanical installation works</t>
        </is>
      </c>
      <c r="C6" s="150">
        <f>IF($D6="","",IFERROR(INDEX(WBS_CBS!$E$5:$E$16,MATCH($D6,WBS_CBS!$A$5:$A$16,0)),""))</f>
        <v/>
      </c>
      <c r="D6" s="149" t="inlineStr">
        <is>
          <t>9.0</t>
        </is>
      </c>
      <c r="E6" s="150">
        <f>IF($D6="","",IFERROR(INDEX(WBS_CBS!$C$5:$C$16,MATCH($D6,WBS_CBS!$A$5:$A$16,0)),""))</f>
        <v/>
      </c>
      <c r="F6" s="150">
        <f>IF($D6="","",IFERROR(INDEX(WBS_CBS!$J$5:$J$16,MATCH($D6,WBS_CBS!$A$5:$A$16,0)),""))</f>
        <v/>
      </c>
      <c r="G6" s="149" t="inlineStr">
        <is>
          <t>Construction</t>
        </is>
      </c>
      <c r="H6" s="151" t="n">
        <v>1</v>
      </c>
      <c r="I6" s="149" t="inlineStr">
        <is>
          <t>lot</t>
        </is>
      </c>
      <c r="J6" s="152" t="n">
        <v>2300000</v>
      </c>
      <c r="K6" s="149" t="inlineStr">
        <is>
          <t>EUR</t>
        </is>
      </c>
      <c r="L6" s="153">
        <f>IF($K6="","",IFERROR(INDEX(FX_Rates!$B$5:$B$14,MATCH($K6,FX_Rates!$A$5:$A$14,0)),""))</f>
        <v/>
      </c>
      <c r="M6" s="153">
        <f>IF(OR($H6="",$J6=""),"",$H6*$J6)</f>
        <v/>
      </c>
      <c r="N6" s="153">
        <f>IF(OR($M6="",$L6=""),"",$M6*$L6)</f>
        <v/>
      </c>
      <c r="O6" s="149" t="inlineStr">
        <is>
          <t>Class 3</t>
        </is>
      </c>
      <c r="P6" s="154">
        <f>IF($O6="","",IFERROR(INDEX(Basis_of_Estimate!$C$5:$C$9,MATCH($O6,Basis_of_Estimate!$A$5:$A$9,0)),""))</f>
        <v/>
      </c>
      <c r="Q6" s="154">
        <f>IF($O6="","",IFERROR(INDEX(Basis_of_Estimate!$D$5:$D$9,MATCH($O6,Basis_of_Estimate!$A$5:$A$9,0)),""))</f>
        <v/>
      </c>
      <c r="R6" s="153">
        <f>IF($N6="","",$N6*(1+$P6))</f>
        <v/>
      </c>
      <c r="S6" s="153">
        <f>IF($N6="","",$N6)</f>
        <v/>
      </c>
      <c r="T6" s="153">
        <f>IF($N6="","",$N6*(1+$Q6))</f>
        <v/>
      </c>
      <c r="U6" s="150">
        <f>IF($D6="","",IFERROR(INDEX(WBS_CBS!$M$5:$M$16,MATCH($D6,WBS_CBS!$A$5:$A$16,0)),"Yes"))</f>
        <v/>
      </c>
      <c r="V6" s="150">
        <f>IF($D6="","",IFERROR(INDEX(WBS_CBS!$N$5:$N$16,MATCH($D6,WBS_CBS!$A$5:$A$16,0)),"Yes"))</f>
        <v/>
      </c>
      <c r="W6" s="150">
        <f>IF($D6="","",IFERROR(INDEX(WBS_CBS!$K$5:$K$16,MATCH($D6,WBS_CBS!$A$5:$A$16,0)),""))</f>
        <v/>
      </c>
      <c r="X6" s="150">
        <f>IF($D6="","",IFERROR(INDEX(WBS_CBS!$F$5:$F$16,MATCH($D6,WBS_CBS!$A$5:$A$16,0)),""))</f>
        <v/>
      </c>
      <c r="Y6" s="149" t="n">
        <v>18</v>
      </c>
      <c r="Z6" s="149" t="n">
        <v>31</v>
      </c>
      <c r="AA6" s="150">
        <f>IF($D6="","",IFERROR(INDEX(WBS_CBS!$L$5:$L$16,MATCH($D6,WBS_CBS!$A$5:$A$16,0)),""))</f>
        <v/>
      </c>
      <c r="AB6" s="149" t="n"/>
    </row>
    <row r="7">
      <c r="A7" s="149" t="inlineStr">
        <is>
          <t>CN-003</t>
        </is>
      </c>
      <c r="B7" s="149" t="inlineStr">
        <is>
          <t>Electrical installation works</t>
        </is>
      </c>
      <c r="C7" s="150">
        <f>IF($D7="","",IFERROR(INDEX(WBS_CBS!$E$5:$E$16,MATCH($D7,WBS_CBS!$A$5:$A$16,0)),""))</f>
        <v/>
      </c>
      <c r="D7" s="149" t="inlineStr">
        <is>
          <t>9.0</t>
        </is>
      </c>
      <c r="E7" s="150">
        <f>IF($D7="","",IFERROR(INDEX(WBS_CBS!$C$5:$C$16,MATCH($D7,WBS_CBS!$A$5:$A$16,0)),""))</f>
        <v/>
      </c>
      <c r="F7" s="150">
        <f>IF($D7="","",IFERROR(INDEX(WBS_CBS!$J$5:$J$16,MATCH($D7,WBS_CBS!$A$5:$A$16,0)),""))</f>
        <v/>
      </c>
      <c r="G7" s="149" t="inlineStr">
        <is>
          <t>Construction</t>
        </is>
      </c>
      <c r="H7" s="151" t="n">
        <v>1</v>
      </c>
      <c r="I7" s="149" t="inlineStr">
        <is>
          <t>lot</t>
        </is>
      </c>
      <c r="J7" s="152" t="n">
        <v>1200000</v>
      </c>
      <c r="K7" s="149" t="inlineStr">
        <is>
          <t>EUR</t>
        </is>
      </c>
      <c r="L7" s="153">
        <f>IF($K7="","",IFERROR(INDEX(FX_Rates!$B$5:$B$14,MATCH($K7,FX_Rates!$A$5:$A$14,0)),""))</f>
        <v/>
      </c>
      <c r="M7" s="153">
        <f>IF(OR($H7="",$J7=""),"",$H7*$J7)</f>
        <v/>
      </c>
      <c r="N7" s="153">
        <f>IF(OR($M7="",$L7=""),"",$M7*$L7)</f>
        <v/>
      </c>
      <c r="O7" s="149" t="inlineStr">
        <is>
          <t>Class 3</t>
        </is>
      </c>
      <c r="P7" s="154">
        <f>IF($O7="","",IFERROR(INDEX(Basis_of_Estimate!$C$5:$C$9,MATCH($O7,Basis_of_Estimate!$A$5:$A$9,0)),""))</f>
        <v/>
      </c>
      <c r="Q7" s="154">
        <f>IF($O7="","",IFERROR(INDEX(Basis_of_Estimate!$D$5:$D$9,MATCH($O7,Basis_of_Estimate!$A$5:$A$9,0)),""))</f>
        <v/>
      </c>
      <c r="R7" s="153">
        <f>IF($N7="","",$N7*(1+$P7))</f>
        <v/>
      </c>
      <c r="S7" s="153">
        <f>IF($N7="","",$N7)</f>
        <v/>
      </c>
      <c r="T7" s="153">
        <f>IF($N7="","",$N7*(1+$Q7))</f>
        <v/>
      </c>
      <c r="U7" s="150">
        <f>IF($D7="","",IFERROR(INDEX(WBS_CBS!$M$5:$M$16,MATCH($D7,WBS_CBS!$A$5:$A$16,0)),"Yes"))</f>
        <v/>
      </c>
      <c r="V7" s="150">
        <f>IF($D7="","",IFERROR(INDEX(WBS_CBS!$N$5:$N$16,MATCH($D7,WBS_CBS!$A$5:$A$16,0)),"Yes"))</f>
        <v/>
      </c>
      <c r="W7" s="150">
        <f>IF($D7="","",IFERROR(INDEX(WBS_CBS!$K$5:$K$16,MATCH($D7,WBS_CBS!$A$5:$A$16,0)),""))</f>
        <v/>
      </c>
      <c r="X7" s="150">
        <f>IF($D7="","",IFERROR(INDEX(WBS_CBS!$F$5:$F$16,MATCH($D7,WBS_CBS!$A$5:$A$16,0)),""))</f>
        <v/>
      </c>
      <c r="Y7" s="149" t="n">
        <v>18</v>
      </c>
      <c r="Z7" s="149" t="n">
        <v>32</v>
      </c>
      <c r="AA7" s="150">
        <f>IF($D7="","",IFERROR(INDEX(WBS_CBS!$L$5:$L$16,MATCH($D7,WBS_CBS!$A$5:$A$16,0)),""))</f>
        <v/>
      </c>
      <c r="AB7" s="149" t="n"/>
    </row>
    <row r="8">
      <c r="A8" s="149" t="inlineStr">
        <is>
          <t>CN-004</t>
        </is>
      </c>
      <c r="B8" s="149" t="inlineStr">
        <is>
          <t>Pre-commissioning and start-up support</t>
        </is>
      </c>
      <c r="C8" s="150">
        <f>IF($D8="","",IFERROR(INDEX(WBS_CBS!$E$5:$E$16,MATCH($D8,WBS_CBS!$A$5:$A$16,0)),""))</f>
        <v/>
      </c>
      <c r="D8" s="149" t="inlineStr">
        <is>
          <t>10.0</t>
        </is>
      </c>
      <c r="E8" s="150">
        <f>IF($D8="","",IFERROR(INDEX(WBS_CBS!$C$5:$C$16,MATCH($D8,WBS_CBS!$A$5:$A$16,0)),""))</f>
        <v/>
      </c>
      <c r="F8" s="150">
        <f>IF($D8="","",IFERROR(INDEX(WBS_CBS!$J$5:$J$16,MATCH($D8,WBS_CBS!$A$5:$A$16,0)),""))</f>
        <v/>
      </c>
      <c r="G8" s="149" t="inlineStr">
        <is>
          <t>Construction</t>
        </is>
      </c>
      <c r="H8" s="151" t="n">
        <v>1</v>
      </c>
      <c r="I8" s="149" t="inlineStr">
        <is>
          <t>lot</t>
        </is>
      </c>
      <c r="J8" s="152" t="n">
        <v>1500000</v>
      </c>
      <c r="K8" s="149" t="inlineStr">
        <is>
          <t>EUR</t>
        </is>
      </c>
      <c r="L8" s="153">
        <f>IF($K8="","",IFERROR(INDEX(FX_Rates!$B$5:$B$14,MATCH($K8,FX_Rates!$A$5:$A$14,0)),""))</f>
        <v/>
      </c>
      <c r="M8" s="153">
        <f>IF(OR($H8="",$J8=""),"",$H8*$J8)</f>
        <v/>
      </c>
      <c r="N8" s="153">
        <f>IF(OR($M8="",$L8=""),"",$M8*$L8)</f>
        <v/>
      </c>
      <c r="O8" s="149" t="inlineStr">
        <is>
          <t>Class 3</t>
        </is>
      </c>
      <c r="P8" s="154">
        <f>IF($O8="","",IFERROR(INDEX(Basis_of_Estimate!$C$5:$C$9,MATCH($O8,Basis_of_Estimate!$A$5:$A$9,0)),""))</f>
        <v/>
      </c>
      <c r="Q8" s="154">
        <f>IF($O8="","",IFERROR(INDEX(Basis_of_Estimate!$D$5:$D$9,MATCH($O8,Basis_of_Estimate!$A$5:$A$9,0)),""))</f>
        <v/>
      </c>
      <c r="R8" s="153">
        <f>IF($N8="","",$N8*(1+$P8))</f>
        <v/>
      </c>
      <c r="S8" s="153">
        <f>IF($N8="","",$N8)</f>
        <v/>
      </c>
      <c r="T8" s="153">
        <f>IF($N8="","",$N8*(1+$Q8))</f>
        <v/>
      </c>
      <c r="U8" s="150">
        <f>IF($D8="","",IFERROR(INDEX(WBS_CBS!$M$5:$M$16,MATCH($D8,WBS_CBS!$A$5:$A$16,0)),"Yes"))</f>
        <v/>
      </c>
      <c r="V8" s="150">
        <f>IF($D8="","",IFERROR(INDEX(WBS_CBS!$N$5:$N$16,MATCH($D8,WBS_CBS!$A$5:$A$16,0)),"Yes"))</f>
        <v/>
      </c>
      <c r="W8" s="150">
        <f>IF($D8="","",IFERROR(INDEX(WBS_CBS!$K$5:$K$16,MATCH($D8,WBS_CBS!$A$5:$A$16,0)),""))</f>
        <v/>
      </c>
      <c r="X8" s="150">
        <f>IF($D8="","",IFERROR(INDEX(WBS_CBS!$F$5:$F$16,MATCH($D8,WBS_CBS!$A$5:$A$16,0)),""))</f>
        <v/>
      </c>
      <c r="Y8" s="149" t="n">
        <v>30</v>
      </c>
      <c r="Z8" s="149" t="n">
        <v>36</v>
      </c>
      <c r="AA8" s="150">
        <f>IF($D8="","",IFERROR(INDEX(WBS_CBS!$L$5:$L$16,MATCH($D8,WBS_CBS!$A$5:$A$16,0)),""))</f>
        <v/>
      </c>
      <c r="AB8" s="149" t="n"/>
    </row>
    <row r="9">
      <c r="A9" s="149" t="n"/>
      <c r="B9" s="149" t="n"/>
      <c r="C9" s="150">
        <f>IF($D9="","",IFERROR(INDEX(WBS_CBS!$E$5:$E$16,MATCH($D9,WBS_CBS!$A$5:$A$16,0)),""))</f>
        <v/>
      </c>
      <c r="D9" s="149" t="n"/>
      <c r="E9" s="150">
        <f>IF($D9="","",IFERROR(INDEX(WBS_CBS!$C$5:$C$16,MATCH($D9,WBS_CBS!$A$5:$A$16,0)),""))</f>
        <v/>
      </c>
      <c r="F9" s="150">
        <f>IF($D9="","",IFERROR(INDEX(WBS_CBS!$J$5:$J$16,MATCH($D9,WBS_CBS!$A$5:$A$16,0)),""))</f>
        <v/>
      </c>
      <c r="G9" s="149" t="n"/>
      <c r="H9" s="151" t="n"/>
      <c r="I9" s="149" t="n"/>
      <c r="J9" s="152" t="n"/>
      <c r="K9" s="149" t="n"/>
      <c r="L9" s="153">
        <f>IF($K9="","",IFERROR(INDEX(FX_Rates!$B$5:$B$14,MATCH($K9,FX_Rates!$A$5:$A$14,0)),""))</f>
        <v/>
      </c>
      <c r="M9" s="153">
        <f>IF(OR($H9="",$J9=""),"",$H9*$J9)</f>
        <v/>
      </c>
      <c r="N9" s="153">
        <f>IF(OR($M9="",$L9=""),"",$M9*$L9)</f>
        <v/>
      </c>
      <c r="O9" s="149" t="n"/>
      <c r="P9" s="154">
        <f>IF($O9="","",IFERROR(INDEX(Basis_of_Estimate!$C$5:$C$9,MATCH($O9,Basis_of_Estimate!$A$5:$A$9,0)),""))</f>
        <v/>
      </c>
      <c r="Q9" s="154">
        <f>IF($O9="","",IFERROR(INDEX(Basis_of_Estimate!$D$5:$D$9,MATCH($O9,Basis_of_Estimate!$A$5:$A$9,0)),""))</f>
        <v/>
      </c>
      <c r="R9" s="153">
        <f>IF($N9="","",$N9*(1+$P9))</f>
        <v/>
      </c>
      <c r="S9" s="153">
        <f>IF($N9="","",$N9)</f>
        <v/>
      </c>
      <c r="T9" s="153">
        <f>IF($N9="","",$N9*(1+$Q9))</f>
        <v/>
      </c>
      <c r="U9" s="150">
        <f>IF($D9="","",IFERROR(INDEX(WBS_CBS!$M$5:$M$16,MATCH($D9,WBS_CBS!$A$5:$A$16,0)),"Yes"))</f>
        <v/>
      </c>
      <c r="V9" s="150">
        <f>IF($D9="","",IFERROR(INDEX(WBS_CBS!$N$5:$N$16,MATCH($D9,WBS_CBS!$A$5:$A$16,0)),"Yes"))</f>
        <v/>
      </c>
      <c r="W9" s="150">
        <f>IF($D9="","",IFERROR(INDEX(WBS_CBS!$K$5:$K$16,MATCH($D9,WBS_CBS!$A$5:$A$16,0)),""))</f>
        <v/>
      </c>
      <c r="X9" s="150">
        <f>IF($D9="","",IFERROR(INDEX(WBS_CBS!$F$5:$F$16,MATCH($D9,WBS_CBS!$A$5:$A$16,0)),""))</f>
        <v/>
      </c>
      <c r="Y9" s="149" t="n"/>
      <c r="Z9" s="149" t="n"/>
      <c r="AA9" s="150">
        <f>IF($D9="","",IFERROR(INDEX(WBS_CBS!$L$5:$L$16,MATCH($D9,WBS_CBS!$A$5:$A$16,0)),""))</f>
        <v/>
      </c>
      <c r="AB9" s="149" t="n"/>
    </row>
    <row r="10">
      <c r="A10" s="149" t="n"/>
      <c r="B10" s="149" t="n"/>
      <c r="C10" s="150">
        <f>IF($D10="","",IFERROR(INDEX(WBS_CBS!$E$5:$E$16,MATCH($D10,WBS_CBS!$A$5:$A$16,0)),""))</f>
        <v/>
      </c>
      <c r="D10" s="149" t="n"/>
      <c r="E10" s="150">
        <f>IF($D10="","",IFERROR(INDEX(WBS_CBS!$C$5:$C$16,MATCH($D10,WBS_CBS!$A$5:$A$16,0)),""))</f>
        <v/>
      </c>
      <c r="F10" s="150">
        <f>IF($D10="","",IFERROR(INDEX(WBS_CBS!$J$5:$J$16,MATCH($D10,WBS_CBS!$A$5:$A$16,0)),""))</f>
        <v/>
      </c>
      <c r="G10" s="149" t="n"/>
      <c r="H10" s="151" t="n"/>
      <c r="I10" s="149" t="n"/>
      <c r="J10" s="152" t="n"/>
      <c r="K10" s="149" t="n"/>
      <c r="L10" s="153">
        <f>IF($K10="","",IFERROR(INDEX(FX_Rates!$B$5:$B$14,MATCH($K10,FX_Rates!$A$5:$A$14,0)),""))</f>
        <v/>
      </c>
      <c r="M10" s="153">
        <f>IF(OR($H10="",$J10=""),"",$H10*$J10)</f>
        <v/>
      </c>
      <c r="N10" s="153">
        <f>IF(OR($M10="",$L10=""),"",$M10*$L10)</f>
        <v/>
      </c>
      <c r="O10" s="149" t="n"/>
      <c r="P10" s="154">
        <f>IF($O10="","",IFERROR(INDEX(Basis_of_Estimate!$C$5:$C$9,MATCH($O10,Basis_of_Estimate!$A$5:$A$9,0)),""))</f>
        <v/>
      </c>
      <c r="Q10" s="154">
        <f>IF($O10="","",IFERROR(INDEX(Basis_of_Estimate!$D$5:$D$9,MATCH($O10,Basis_of_Estimate!$A$5:$A$9,0)),""))</f>
        <v/>
      </c>
      <c r="R10" s="153">
        <f>IF($N10="","",$N10*(1+$P10))</f>
        <v/>
      </c>
      <c r="S10" s="153">
        <f>IF($N10="","",$N10)</f>
        <v/>
      </c>
      <c r="T10" s="153">
        <f>IF($N10="","",$N10*(1+$Q10))</f>
        <v/>
      </c>
      <c r="U10" s="150">
        <f>IF($D10="","",IFERROR(INDEX(WBS_CBS!$M$5:$M$16,MATCH($D10,WBS_CBS!$A$5:$A$16,0)),"Yes"))</f>
        <v/>
      </c>
      <c r="V10" s="150">
        <f>IF($D10="","",IFERROR(INDEX(WBS_CBS!$N$5:$N$16,MATCH($D10,WBS_CBS!$A$5:$A$16,0)),"Yes"))</f>
        <v/>
      </c>
      <c r="W10" s="150">
        <f>IF($D10="","",IFERROR(INDEX(WBS_CBS!$K$5:$K$16,MATCH($D10,WBS_CBS!$A$5:$A$16,0)),""))</f>
        <v/>
      </c>
      <c r="X10" s="150">
        <f>IF($D10="","",IFERROR(INDEX(WBS_CBS!$F$5:$F$16,MATCH($D10,WBS_CBS!$A$5:$A$16,0)),""))</f>
        <v/>
      </c>
      <c r="Y10" s="149" t="n"/>
      <c r="Z10" s="149" t="n"/>
      <c r="AA10" s="150">
        <f>IF($D10="","",IFERROR(INDEX(WBS_CBS!$L$5:$L$16,MATCH($D10,WBS_CBS!$A$5:$A$16,0)),""))</f>
        <v/>
      </c>
      <c r="AB10" s="149" t="n"/>
    </row>
    <row r="11">
      <c r="A11" s="149" t="n"/>
      <c r="B11" s="149" t="n"/>
      <c r="C11" s="150">
        <f>IF($D11="","",IFERROR(INDEX(WBS_CBS!$E$5:$E$16,MATCH($D11,WBS_CBS!$A$5:$A$16,0)),""))</f>
        <v/>
      </c>
      <c r="D11" s="149" t="n"/>
      <c r="E11" s="150">
        <f>IF($D11="","",IFERROR(INDEX(WBS_CBS!$C$5:$C$16,MATCH($D11,WBS_CBS!$A$5:$A$16,0)),""))</f>
        <v/>
      </c>
      <c r="F11" s="150">
        <f>IF($D11="","",IFERROR(INDEX(WBS_CBS!$J$5:$J$16,MATCH($D11,WBS_CBS!$A$5:$A$16,0)),""))</f>
        <v/>
      </c>
      <c r="G11" s="149" t="n"/>
      <c r="H11" s="151" t="n"/>
      <c r="I11" s="149" t="n"/>
      <c r="J11" s="152" t="n"/>
      <c r="K11" s="149" t="n"/>
      <c r="L11" s="153">
        <f>IF($K11="","",IFERROR(INDEX(FX_Rates!$B$5:$B$14,MATCH($K11,FX_Rates!$A$5:$A$14,0)),""))</f>
        <v/>
      </c>
      <c r="M11" s="153">
        <f>IF(OR($H11="",$J11=""),"",$H11*$J11)</f>
        <v/>
      </c>
      <c r="N11" s="153">
        <f>IF(OR($M11="",$L11=""),"",$M11*$L11)</f>
        <v/>
      </c>
      <c r="O11" s="149" t="n"/>
      <c r="P11" s="154">
        <f>IF($O11="","",IFERROR(INDEX(Basis_of_Estimate!$C$5:$C$9,MATCH($O11,Basis_of_Estimate!$A$5:$A$9,0)),""))</f>
        <v/>
      </c>
      <c r="Q11" s="154">
        <f>IF($O11="","",IFERROR(INDEX(Basis_of_Estimate!$D$5:$D$9,MATCH($O11,Basis_of_Estimate!$A$5:$A$9,0)),""))</f>
        <v/>
      </c>
      <c r="R11" s="153">
        <f>IF($N11="","",$N11*(1+$P11))</f>
        <v/>
      </c>
      <c r="S11" s="153">
        <f>IF($N11="","",$N11)</f>
        <v/>
      </c>
      <c r="T11" s="153">
        <f>IF($N11="","",$N11*(1+$Q11))</f>
        <v/>
      </c>
      <c r="U11" s="150">
        <f>IF($D11="","",IFERROR(INDEX(WBS_CBS!$M$5:$M$16,MATCH($D11,WBS_CBS!$A$5:$A$16,0)),"Yes"))</f>
        <v/>
      </c>
      <c r="V11" s="150">
        <f>IF($D11="","",IFERROR(INDEX(WBS_CBS!$N$5:$N$16,MATCH($D11,WBS_CBS!$A$5:$A$16,0)),"Yes"))</f>
        <v/>
      </c>
      <c r="W11" s="150">
        <f>IF($D11="","",IFERROR(INDEX(WBS_CBS!$K$5:$K$16,MATCH($D11,WBS_CBS!$A$5:$A$16,0)),""))</f>
        <v/>
      </c>
      <c r="X11" s="150">
        <f>IF($D11="","",IFERROR(INDEX(WBS_CBS!$F$5:$F$16,MATCH($D11,WBS_CBS!$A$5:$A$16,0)),""))</f>
        <v/>
      </c>
      <c r="Y11" s="149" t="n"/>
      <c r="Z11" s="149" t="n"/>
      <c r="AA11" s="150">
        <f>IF($D11="","",IFERROR(INDEX(WBS_CBS!$L$5:$L$16,MATCH($D11,WBS_CBS!$A$5:$A$16,0)),""))</f>
        <v/>
      </c>
      <c r="AB11" s="149" t="n"/>
    </row>
    <row r="12">
      <c r="A12" s="149" t="n"/>
      <c r="B12" s="149" t="n"/>
      <c r="C12" s="150">
        <f>IF($D12="","",IFERROR(INDEX(WBS_CBS!$E$5:$E$16,MATCH($D12,WBS_CBS!$A$5:$A$16,0)),""))</f>
        <v/>
      </c>
      <c r="D12" s="149" t="n"/>
      <c r="E12" s="150">
        <f>IF($D12="","",IFERROR(INDEX(WBS_CBS!$C$5:$C$16,MATCH($D12,WBS_CBS!$A$5:$A$16,0)),""))</f>
        <v/>
      </c>
      <c r="F12" s="150">
        <f>IF($D12="","",IFERROR(INDEX(WBS_CBS!$J$5:$J$16,MATCH($D12,WBS_CBS!$A$5:$A$16,0)),""))</f>
        <v/>
      </c>
      <c r="G12" s="149" t="n"/>
      <c r="H12" s="151" t="n"/>
      <c r="I12" s="149" t="n"/>
      <c r="J12" s="152" t="n"/>
      <c r="K12" s="149" t="n"/>
      <c r="L12" s="153">
        <f>IF($K12="","",IFERROR(INDEX(FX_Rates!$B$5:$B$14,MATCH($K12,FX_Rates!$A$5:$A$14,0)),""))</f>
        <v/>
      </c>
      <c r="M12" s="153">
        <f>IF(OR($H12="",$J12=""),"",$H12*$J12)</f>
        <v/>
      </c>
      <c r="N12" s="153">
        <f>IF(OR($M12="",$L12=""),"",$M12*$L12)</f>
        <v/>
      </c>
      <c r="O12" s="149" t="n"/>
      <c r="P12" s="154">
        <f>IF($O12="","",IFERROR(INDEX(Basis_of_Estimate!$C$5:$C$9,MATCH($O12,Basis_of_Estimate!$A$5:$A$9,0)),""))</f>
        <v/>
      </c>
      <c r="Q12" s="154">
        <f>IF($O12="","",IFERROR(INDEX(Basis_of_Estimate!$D$5:$D$9,MATCH($O12,Basis_of_Estimate!$A$5:$A$9,0)),""))</f>
        <v/>
      </c>
      <c r="R12" s="153">
        <f>IF($N12="","",$N12*(1+$P12))</f>
        <v/>
      </c>
      <c r="S12" s="153">
        <f>IF($N12="","",$N12)</f>
        <v/>
      </c>
      <c r="T12" s="153">
        <f>IF($N12="","",$N12*(1+$Q12))</f>
        <v/>
      </c>
      <c r="U12" s="150">
        <f>IF($D12="","",IFERROR(INDEX(WBS_CBS!$M$5:$M$16,MATCH($D12,WBS_CBS!$A$5:$A$16,0)),"Yes"))</f>
        <v/>
      </c>
      <c r="V12" s="150">
        <f>IF($D12="","",IFERROR(INDEX(WBS_CBS!$N$5:$N$16,MATCH($D12,WBS_CBS!$A$5:$A$16,0)),"Yes"))</f>
        <v/>
      </c>
      <c r="W12" s="150">
        <f>IF($D12="","",IFERROR(INDEX(WBS_CBS!$K$5:$K$16,MATCH($D12,WBS_CBS!$A$5:$A$16,0)),""))</f>
        <v/>
      </c>
      <c r="X12" s="150">
        <f>IF($D12="","",IFERROR(INDEX(WBS_CBS!$F$5:$F$16,MATCH($D12,WBS_CBS!$A$5:$A$16,0)),""))</f>
        <v/>
      </c>
      <c r="Y12" s="149" t="n"/>
      <c r="Z12" s="149" t="n"/>
      <c r="AA12" s="150">
        <f>IF($D12="","",IFERROR(INDEX(WBS_CBS!$L$5:$L$16,MATCH($D12,WBS_CBS!$A$5:$A$16,0)),""))</f>
        <v/>
      </c>
      <c r="AB12" s="149" t="n"/>
    </row>
    <row r="13">
      <c r="A13" s="149" t="n"/>
      <c r="B13" s="149" t="n"/>
      <c r="C13" s="150">
        <f>IF($D13="","",IFERROR(INDEX(WBS_CBS!$E$5:$E$16,MATCH($D13,WBS_CBS!$A$5:$A$16,0)),""))</f>
        <v/>
      </c>
      <c r="D13" s="149" t="n"/>
      <c r="E13" s="150">
        <f>IF($D13="","",IFERROR(INDEX(WBS_CBS!$C$5:$C$16,MATCH($D13,WBS_CBS!$A$5:$A$16,0)),""))</f>
        <v/>
      </c>
      <c r="F13" s="150">
        <f>IF($D13="","",IFERROR(INDEX(WBS_CBS!$J$5:$J$16,MATCH($D13,WBS_CBS!$A$5:$A$16,0)),""))</f>
        <v/>
      </c>
      <c r="G13" s="149" t="n"/>
      <c r="H13" s="151" t="n"/>
      <c r="I13" s="149" t="n"/>
      <c r="J13" s="152" t="n"/>
      <c r="K13" s="149" t="n"/>
      <c r="L13" s="153">
        <f>IF($K13="","",IFERROR(INDEX(FX_Rates!$B$5:$B$14,MATCH($K13,FX_Rates!$A$5:$A$14,0)),""))</f>
        <v/>
      </c>
      <c r="M13" s="153">
        <f>IF(OR($H13="",$J13=""),"",$H13*$J13)</f>
        <v/>
      </c>
      <c r="N13" s="153">
        <f>IF(OR($M13="",$L13=""),"",$M13*$L13)</f>
        <v/>
      </c>
      <c r="O13" s="149" t="n"/>
      <c r="P13" s="154">
        <f>IF($O13="","",IFERROR(INDEX(Basis_of_Estimate!$C$5:$C$9,MATCH($O13,Basis_of_Estimate!$A$5:$A$9,0)),""))</f>
        <v/>
      </c>
      <c r="Q13" s="154">
        <f>IF($O13="","",IFERROR(INDEX(Basis_of_Estimate!$D$5:$D$9,MATCH($O13,Basis_of_Estimate!$A$5:$A$9,0)),""))</f>
        <v/>
      </c>
      <c r="R13" s="153">
        <f>IF($N13="","",$N13*(1+$P13))</f>
        <v/>
      </c>
      <c r="S13" s="153">
        <f>IF($N13="","",$N13)</f>
        <v/>
      </c>
      <c r="T13" s="153">
        <f>IF($N13="","",$N13*(1+$Q13))</f>
        <v/>
      </c>
      <c r="U13" s="150">
        <f>IF($D13="","",IFERROR(INDEX(WBS_CBS!$M$5:$M$16,MATCH($D13,WBS_CBS!$A$5:$A$16,0)),"Yes"))</f>
        <v/>
      </c>
      <c r="V13" s="150">
        <f>IF($D13="","",IFERROR(INDEX(WBS_CBS!$N$5:$N$16,MATCH($D13,WBS_CBS!$A$5:$A$16,0)),"Yes"))</f>
        <v/>
      </c>
      <c r="W13" s="150">
        <f>IF($D13="","",IFERROR(INDEX(WBS_CBS!$K$5:$K$16,MATCH($D13,WBS_CBS!$A$5:$A$16,0)),""))</f>
        <v/>
      </c>
      <c r="X13" s="150">
        <f>IF($D13="","",IFERROR(INDEX(WBS_CBS!$F$5:$F$16,MATCH($D13,WBS_CBS!$A$5:$A$16,0)),""))</f>
        <v/>
      </c>
      <c r="Y13" s="149" t="n"/>
      <c r="Z13" s="149" t="n"/>
      <c r="AA13" s="150">
        <f>IF($D13="","",IFERROR(INDEX(WBS_CBS!$L$5:$L$16,MATCH($D13,WBS_CBS!$A$5:$A$16,0)),""))</f>
        <v/>
      </c>
      <c r="AB13" s="149" t="n"/>
    </row>
    <row r="14">
      <c r="A14" s="149" t="n"/>
      <c r="B14" s="149" t="n"/>
      <c r="C14" s="150">
        <f>IF($D14="","",IFERROR(INDEX(WBS_CBS!$E$5:$E$16,MATCH($D14,WBS_CBS!$A$5:$A$16,0)),""))</f>
        <v/>
      </c>
      <c r="D14" s="149" t="n"/>
      <c r="E14" s="150">
        <f>IF($D14="","",IFERROR(INDEX(WBS_CBS!$C$5:$C$16,MATCH($D14,WBS_CBS!$A$5:$A$16,0)),""))</f>
        <v/>
      </c>
      <c r="F14" s="150">
        <f>IF($D14="","",IFERROR(INDEX(WBS_CBS!$J$5:$J$16,MATCH($D14,WBS_CBS!$A$5:$A$16,0)),""))</f>
        <v/>
      </c>
      <c r="G14" s="149" t="n"/>
      <c r="H14" s="151" t="n"/>
      <c r="I14" s="149" t="n"/>
      <c r="J14" s="152" t="n"/>
      <c r="K14" s="149" t="n"/>
      <c r="L14" s="153">
        <f>IF($K14="","",IFERROR(INDEX(FX_Rates!$B$5:$B$14,MATCH($K14,FX_Rates!$A$5:$A$14,0)),""))</f>
        <v/>
      </c>
      <c r="M14" s="153">
        <f>IF(OR($H14="",$J14=""),"",$H14*$J14)</f>
        <v/>
      </c>
      <c r="N14" s="153">
        <f>IF(OR($M14="",$L14=""),"",$M14*$L14)</f>
        <v/>
      </c>
      <c r="O14" s="149" t="n"/>
      <c r="P14" s="154">
        <f>IF($O14="","",IFERROR(INDEX(Basis_of_Estimate!$C$5:$C$9,MATCH($O14,Basis_of_Estimate!$A$5:$A$9,0)),""))</f>
        <v/>
      </c>
      <c r="Q14" s="154">
        <f>IF($O14="","",IFERROR(INDEX(Basis_of_Estimate!$D$5:$D$9,MATCH($O14,Basis_of_Estimate!$A$5:$A$9,0)),""))</f>
        <v/>
      </c>
      <c r="R14" s="153">
        <f>IF($N14="","",$N14*(1+$P14))</f>
        <v/>
      </c>
      <c r="S14" s="153">
        <f>IF($N14="","",$N14)</f>
        <v/>
      </c>
      <c r="T14" s="153">
        <f>IF($N14="","",$N14*(1+$Q14))</f>
        <v/>
      </c>
      <c r="U14" s="150">
        <f>IF($D14="","",IFERROR(INDEX(WBS_CBS!$M$5:$M$16,MATCH($D14,WBS_CBS!$A$5:$A$16,0)),"Yes"))</f>
        <v/>
      </c>
      <c r="V14" s="150">
        <f>IF($D14="","",IFERROR(INDEX(WBS_CBS!$N$5:$N$16,MATCH($D14,WBS_CBS!$A$5:$A$16,0)),"Yes"))</f>
        <v/>
      </c>
      <c r="W14" s="150">
        <f>IF($D14="","",IFERROR(INDEX(WBS_CBS!$K$5:$K$16,MATCH($D14,WBS_CBS!$A$5:$A$16,0)),""))</f>
        <v/>
      </c>
      <c r="X14" s="150">
        <f>IF($D14="","",IFERROR(INDEX(WBS_CBS!$F$5:$F$16,MATCH($D14,WBS_CBS!$A$5:$A$16,0)),""))</f>
        <v/>
      </c>
      <c r="Y14" s="149" t="n"/>
      <c r="Z14" s="149" t="n"/>
      <c r="AA14" s="150">
        <f>IF($D14="","",IFERROR(INDEX(WBS_CBS!$L$5:$L$16,MATCH($D14,WBS_CBS!$A$5:$A$16,0)),""))</f>
        <v/>
      </c>
      <c r="AB14" s="149" t="n"/>
    </row>
    <row r="15">
      <c r="A15" s="149" t="n"/>
      <c r="B15" s="149" t="n"/>
      <c r="C15" s="150">
        <f>IF($D15="","",IFERROR(INDEX(WBS_CBS!$E$5:$E$16,MATCH($D15,WBS_CBS!$A$5:$A$16,0)),""))</f>
        <v/>
      </c>
      <c r="D15" s="149" t="n"/>
      <c r="E15" s="150">
        <f>IF($D15="","",IFERROR(INDEX(WBS_CBS!$C$5:$C$16,MATCH($D15,WBS_CBS!$A$5:$A$16,0)),""))</f>
        <v/>
      </c>
      <c r="F15" s="150">
        <f>IF($D15="","",IFERROR(INDEX(WBS_CBS!$J$5:$J$16,MATCH($D15,WBS_CBS!$A$5:$A$16,0)),""))</f>
        <v/>
      </c>
      <c r="G15" s="149" t="n"/>
      <c r="H15" s="151" t="n"/>
      <c r="I15" s="149" t="n"/>
      <c r="J15" s="152" t="n"/>
      <c r="K15" s="149" t="n"/>
      <c r="L15" s="153">
        <f>IF($K15="","",IFERROR(INDEX(FX_Rates!$B$5:$B$14,MATCH($K15,FX_Rates!$A$5:$A$14,0)),""))</f>
        <v/>
      </c>
      <c r="M15" s="153">
        <f>IF(OR($H15="",$J15=""),"",$H15*$J15)</f>
        <v/>
      </c>
      <c r="N15" s="153">
        <f>IF(OR($M15="",$L15=""),"",$M15*$L15)</f>
        <v/>
      </c>
      <c r="O15" s="149" t="n"/>
      <c r="P15" s="154">
        <f>IF($O15="","",IFERROR(INDEX(Basis_of_Estimate!$C$5:$C$9,MATCH($O15,Basis_of_Estimate!$A$5:$A$9,0)),""))</f>
        <v/>
      </c>
      <c r="Q15" s="154">
        <f>IF($O15="","",IFERROR(INDEX(Basis_of_Estimate!$D$5:$D$9,MATCH($O15,Basis_of_Estimate!$A$5:$A$9,0)),""))</f>
        <v/>
      </c>
      <c r="R15" s="153">
        <f>IF($N15="","",$N15*(1+$P15))</f>
        <v/>
      </c>
      <c r="S15" s="153">
        <f>IF($N15="","",$N15)</f>
        <v/>
      </c>
      <c r="T15" s="153">
        <f>IF($N15="","",$N15*(1+$Q15))</f>
        <v/>
      </c>
      <c r="U15" s="150">
        <f>IF($D15="","",IFERROR(INDEX(WBS_CBS!$M$5:$M$16,MATCH($D15,WBS_CBS!$A$5:$A$16,0)),"Yes"))</f>
        <v/>
      </c>
      <c r="V15" s="150">
        <f>IF($D15="","",IFERROR(INDEX(WBS_CBS!$N$5:$N$16,MATCH($D15,WBS_CBS!$A$5:$A$16,0)),"Yes"))</f>
        <v/>
      </c>
      <c r="W15" s="150">
        <f>IF($D15="","",IFERROR(INDEX(WBS_CBS!$K$5:$K$16,MATCH($D15,WBS_CBS!$A$5:$A$16,0)),""))</f>
        <v/>
      </c>
      <c r="X15" s="150">
        <f>IF($D15="","",IFERROR(INDEX(WBS_CBS!$F$5:$F$16,MATCH($D15,WBS_CBS!$A$5:$A$16,0)),""))</f>
        <v/>
      </c>
      <c r="Y15" s="149" t="n"/>
      <c r="Z15" s="149" t="n"/>
      <c r="AA15" s="150">
        <f>IF($D15="","",IFERROR(INDEX(WBS_CBS!$L$5:$L$16,MATCH($D15,WBS_CBS!$A$5:$A$16,0)),""))</f>
        <v/>
      </c>
      <c r="AB15" s="149" t="n"/>
    </row>
    <row r="16">
      <c r="A16" s="149" t="n"/>
      <c r="B16" s="149" t="n"/>
      <c r="C16" s="150">
        <f>IF($D16="","",IFERROR(INDEX(WBS_CBS!$E$5:$E$16,MATCH($D16,WBS_CBS!$A$5:$A$16,0)),""))</f>
        <v/>
      </c>
      <c r="D16" s="149" t="n"/>
      <c r="E16" s="150">
        <f>IF($D16="","",IFERROR(INDEX(WBS_CBS!$C$5:$C$16,MATCH($D16,WBS_CBS!$A$5:$A$16,0)),""))</f>
        <v/>
      </c>
      <c r="F16" s="150">
        <f>IF($D16="","",IFERROR(INDEX(WBS_CBS!$J$5:$J$16,MATCH($D16,WBS_CBS!$A$5:$A$16,0)),""))</f>
        <v/>
      </c>
      <c r="G16" s="149" t="n"/>
      <c r="H16" s="151" t="n"/>
      <c r="I16" s="149" t="n"/>
      <c r="J16" s="152" t="n"/>
      <c r="K16" s="149" t="n"/>
      <c r="L16" s="153">
        <f>IF($K16="","",IFERROR(INDEX(FX_Rates!$B$5:$B$14,MATCH($K16,FX_Rates!$A$5:$A$14,0)),""))</f>
        <v/>
      </c>
      <c r="M16" s="153">
        <f>IF(OR($H16="",$J16=""),"",$H16*$J16)</f>
        <v/>
      </c>
      <c r="N16" s="153">
        <f>IF(OR($M16="",$L16=""),"",$M16*$L16)</f>
        <v/>
      </c>
      <c r="O16" s="149" t="n"/>
      <c r="P16" s="154">
        <f>IF($O16="","",IFERROR(INDEX(Basis_of_Estimate!$C$5:$C$9,MATCH($O16,Basis_of_Estimate!$A$5:$A$9,0)),""))</f>
        <v/>
      </c>
      <c r="Q16" s="154">
        <f>IF($O16="","",IFERROR(INDEX(Basis_of_Estimate!$D$5:$D$9,MATCH($O16,Basis_of_Estimate!$A$5:$A$9,0)),""))</f>
        <v/>
      </c>
      <c r="R16" s="153">
        <f>IF($N16="","",$N16*(1+$P16))</f>
        <v/>
      </c>
      <c r="S16" s="153">
        <f>IF($N16="","",$N16)</f>
        <v/>
      </c>
      <c r="T16" s="153">
        <f>IF($N16="","",$N16*(1+$Q16))</f>
        <v/>
      </c>
      <c r="U16" s="150">
        <f>IF($D16="","",IFERROR(INDEX(WBS_CBS!$M$5:$M$16,MATCH($D16,WBS_CBS!$A$5:$A$16,0)),"Yes"))</f>
        <v/>
      </c>
      <c r="V16" s="150">
        <f>IF($D16="","",IFERROR(INDEX(WBS_CBS!$N$5:$N$16,MATCH($D16,WBS_CBS!$A$5:$A$16,0)),"Yes"))</f>
        <v/>
      </c>
      <c r="W16" s="150">
        <f>IF($D16="","",IFERROR(INDEX(WBS_CBS!$K$5:$K$16,MATCH($D16,WBS_CBS!$A$5:$A$16,0)),""))</f>
        <v/>
      </c>
      <c r="X16" s="150">
        <f>IF($D16="","",IFERROR(INDEX(WBS_CBS!$F$5:$F$16,MATCH($D16,WBS_CBS!$A$5:$A$16,0)),""))</f>
        <v/>
      </c>
      <c r="Y16" s="149" t="n"/>
      <c r="Z16" s="149" t="n"/>
      <c r="AA16" s="150">
        <f>IF($D16="","",IFERROR(INDEX(WBS_CBS!$L$5:$L$16,MATCH($D16,WBS_CBS!$A$5:$A$16,0)),""))</f>
        <v/>
      </c>
      <c r="AB16" s="149" t="n"/>
    </row>
    <row r="17">
      <c r="A17" s="149" t="n"/>
      <c r="B17" s="149" t="n"/>
      <c r="C17" s="150">
        <f>IF($D17="","",IFERROR(INDEX(WBS_CBS!$E$5:$E$16,MATCH($D17,WBS_CBS!$A$5:$A$16,0)),""))</f>
        <v/>
      </c>
      <c r="D17" s="149" t="n"/>
      <c r="E17" s="150">
        <f>IF($D17="","",IFERROR(INDEX(WBS_CBS!$C$5:$C$16,MATCH($D17,WBS_CBS!$A$5:$A$16,0)),""))</f>
        <v/>
      </c>
      <c r="F17" s="150">
        <f>IF($D17="","",IFERROR(INDEX(WBS_CBS!$J$5:$J$16,MATCH($D17,WBS_CBS!$A$5:$A$16,0)),""))</f>
        <v/>
      </c>
      <c r="G17" s="149" t="n"/>
      <c r="H17" s="151" t="n"/>
      <c r="I17" s="149" t="n"/>
      <c r="J17" s="152" t="n"/>
      <c r="K17" s="149" t="n"/>
      <c r="L17" s="153">
        <f>IF($K17="","",IFERROR(INDEX(FX_Rates!$B$5:$B$14,MATCH($K17,FX_Rates!$A$5:$A$14,0)),""))</f>
        <v/>
      </c>
      <c r="M17" s="153">
        <f>IF(OR($H17="",$J17=""),"",$H17*$J17)</f>
        <v/>
      </c>
      <c r="N17" s="153">
        <f>IF(OR($M17="",$L17=""),"",$M17*$L17)</f>
        <v/>
      </c>
      <c r="O17" s="149" t="n"/>
      <c r="P17" s="154">
        <f>IF($O17="","",IFERROR(INDEX(Basis_of_Estimate!$C$5:$C$9,MATCH($O17,Basis_of_Estimate!$A$5:$A$9,0)),""))</f>
        <v/>
      </c>
      <c r="Q17" s="154">
        <f>IF($O17="","",IFERROR(INDEX(Basis_of_Estimate!$D$5:$D$9,MATCH($O17,Basis_of_Estimate!$A$5:$A$9,0)),""))</f>
        <v/>
      </c>
      <c r="R17" s="153">
        <f>IF($N17="","",$N17*(1+$P17))</f>
        <v/>
      </c>
      <c r="S17" s="153">
        <f>IF($N17="","",$N17)</f>
        <v/>
      </c>
      <c r="T17" s="153">
        <f>IF($N17="","",$N17*(1+$Q17))</f>
        <v/>
      </c>
      <c r="U17" s="150">
        <f>IF($D17="","",IFERROR(INDEX(WBS_CBS!$M$5:$M$16,MATCH($D17,WBS_CBS!$A$5:$A$16,0)),"Yes"))</f>
        <v/>
      </c>
      <c r="V17" s="150">
        <f>IF($D17="","",IFERROR(INDEX(WBS_CBS!$N$5:$N$16,MATCH($D17,WBS_CBS!$A$5:$A$16,0)),"Yes"))</f>
        <v/>
      </c>
      <c r="W17" s="150">
        <f>IF($D17="","",IFERROR(INDEX(WBS_CBS!$K$5:$K$16,MATCH($D17,WBS_CBS!$A$5:$A$16,0)),""))</f>
        <v/>
      </c>
      <c r="X17" s="150">
        <f>IF($D17="","",IFERROR(INDEX(WBS_CBS!$F$5:$F$16,MATCH($D17,WBS_CBS!$A$5:$A$16,0)),""))</f>
        <v/>
      </c>
      <c r="Y17" s="149" t="n"/>
      <c r="Z17" s="149" t="n"/>
      <c r="AA17" s="150">
        <f>IF($D17="","",IFERROR(INDEX(WBS_CBS!$L$5:$L$16,MATCH($D17,WBS_CBS!$A$5:$A$16,0)),""))</f>
        <v/>
      </c>
      <c r="AB17" s="149" t="n"/>
    </row>
    <row r="18">
      <c r="A18" s="149" t="n"/>
      <c r="B18" s="149" t="n"/>
      <c r="C18" s="150">
        <f>IF($D18="","",IFERROR(INDEX(WBS_CBS!$E$5:$E$16,MATCH($D18,WBS_CBS!$A$5:$A$16,0)),""))</f>
        <v/>
      </c>
      <c r="D18" s="149" t="n"/>
      <c r="E18" s="150">
        <f>IF($D18="","",IFERROR(INDEX(WBS_CBS!$C$5:$C$16,MATCH($D18,WBS_CBS!$A$5:$A$16,0)),""))</f>
        <v/>
      </c>
      <c r="F18" s="150">
        <f>IF($D18="","",IFERROR(INDEX(WBS_CBS!$J$5:$J$16,MATCH($D18,WBS_CBS!$A$5:$A$16,0)),""))</f>
        <v/>
      </c>
      <c r="G18" s="149" t="n"/>
      <c r="H18" s="151" t="n"/>
      <c r="I18" s="149" t="n"/>
      <c r="J18" s="152" t="n"/>
      <c r="K18" s="149" t="n"/>
      <c r="L18" s="153">
        <f>IF($K18="","",IFERROR(INDEX(FX_Rates!$B$5:$B$14,MATCH($K18,FX_Rates!$A$5:$A$14,0)),""))</f>
        <v/>
      </c>
      <c r="M18" s="153">
        <f>IF(OR($H18="",$J18=""),"",$H18*$J18)</f>
        <v/>
      </c>
      <c r="N18" s="153">
        <f>IF(OR($M18="",$L18=""),"",$M18*$L18)</f>
        <v/>
      </c>
      <c r="O18" s="149" t="n"/>
      <c r="P18" s="154">
        <f>IF($O18="","",IFERROR(INDEX(Basis_of_Estimate!$C$5:$C$9,MATCH($O18,Basis_of_Estimate!$A$5:$A$9,0)),""))</f>
        <v/>
      </c>
      <c r="Q18" s="154">
        <f>IF($O18="","",IFERROR(INDEX(Basis_of_Estimate!$D$5:$D$9,MATCH($O18,Basis_of_Estimate!$A$5:$A$9,0)),""))</f>
        <v/>
      </c>
      <c r="R18" s="153">
        <f>IF($N18="","",$N18*(1+$P18))</f>
        <v/>
      </c>
      <c r="S18" s="153">
        <f>IF($N18="","",$N18)</f>
        <v/>
      </c>
      <c r="T18" s="153">
        <f>IF($N18="","",$N18*(1+$Q18))</f>
        <v/>
      </c>
      <c r="U18" s="150">
        <f>IF($D18="","",IFERROR(INDEX(WBS_CBS!$M$5:$M$16,MATCH($D18,WBS_CBS!$A$5:$A$16,0)),"Yes"))</f>
        <v/>
      </c>
      <c r="V18" s="150">
        <f>IF($D18="","",IFERROR(INDEX(WBS_CBS!$N$5:$N$16,MATCH($D18,WBS_CBS!$A$5:$A$16,0)),"Yes"))</f>
        <v/>
      </c>
      <c r="W18" s="150">
        <f>IF($D18="","",IFERROR(INDEX(WBS_CBS!$K$5:$K$16,MATCH($D18,WBS_CBS!$A$5:$A$16,0)),""))</f>
        <v/>
      </c>
      <c r="X18" s="150">
        <f>IF($D18="","",IFERROR(INDEX(WBS_CBS!$F$5:$F$16,MATCH($D18,WBS_CBS!$A$5:$A$16,0)),""))</f>
        <v/>
      </c>
      <c r="Y18" s="149" t="n"/>
      <c r="Z18" s="149" t="n"/>
      <c r="AA18" s="150">
        <f>IF($D18="","",IFERROR(INDEX(WBS_CBS!$L$5:$L$16,MATCH($D18,WBS_CBS!$A$5:$A$16,0)),""))</f>
        <v/>
      </c>
      <c r="AB18" s="149" t="n"/>
    </row>
    <row r="19">
      <c r="A19" s="149" t="n"/>
      <c r="B19" s="149" t="n"/>
      <c r="C19" s="150">
        <f>IF($D19="","",IFERROR(INDEX(WBS_CBS!$E$5:$E$16,MATCH($D19,WBS_CBS!$A$5:$A$16,0)),""))</f>
        <v/>
      </c>
      <c r="D19" s="149" t="n"/>
      <c r="E19" s="150">
        <f>IF($D19="","",IFERROR(INDEX(WBS_CBS!$C$5:$C$16,MATCH($D19,WBS_CBS!$A$5:$A$16,0)),""))</f>
        <v/>
      </c>
      <c r="F19" s="150">
        <f>IF($D19="","",IFERROR(INDEX(WBS_CBS!$J$5:$J$16,MATCH($D19,WBS_CBS!$A$5:$A$16,0)),""))</f>
        <v/>
      </c>
      <c r="G19" s="149" t="n"/>
      <c r="H19" s="151" t="n"/>
      <c r="I19" s="149" t="n"/>
      <c r="J19" s="152" t="n"/>
      <c r="K19" s="149" t="n"/>
      <c r="L19" s="153">
        <f>IF($K19="","",IFERROR(INDEX(FX_Rates!$B$5:$B$14,MATCH($K19,FX_Rates!$A$5:$A$14,0)),""))</f>
        <v/>
      </c>
      <c r="M19" s="153">
        <f>IF(OR($H19="",$J19=""),"",$H19*$J19)</f>
        <v/>
      </c>
      <c r="N19" s="153">
        <f>IF(OR($M19="",$L19=""),"",$M19*$L19)</f>
        <v/>
      </c>
      <c r="O19" s="149" t="n"/>
      <c r="P19" s="154">
        <f>IF($O19="","",IFERROR(INDEX(Basis_of_Estimate!$C$5:$C$9,MATCH($O19,Basis_of_Estimate!$A$5:$A$9,0)),""))</f>
        <v/>
      </c>
      <c r="Q19" s="154">
        <f>IF($O19="","",IFERROR(INDEX(Basis_of_Estimate!$D$5:$D$9,MATCH($O19,Basis_of_Estimate!$A$5:$A$9,0)),""))</f>
        <v/>
      </c>
      <c r="R19" s="153">
        <f>IF($N19="","",$N19*(1+$P19))</f>
        <v/>
      </c>
      <c r="S19" s="153">
        <f>IF($N19="","",$N19)</f>
        <v/>
      </c>
      <c r="T19" s="153">
        <f>IF($N19="","",$N19*(1+$Q19))</f>
        <v/>
      </c>
      <c r="U19" s="150">
        <f>IF($D19="","",IFERROR(INDEX(WBS_CBS!$M$5:$M$16,MATCH($D19,WBS_CBS!$A$5:$A$16,0)),"Yes"))</f>
        <v/>
      </c>
      <c r="V19" s="150">
        <f>IF($D19="","",IFERROR(INDEX(WBS_CBS!$N$5:$N$16,MATCH($D19,WBS_CBS!$A$5:$A$16,0)),"Yes"))</f>
        <v/>
      </c>
      <c r="W19" s="150">
        <f>IF($D19="","",IFERROR(INDEX(WBS_CBS!$K$5:$K$16,MATCH($D19,WBS_CBS!$A$5:$A$16,0)),""))</f>
        <v/>
      </c>
      <c r="X19" s="150">
        <f>IF($D19="","",IFERROR(INDEX(WBS_CBS!$F$5:$F$16,MATCH($D19,WBS_CBS!$A$5:$A$16,0)),""))</f>
        <v/>
      </c>
      <c r="Y19" s="149" t="n"/>
      <c r="Z19" s="149" t="n"/>
      <c r="AA19" s="150">
        <f>IF($D19="","",IFERROR(INDEX(WBS_CBS!$L$5:$L$16,MATCH($D19,WBS_CBS!$A$5:$A$16,0)),""))</f>
        <v/>
      </c>
      <c r="AB19" s="149" t="n"/>
    </row>
    <row r="20">
      <c r="A20" s="149" t="n"/>
      <c r="B20" s="149" t="n"/>
      <c r="C20" s="150">
        <f>IF($D20="","",IFERROR(INDEX(WBS_CBS!$E$5:$E$16,MATCH($D20,WBS_CBS!$A$5:$A$16,0)),""))</f>
        <v/>
      </c>
      <c r="D20" s="149" t="n"/>
      <c r="E20" s="150">
        <f>IF($D20="","",IFERROR(INDEX(WBS_CBS!$C$5:$C$16,MATCH($D20,WBS_CBS!$A$5:$A$16,0)),""))</f>
        <v/>
      </c>
      <c r="F20" s="150">
        <f>IF($D20="","",IFERROR(INDEX(WBS_CBS!$J$5:$J$16,MATCH($D20,WBS_CBS!$A$5:$A$16,0)),""))</f>
        <v/>
      </c>
      <c r="G20" s="149" t="n"/>
      <c r="H20" s="151" t="n"/>
      <c r="I20" s="149" t="n"/>
      <c r="J20" s="152" t="n"/>
      <c r="K20" s="149" t="n"/>
      <c r="L20" s="153">
        <f>IF($K20="","",IFERROR(INDEX(FX_Rates!$B$5:$B$14,MATCH($K20,FX_Rates!$A$5:$A$14,0)),""))</f>
        <v/>
      </c>
      <c r="M20" s="153">
        <f>IF(OR($H20="",$J20=""),"",$H20*$J20)</f>
        <v/>
      </c>
      <c r="N20" s="153">
        <f>IF(OR($M20="",$L20=""),"",$M20*$L20)</f>
        <v/>
      </c>
      <c r="O20" s="149" t="n"/>
      <c r="P20" s="154">
        <f>IF($O20="","",IFERROR(INDEX(Basis_of_Estimate!$C$5:$C$9,MATCH($O20,Basis_of_Estimate!$A$5:$A$9,0)),""))</f>
        <v/>
      </c>
      <c r="Q20" s="154">
        <f>IF($O20="","",IFERROR(INDEX(Basis_of_Estimate!$D$5:$D$9,MATCH($O20,Basis_of_Estimate!$A$5:$A$9,0)),""))</f>
        <v/>
      </c>
      <c r="R20" s="153">
        <f>IF($N20="","",$N20*(1+$P20))</f>
        <v/>
      </c>
      <c r="S20" s="153">
        <f>IF($N20="","",$N20)</f>
        <v/>
      </c>
      <c r="T20" s="153">
        <f>IF($N20="","",$N20*(1+$Q20))</f>
        <v/>
      </c>
      <c r="U20" s="150">
        <f>IF($D20="","",IFERROR(INDEX(WBS_CBS!$M$5:$M$16,MATCH($D20,WBS_CBS!$A$5:$A$16,0)),"Yes"))</f>
        <v/>
      </c>
      <c r="V20" s="150">
        <f>IF($D20="","",IFERROR(INDEX(WBS_CBS!$N$5:$N$16,MATCH($D20,WBS_CBS!$A$5:$A$16,0)),"Yes"))</f>
        <v/>
      </c>
      <c r="W20" s="150">
        <f>IF($D20="","",IFERROR(INDEX(WBS_CBS!$K$5:$K$16,MATCH($D20,WBS_CBS!$A$5:$A$16,0)),""))</f>
        <v/>
      </c>
      <c r="X20" s="150">
        <f>IF($D20="","",IFERROR(INDEX(WBS_CBS!$F$5:$F$16,MATCH($D20,WBS_CBS!$A$5:$A$16,0)),""))</f>
        <v/>
      </c>
      <c r="Y20" s="149" t="n"/>
      <c r="Z20" s="149" t="n"/>
      <c r="AA20" s="150">
        <f>IF($D20="","",IFERROR(INDEX(WBS_CBS!$L$5:$L$16,MATCH($D20,WBS_CBS!$A$5:$A$16,0)),""))</f>
        <v/>
      </c>
      <c r="AB20" s="149" t="n"/>
    </row>
    <row r="21">
      <c r="A21" s="149" t="n"/>
      <c r="B21" s="149" t="n"/>
      <c r="C21" s="150">
        <f>IF($D21="","",IFERROR(INDEX(WBS_CBS!$E$5:$E$16,MATCH($D21,WBS_CBS!$A$5:$A$16,0)),""))</f>
        <v/>
      </c>
      <c r="D21" s="149" t="n"/>
      <c r="E21" s="150">
        <f>IF($D21="","",IFERROR(INDEX(WBS_CBS!$C$5:$C$16,MATCH($D21,WBS_CBS!$A$5:$A$16,0)),""))</f>
        <v/>
      </c>
      <c r="F21" s="150">
        <f>IF($D21="","",IFERROR(INDEX(WBS_CBS!$J$5:$J$16,MATCH($D21,WBS_CBS!$A$5:$A$16,0)),""))</f>
        <v/>
      </c>
      <c r="G21" s="149" t="n"/>
      <c r="H21" s="151" t="n"/>
      <c r="I21" s="149" t="n"/>
      <c r="J21" s="152" t="n"/>
      <c r="K21" s="149" t="n"/>
      <c r="L21" s="153">
        <f>IF($K21="","",IFERROR(INDEX(FX_Rates!$B$5:$B$14,MATCH($K21,FX_Rates!$A$5:$A$14,0)),""))</f>
        <v/>
      </c>
      <c r="M21" s="153">
        <f>IF(OR($H21="",$J21=""),"",$H21*$J21)</f>
        <v/>
      </c>
      <c r="N21" s="153">
        <f>IF(OR($M21="",$L21=""),"",$M21*$L21)</f>
        <v/>
      </c>
      <c r="O21" s="149" t="n"/>
      <c r="P21" s="154">
        <f>IF($O21="","",IFERROR(INDEX(Basis_of_Estimate!$C$5:$C$9,MATCH($O21,Basis_of_Estimate!$A$5:$A$9,0)),""))</f>
        <v/>
      </c>
      <c r="Q21" s="154">
        <f>IF($O21="","",IFERROR(INDEX(Basis_of_Estimate!$D$5:$D$9,MATCH($O21,Basis_of_Estimate!$A$5:$A$9,0)),""))</f>
        <v/>
      </c>
      <c r="R21" s="153">
        <f>IF($N21="","",$N21*(1+$P21))</f>
        <v/>
      </c>
      <c r="S21" s="153">
        <f>IF($N21="","",$N21)</f>
        <v/>
      </c>
      <c r="T21" s="153">
        <f>IF($N21="","",$N21*(1+$Q21))</f>
        <v/>
      </c>
      <c r="U21" s="150">
        <f>IF($D21="","",IFERROR(INDEX(WBS_CBS!$M$5:$M$16,MATCH($D21,WBS_CBS!$A$5:$A$16,0)),"Yes"))</f>
        <v/>
      </c>
      <c r="V21" s="150">
        <f>IF($D21="","",IFERROR(INDEX(WBS_CBS!$N$5:$N$16,MATCH($D21,WBS_CBS!$A$5:$A$16,0)),"Yes"))</f>
        <v/>
      </c>
      <c r="W21" s="150">
        <f>IF($D21="","",IFERROR(INDEX(WBS_CBS!$K$5:$K$16,MATCH($D21,WBS_CBS!$A$5:$A$16,0)),""))</f>
        <v/>
      </c>
      <c r="X21" s="150">
        <f>IF($D21="","",IFERROR(INDEX(WBS_CBS!$F$5:$F$16,MATCH($D21,WBS_CBS!$A$5:$A$16,0)),""))</f>
        <v/>
      </c>
      <c r="Y21" s="149" t="n"/>
      <c r="Z21" s="149" t="n"/>
      <c r="AA21" s="150">
        <f>IF($D21="","",IFERROR(INDEX(WBS_CBS!$L$5:$L$16,MATCH($D21,WBS_CBS!$A$5:$A$16,0)),""))</f>
        <v/>
      </c>
      <c r="AB21" s="149" t="n"/>
    </row>
    <row r="22">
      <c r="A22" s="149" t="n"/>
      <c r="B22" s="149" t="n"/>
      <c r="C22" s="150">
        <f>IF($D22="","",IFERROR(INDEX(WBS_CBS!$E$5:$E$16,MATCH($D22,WBS_CBS!$A$5:$A$16,0)),""))</f>
        <v/>
      </c>
      <c r="D22" s="149" t="n"/>
      <c r="E22" s="150">
        <f>IF($D22="","",IFERROR(INDEX(WBS_CBS!$C$5:$C$16,MATCH($D22,WBS_CBS!$A$5:$A$16,0)),""))</f>
        <v/>
      </c>
      <c r="F22" s="150">
        <f>IF($D22="","",IFERROR(INDEX(WBS_CBS!$J$5:$J$16,MATCH($D22,WBS_CBS!$A$5:$A$16,0)),""))</f>
        <v/>
      </c>
      <c r="G22" s="149" t="n"/>
      <c r="H22" s="151" t="n"/>
      <c r="I22" s="149" t="n"/>
      <c r="J22" s="152" t="n"/>
      <c r="K22" s="149" t="n"/>
      <c r="L22" s="153">
        <f>IF($K22="","",IFERROR(INDEX(FX_Rates!$B$5:$B$14,MATCH($K22,FX_Rates!$A$5:$A$14,0)),""))</f>
        <v/>
      </c>
      <c r="M22" s="153">
        <f>IF(OR($H22="",$J22=""),"",$H22*$J22)</f>
        <v/>
      </c>
      <c r="N22" s="153">
        <f>IF(OR($M22="",$L22=""),"",$M22*$L22)</f>
        <v/>
      </c>
      <c r="O22" s="149" t="n"/>
      <c r="P22" s="154">
        <f>IF($O22="","",IFERROR(INDEX(Basis_of_Estimate!$C$5:$C$9,MATCH($O22,Basis_of_Estimate!$A$5:$A$9,0)),""))</f>
        <v/>
      </c>
      <c r="Q22" s="154">
        <f>IF($O22="","",IFERROR(INDEX(Basis_of_Estimate!$D$5:$D$9,MATCH($O22,Basis_of_Estimate!$A$5:$A$9,0)),""))</f>
        <v/>
      </c>
      <c r="R22" s="153">
        <f>IF($N22="","",$N22*(1+$P22))</f>
        <v/>
      </c>
      <c r="S22" s="153">
        <f>IF($N22="","",$N22)</f>
        <v/>
      </c>
      <c r="T22" s="153">
        <f>IF($N22="","",$N22*(1+$Q22))</f>
        <v/>
      </c>
      <c r="U22" s="150">
        <f>IF($D22="","",IFERROR(INDEX(WBS_CBS!$M$5:$M$16,MATCH($D22,WBS_CBS!$A$5:$A$16,0)),"Yes"))</f>
        <v/>
      </c>
      <c r="V22" s="150">
        <f>IF($D22="","",IFERROR(INDEX(WBS_CBS!$N$5:$N$16,MATCH($D22,WBS_CBS!$A$5:$A$16,0)),"Yes"))</f>
        <v/>
      </c>
      <c r="W22" s="150">
        <f>IF($D22="","",IFERROR(INDEX(WBS_CBS!$K$5:$K$16,MATCH($D22,WBS_CBS!$A$5:$A$16,0)),""))</f>
        <v/>
      </c>
      <c r="X22" s="150">
        <f>IF($D22="","",IFERROR(INDEX(WBS_CBS!$F$5:$F$16,MATCH($D22,WBS_CBS!$A$5:$A$16,0)),""))</f>
        <v/>
      </c>
      <c r="Y22" s="149" t="n"/>
      <c r="Z22" s="149" t="n"/>
      <c r="AA22" s="150">
        <f>IF($D22="","",IFERROR(INDEX(WBS_CBS!$L$5:$L$16,MATCH($D22,WBS_CBS!$A$5:$A$16,0)),""))</f>
        <v/>
      </c>
      <c r="AB22" s="149" t="n"/>
    </row>
    <row r="23">
      <c r="A23" s="149" t="n"/>
      <c r="B23" s="149" t="n"/>
      <c r="C23" s="150">
        <f>IF($D23="","",IFERROR(INDEX(WBS_CBS!$E$5:$E$16,MATCH($D23,WBS_CBS!$A$5:$A$16,0)),""))</f>
        <v/>
      </c>
      <c r="D23" s="149" t="n"/>
      <c r="E23" s="150">
        <f>IF($D23="","",IFERROR(INDEX(WBS_CBS!$C$5:$C$16,MATCH($D23,WBS_CBS!$A$5:$A$16,0)),""))</f>
        <v/>
      </c>
      <c r="F23" s="150">
        <f>IF($D23="","",IFERROR(INDEX(WBS_CBS!$J$5:$J$16,MATCH($D23,WBS_CBS!$A$5:$A$16,0)),""))</f>
        <v/>
      </c>
      <c r="G23" s="149" t="n"/>
      <c r="H23" s="151" t="n"/>
      <c r="I23" s="149" t="n"/>
      <c r="J23" s="152" t="n"/>
      <c r="K23" s="149" t="n"/>
      <c r="L23" s="153">
        <f>IF($K23="","",IFERROR(INDEX(FX_Rates!$B$5:$B$14,MATCH($K23,FX_Rates!$A$5:$A$14,0)),""))</f>
        <v/>
      </c>
      <c r="M23" s="153">
        <f>IF(OR($H23="",$J23=""),"",$H23*$J23)</f>
        <v/>
      </c>
      <c r="N23" s="153">
        <f>IF(OR($M23="",$L23=""),"",$M23*$L23)</f>
        <v/>
      </c>
      <c r="O23" s="149" t="n"/>
      <c r="P23" s="154">
        <f>IF($O23="","",IFERROR(INDEX(Basis_of_Estimate!$C$5:$C$9,MATCH($O23,Basis_of_Estimate!$A$5:$A$9,0)),""))</f>
        <v/>
      </c>
      <c r="Q23" s="154">
        <f>IF($O23="","",IFERROR(INDEX(Basis_of_Estimate!$D$5:$D$9,MATCH($O23,Basis_of_Estimate!$A$5:$A$9,0)),""))</f>
        <v/>
      </c>
      <c r="R23" s="153">
        <f>IF($N23="","",$N23*(1+$P23))</f>
        <v/>
      </c>
      <c r="S23" s="153">
        <f>IF($N23="","",$N23)</f>
        <v/>
      </c>
      <c r="T23" s="153">
        <f>IF($N23="","",$N23*(1+$Q23))</f>
        <v/>
      </c>
      <c r="U23" s="150">
        <f>IF($D23="","",IFERROR(INDEX(WBS_CBS!$M$5:$M$16,MATCH($D23,WBS_CBS!$A$5:$A$16,0)),"Yes"))</f>
        <v/>
      </c>
      <c r="V23" s="150">
        <f>IF($D23="","",IFERROR(INDEX(WBS_CBS!$N$5:$N$16,MATCH($D23,WBS_CBS!$A$5:$A$16,0)),"Yes"))</f>
        <v/>
      </c>
      <c r="W23" s="150">
        <f>IF($D23="","",IFERROR(INDEX(WBS_CBS!$K$5:$K$16,MATCH($D23,WBS_CBS!$A$5:$A$16,0)),""))</f>
        <v/>
      </c>
      <c r="X23" s="150">
        <f>IF($D23="","",IFERROR(INDEX(WBS_CBS!$F$5:$F$16,MATCH($D23,WBS_CBS!$A$5:$A$16,0)),""))</f>
        <v/>
      </c>
      <c r="Y23" s="149" t="n"/>
      <c r="Z23" s="149" t="n"/>
      <c r="AA23" s="150">
        <f>IF($D23="","",IFERROR(INDEX(WBS_CBS!$L$5:$L$16,MATCH($D23,WBS_CBS!$A$5:$A$16,0)),""))</f>
        <v/>
      </c>
      <c r="AB23" s="149" t="n"/>
    </row>
    <row r="24">
      <c r="A24" s="149" t="n"/>
      <c r="B24" s="149" t="n"/>
      <c r="C24" s="150">
        <f>IF($D24="","",IFERROR(INDEX(WBS_CBS!$E$5:$E$16,MATCH($D24,WBS_CBS!$A$5:$A$16,0)),""))</f>
        <v/>
      </c>
      <c r="D24" s="149" t="n"/>
      <c r="E24" s="150">
        <f>IF($D24="","",IFERROR(INDEX(WBS_CBS!$C$5:$C$16,MATCH($D24,WBS_CBS!$A$5:$A$16,0)),""))</f>
        <v/>
      </c>
      <c r="F24" s="150">
        <f>IF($D24="","",IFERROR(INDEX(WBS_CBS!$J$5:$J$16,MATCH($D24,WBS_CBS!$A$5:$A$16,0)),""))</f>
        <v/>
      </c>
      <c r="G24" s="149" t="n"/>
      <c r="H24" s="151" t="n"/>
      <c r="I24" s="149" t="n"/>
      <c r="J24" s="152" t="n"/>
      <c r="K24" s="149" t="n"/>
      <c r="L24" s="153">
        <f>IF($K24="","",IFERROR(INDEX(FX_Rates!$B$5:$B$14,MATCH($K24,FX_Rates!$A$5:$A$14,0)),""))</f>
        <v/>
      </c>
      <c r="M24" s="153">
        <f>IF(OR($H24="",$J24=""),"",$H24*$J24)</f>
        <v/>
      </c>
      <c r="N24" s="153">
        <f>IF(OR($M24="",$L24=""),"",$M24*$L24)</f>
        <v/>
      </c>
      <c r="O24" s="149" t="n"/>
      <c r="P24" s="154">
        <f>IF($O24="","",IFERROR(INDEX(Basis_of_Estimate!$C$5:$C$9,MATCH($O24,Basis_of_Estimate!$A$5:$A$9,0)),""))</f>
        <v/>
      </c>
      <c r="Q24" s="154">
        <f>IF($O24="","",IFERROR(INDEX(Basis_of_Estimate!$D$5:$D$9,MATCH($O24,Basis_of_Estimate!$A$5:$A$9,0)),""))</f>
        <v/>
      </c>
      <c r="R24" s="153">
        <f>IF($N24="","",$N24*(1+$P24))</f>
        <v/>
      </c>
      <c r="S24" s="153">
        <f>IF($N24="","",$N24)</f>
        <v/>
      </c>
      <c r="T24" s="153">
        <f>IF($N24="","",$N24*(1+$Q24))</f>
        <v/>
      </c>
      <c r="U24" s="150">
        <f>IF($D24="","",IFERROR(INDEX(WBS_CBS!$M$5:$M$16,MATCH($D24,WBS_CBS!$A$5:$A$16,0)),"Yes"))</f>
        <v/>
      </c>
      <c r="V24" s="150">
        <f>IF($D24="","",IFERROR(INDEX(WBS_CBS!$N$5:$N$16,MATCH($D24,WBS_CBS!$A$5:$A$16,0)),"Yes"))</f>
        <v/>
      </c>
      <c r="W24" s="150">
        <f>IF($D24="","",IFERROR(INDEX(WBS_CBS!$K$5:$K$16,MATCH($D24,WBS_CBS!$A$5:$A$16,0)),""))</f>
        <v/>
      </c>
      <c r="X24" s="150">
        <f>IF($D24="","",IFERROR(INDEX(WBS_CBS!$F$5:$F$16,MATCH($D24,WBS_CBS!$A$5:$A$16,0)),""))</f>
        <v/>
      </c>
      <c r="Y24" s="149" t="n"/>
      <c r="Z24" s="149" t="n"/>
      <c r="AA24" s="150">
        <f>IF($D24="","",IFERROR(INDEX(WBS_CBS!$L$5:$L$16,MATCH($D24,WBS_CBS!$A$5:$A$16,0)),""))</f>
        <v/>
      </c>
      <c r="AB24" s="149" t="n"/>
    </row>
    <row r="25">
      <c r="A25" s="149" t="n"/>
      <c r="B25" s="149" t="n"/>
      <c r="C25" s="150">
        <f>IF($D25="","",IFERROR(INDEX(WBS_CBS!$E$5:$E$16,MATCH($D25,WBS_CBS!$A$5:$A$16,0)),""))</f>
        <v/>
      </c>
      <c r="D25" s="149" t="n"/>
      <c r="E25" s="150">
        <f>IF($D25="","",IFERROR(INDEX(WBS_CBS!$C$5:$C$16,MATCH($D25,WBS_CBS!$A$5:$A$16,0)),""))</f>
        <v/>
      </c>
      <c r="F25" s="150">
        <f>IF($D25="","",IFERROR(INDEX(WBS_CBS!$J$5:$J$16,MATCH($D25,WBS_CBS!$A$5:$A$16,0)),""))</f>
        <v/>
      </c>
      <c r="G25" s="149" t="n"/>
      <c r="H25" s="151" t="n"/>
      <c r="I25" s="149" t="n"/>
      <c r="J25" s="152" t="n"/>
      <c r="K25" s="149" t="n"/>
      <c r="L25" s="153">
        <f>IF($K25="","",IFERROR(INDEX(FX_Rates!$B$5:$B$14,MATCH($K25,FX_Rates!$A$5:$A$14,0)),""))</f>
        <v/>
      </c>
      <c r="M25" s="153">
        <f>IF(OR($H25="",$J25=""),"",$H25*$J25)</f>
        <v/>
      </c>
      <c r="N25" s="153">
        <f>IF(OR($M25="",$L25=""),"",$M25*$L25)</f>
        <v/>
      </c>
      <c r="O25" s="149" t="n"/>
      <c r="P25" s="154">
        <f>IF($O25="","",IFERROR(INDEX(Basis_of_Estimate!$C$5:$C$9,MATCH($O25,Basis_of_Estimate!$A$5:$A$9,0)),""))</f>
        <v/>
      </c>
      <c r="Q25" s="154">
        <f>IF($O25="","",IFERROR(INDEX(Basis_of_Estimate!$D$5:$D$9,MATCH($O25,Basis_of_Estimate!$A$5:$A$9,0)),""))</f>
        <v/>
      </c>
      <c r="R25" s="153">
        <f>IF($N25="","",$N25*(1+$P25))</f>
        <v/>
      </c>
      <c r="S25" s="153">
        <f>IF($N25="","",$N25)</f>
        <v/>
      </c>
      <c r="T25" s="153">
        <f>IF($N25="","",$N25*(1+$Q25))</f>
        <v/>
      </c>
      <c r="U25" s="150">
        <f>IF($D25="","",IFERROR(INDEX(WBS_CBS!$M$5:$M$16,MATCH($D25,WBS_CBS!$A$5:$A$16,0)),"Yes"))</f>
        <v/>
      </c>
      <c r="V25" s="150">
        <f>IF($D25="","",IFERROR(INDEX(WBS_CBS!$N$5:$N$16,MATCH($D25,WBS_CBS!$A$5:$A$16,0)),"Yes"))</f>
        <v/>
      </c>
      <c r="W25" s="150">
        <f>IF($D25="","",IFERROR(INDEX(WBS_CBS!$K$5:$K$16,MATCH($D25,WBS_CBS!$A$5:$A$16,0)),""))</f>
        <v/>
      </c>
      <c r="X25" s="150">
        <f>IF($D25="","",IFERROR(INDEX(WBS_CBS!$F$5:$F$16,MATCH($D25,WBS_CBS!$A$5:$A$16,0)),""))</f>
        <v/>
      </c>
      <c r="Y25" s="149" t="n"/>
      <c r="Z25" s="149" t="n"/>
      <c r="AA25" s="150">
        <f>IF($D25="","",IFERROR(INDEX(WBS_CBS!$L$5:$L$16,MATCH($D25,WBS_CBS!$A$5:$A$16,0)),""))</f>
        <v/>
      </c>
      <c r="AB25" s="149" t="n"/>
    </row>
    <row r="26">
      <c r="A26" s="149" t="n"/>
      <c r="B26" s="149" t="n"/>
      <c r="C26" s="150">
        <f>IF($D26="","",IFERROR(INDEX(WBS_CBS!$E$5:$E$16,MATCH($D26,WBS_CBS!$A$5:$A$16,0)),""))</f>
        <v/>
      </c>
      <c r="D26" s="149" t="n"/>
      <c r="E26" s="150">
        <f>IF($D26="","",IFERROR(INDEX(WBS_CBS!$C$5:$C$16,MATCH($D26,WBS_CBS!$A$5:$A$16,0)),""))</f>
        <v/>
      </c>
      <c r="F26" s="150">
        <f>IF($D26="","",IFERROR(INDEX(WBS_CBS!$J$5:$J$16,MATCH($D26,WBS_CBS!$A$5:$A$16,0)),""))</f>
        <v/>
      </c>
      <c r="G26" s="149" t="n"/>
      <c r="H26" s="151" t="n"/>
      <c r="I26" s="149" t="n"/>
      <c r="J26" s="152" t="n"/>
      <c r="K26" s="149" t="n"/>
      <c r="L26" s="153">
        <f>IF($K26="","",IFERROR(INDEX(FX_Rates!$B$5:$B$14,MATCH($K26,FX_Rates!$A$5:$A$14,0)),""))</f>
        <v/>
      </c>
      <c r="M26" s="153">
        <f>IF(OR($H26="",$J26=""),"",$H26*$J26)</f>
        <v/>
      </c>
      <c r="N26" s="153">
        <f>IF(OR($M26="",$L26=""),"",$M26*$L26)</f>
        <v/>
      </c>
      <c r="O26" s="149" t="n"/>
      <c r="P26" s="154">
        <f>IF($O26="","",IFERROR(INDEX(Basis_of_Estimate!$C$5:$C$9,MATCH($O26,Basis_of_Estimate!$A$5:$A$9,0)),""))</f>
        <v/>
      </c>
      <c r="Q26" s="154">
        <f>IF($O26="","",IFERROR(INDEX(Basis_of_Estimate!$D$5:$D$9,MATCH($O26,Basis_of_Estimate!$A$5:$A$9,0)),""))</f>
        <v/>
      </c>
      <c r="R26" s="153">
        <f>IF($N26="","",$N26*(1+$P26))</f>
        <v/>
      </c>
      <c r="S26" s="153">
        <f>IF($N26="","",$N26)</f>
        <v/>
      </c>
      <c r="T26" s="153">
        <f>IF($N26="","",$N26*(1+$Q26))</f>
        <v/>
      </c>
      <c r="U26" s="150">
        <f>IF($D26="","",IFERROR(INDEX(WBS_CBS!$M$5:$M$16,MATCH($D26,WBS_CBS!$A$5:$A$16,0)),"Yes"))</f>
        <v/>
      </c>
      <c r="V26" s="150">
        <f>IF($D26="","",IFERROR(INDEX(WBS_CBS!$N$5:$N$16,MATCH($D26,WBS_CBS!$A$5:$A$16,0)),"Yes"))</f>
        <v/>
      </c>
      <c r="W26" s="150">
        <f>IF($D26="","",IFERROR(INDEX(WBS_CBS!$K$5:$K$16,MATCH($D26,WBS_CBS!$A$5:$A$16,0)),""))</f>
        <v/>
      </c>
      <c r="X26" s="150">
        <f>IF($D26="","",IFERROR(INDEX(WBS_CBS!$F$5:$F$16,MATCH($D26,WBS_CBS!$A$5:$A$16,0)),""))</f>
        <v/>
      </c>
      <c r="Y26" s="149" t="n"/>
      <c r="Z26" s="149" t="n"/>
      <c r="AA26" s="150">
        <f>IF($D26="","",IFERROR(INDEX(WBS_CBS!$L$5:$L$16,MATCH($D26,WBS_CBS!$A$5:$A$16,0)),""))</f>
        <v/>
      </c>
      <c r="AB26" s="149" t="n"/>
    </row>
    <row r="27">
      <c r="A27" s="149" t="n"/>
      <c r="B27" s="149" t="n"/>
      <c r="C27" s="150">
        <f>IF($D27="","",IFERROR(INDEX(WBS_CBS!$E$5:$E$16,MATCH($D27,WBS_CBS!$A$5:$A$16,0)),""))</f>
        <v/>
      </c>
      <c r="D27" s="149" t="n"/>
      <c r="E27" s="150">
        <f>IF($D27="","",IFERROR(INDEX(WBS_CBS!$C$5:$C$16,MATCH($D27,WBS_CBS!$A$5:$A$16,0)),""))</f>
        <v/>
      </c>
      <c r="F27" s="150">
        <f>IF($D27="","",IFERROR(INDEX(WBS_CBS!$J$5:$J$16,MATCH($D27,WBS_CBS!$A$5:$A$16,0)),""))</f>
        <v/>
      </c>
      <c r="G27" s="149" t="n"/>
      <c r="H27" s="151" t="n"/>
      <c r="I27" s="149" t="n"/>
      <c r="J27" s="152" t="n"/>
      <c r="K27" s="149" t="n"/>
      <c r="L27" s="153">
        <f>IF($K27="","",IFERROR(INDEX(FX_Rates!$B$5:$B$14,MATCH($K27,FX_Rates!$A$5:$A$14,0)),""))</f>
        <v/>
      </c>
      <c r="M27" s="153">
        <f>IF(OR($H27="",$J27=""),"",$H27*$J27)</f>
        <v/>
      </c>
      <c r="N27" s="153">
        <f>IF(OR($M27="",$L27=""),"",$M27*$L27)</f>
        <v/>
      </c>
      <c r="O27" s="149" t="n"/>
      <c r="P27" s="154">
        <f>IF($O27="","",IFERROR(INDEX(Basis_of_Estimate!$C$5:$C$9,MATCH($O27,Basis_of_Estimate!$A$5:$A$9,0)),""))</f>
        <v/>
      </c>
      <c r="Q27" s="154">
        <f>IF($O27="","",IFERROR(INDEX(Basis_of_Estimate!$D$5:$D$9,MATCH($O27,Basis_of_Estimate!$A$5:$A$9,0)),""))</f>
        <v/>
      </c>
      <c r="R27" s="153">
        <f>IF($N27="","",$N27*(1+$P27))</f>
        <v/>
      </c>
      <c r="S27" s="153">
        <f>IF($N27="","",$N27)</f>
        <v/>
      </c>
      <c r="T27" s="153">
        <f>IF($N27="","",$N27*(1+$Q27))</f>
        <v/>
      </c>
      <c r="U27" s="150">
        <f>IF($D27="","",IFERROR(INDEX(WBS_CBS!$M$5:$M$16,MATCH($D27,WBS_CBS!$A$5:$A$16,0)),"Yes"))</f>
        <v/>
      </c>
      <c r="V27" s="150">
        <f>IF($D27="","",IFERROR(INDEX(WBS_CBS!$N$5:$N$16,MATCH($D27,WBS_CBS!$A$5:$A$16,0)),"Yes"))</f>
        <v/>
      </c>
      <c r="W27" s="150">
        <f>IF($D27="","",IFERROR(INDEX(WBS_CBS!$K$5:$K$16,MATCH($D27,WBS_CBS!$A$5:$A$16,0)),""))</f>
        <v/>
      </c>
      <c r="X27" s="150">
        <f>IF($D27="","",IFERROR(INDEX(WBS_CBS!$F$5:$F$16,MATCH($D27,WBS_CBS!$A$5:$A$16,0)),""))</f>
        <v/>
      </c>
      <c r="Y27" s="149" t="n"/>
      <c r="Z27" s="149" t="n"/>
      <c r="AA27" s="150">
        <f>IF($D27="","",IFERROR(INDEX(WBS_CBS!$L$5:$L$16,MATCH($D27,WBS_CBS!$A$5:$A$16,0)),""))</f>
        <v/>
      </c>
      <c r="AB27" s="149" t="n"/>
    </row>
    <row r="28">
      <c r="A28" s="149" t="n"/>
      <c r="B28" s="149" t="n"/>
      <c r="C28" s="150">
        <f>IF($D28="","",IFERROR(INDEX(WBS_CBS!$E$5:$E$16,MATCH($D28,WBS_CBS!$A$5:$A$16,0)),""))</f>
        <v/>
      </c>
      <c r="D28" s="149" t="n"/>
      <c r="E28" s="150">
        <f>IF($D28="","",IFERROR(INDEX(WBS_CBS!$C$5:$C$16,MATCH($D28,WBS_CBS!$A$5:$A$16,0)),""))</f>
        <v/>
      </c>
      <c r="F28" s="150">
        <f>IF($D28="","",IFERROR(INDEX(WBS_CBS!$J$5:$J$16,MATCH($D28,WBS_CBS!$A$5:$A$16,0)),""))</f>
        <v/>
      </c>
      <c r="G28" s="149" t="n"/>
      <c r="H28" s="151" t="n"/>
      <c r="I28" s="149" t="n"/>
      <c r="J28" s="152" t="n"/>
      <c r="K28" s="149" t="n"/>
      <c r="L28" s="153">
        <f>IF($K28="","",IFERROR(INDEX(FX_Rates!$B$5:$B$14,MATCH($K28,FX_Rates!$A$5:$A$14,0)),""))</f>
        <v/>
      </c>
      <c r="M28" s="153">
        <f>IF(OR($H28="",$J28=""),"",$H28*$J28)</f>
        <v/>
      </c>
      <c r="N28" s="153">
        <f>IF(OR($M28="",$L28=""),"",$M28*$L28)</f>
        <v/>
      </c>
      <c r="O28" s="149" t="n"/>
      <c r="P28" s="154">
        <f>IF($O28="","",IFERROR(INDEX(Basis_of_Estimate!$C$5:$C$9,MATCH($O28,Basis_of_Estimate!$A$5:$A$9,0)),""))</f>
        <v/>
      </c>
      <c r="Q28" s="154">
        <f>IF($O28="","",IFERROR(INDEX(Basis_of_Estimate!$D$5:$D$9,MATCH($O28,Basis_of_Estimate!$A$5:$A$9,0)),""))</f>
        <v/>
      </c>
      <c r="R28" s="153">
        <f>IF($N28="","",$N28*(1+$P28))</f>
        <v/>
      </c>
      <c r="S28" s="153">
        <f>IF($N28="","",$N28)</f>
        <v/>
      </c>
      <c r="T28" s="153">
        <f>IF($N28="","",$N28*(1+$Q28))</f>
        <v/>
      </c>
      <c r="U28" s="150">
        <f>IF($D28="","",IFERROR(INDEX(WBS_CBS!$M$5:$M$16,MATCH($D28,WBS_CBS!$A$5:$A$16,0)),"Yes"))</f>
        <v/>
      </c>
      <c r="V28" s="150">
        <f>IF($D28="","",IFERROR(INDEX(WBS_CBS!$N$5:$N$16,MATCH($D28,WBS_CBS!$A$5:$A$16,0)),"Yes"))</f>
        <v/>
      </c>
      <c r="W28" s="150">
        <f>IF($D28="","",IFERROR(INDEX(WBS_CBS!$K$5:$K$16,MATCH($D28,WBS_CBS!$A$5:$A$16,0)),""))</f>
        <v/>
      </c>
      <c r="X28" s="150">
        <f>IF($D28="","",IFERROR(INDEX(WBS_CBS!$F$5:$F$16,MATCH($D28,WBS_CBS!$A$5:$A$16,0)),""))</f>
        <v/>
      </c>
      <c r="Y28" s="149" t="n"/>
      <c r="Z28" s="149" t="n"/>
      <c r="AA28" s="150">
        <f>IF($D28="","",IFERROR(INDEX(WBS_CBS!$L$5:$L$16,MATCH($D28,WBS_CBS!$A$5:$A$16,0)),""))</f>
        <v/>
      </c>
      <c r="AB28" s="149" t="n"/>
    </row>
    <row r="29">
      <c r="A29" s="149" t="n"/>
      <c r="B29" s="149" t="n"/>
      <c r="C29" s="150">
        <f>IF($D29="","",IFERROR(INDEX(WBS_CBS!$E$5:$E$16,MATCH($D29,WBS_CBS!$A$5:$A$16,0)),""))</f>
        <v/>
      </c>
      <c r="D29" s="149" t="n"/>
      <c r="E29" s="150">
        <f>IF($D29="","",IFERROR(INDEX(WBS_CBS!$C$5:$C$16,MATCH($D29,WBS_CBS!$A$5:$A$16,0)),""))</f>
        <v/>
      </c>
      <c r="F29" s="150">
        <f>IF($D29="","",IFERROR(INDEX(WBS_CBS!$J$5:$J$16,MATCH($D29,WBS_CBS!$A$5:$A$16,0)),""))</f>
        <v/>
      </c>
      <c r="G29" s="149" t="n"/>
      <c r="H29" s="151" t="n"/>
      <c r="I29" s="149" t="n"/>
      <c r="J29" s="152" t="n"/>
      <c r="K29" s="149" t="n"/>
      <c r="L29" s="153">
        <f>IF($K29="","",IFERROR(INDEX(FX_Rates!$B$5:$B$14,MATCH($K29,FX_Rates!$A$5:$A$14,0)),""))</f>
        <v/>
      </c>
      <c r="M29" s="153">
        <f>IF(OR($H29="",$J29=""),"",$H29*$J29)</f>
        <v/>
      </c>
      <c r="N29" s="153">
        <f>IF(OR($M29="",$L29=""),"",$M29*$L29)</f>
        <v/>
      </c>
      <c r="O29" s="149" t="n"/>
      <c r="P29" s="154">
        <f>IF($O29="","",IFERROR(INDEX(Basis_of_Estimate!$C$5:$C$9,MATCH($O29,Basis_of_Estimate!$A$5:$A$9,0)),""))</f>
        <v/>
      </c>
      <c r="Q29" s="154">
        <f>IF($O29="","",IFERROR(INDEX(Basis_of_Estimate!$D$5:$D$9,MATCH($O29,Basis_of_Estimate!$A$5:$A$9,0)),""))</f>
        <v/>
      </c>
      <c r="R29" s="153">
        <f>IF($N29="","",$N29*(1+$P29))</f>
        <v/>
      </c>
      <c r="S29" s="153">
        <f>IF($N29="","",$N29)</f>
        <v/>
      </c>
      <c r="T29" s="153">
        <f>IF($N29="","",$N29*(1+$Q29))</f>
        <v/>
      </c>
      <c r="U29" s="150">
        <f>IF($D29="","",IFERROR(INDEX(WBS_CBS!$M$5:$M$16,MATCH($D29,WBS_CBS!$A$5:$A$16,0)),"Yes"))</f>
        <v/>
      </c>
      <c r="V29" s="150">
        <f>IF($D29="","",IFERROR(INDEX(WBS_CBS!$N$5:$N$16,MATCH($D29,WBS_CBS!$A$5:$A$16,0)),"Yes"))</f>
        <v/>
      </c>
      <c r="W29" s="150">
        <f>IF($D29="","",IFERROR(INDEX(WBS_CBS!$K$5:$K$16,MATCH($D29,WBS_CBS!$A$5:$A$16,0)),""))</f>
        <v/>
      </c>
      <c r="X29" s="150">
        <f>IF($D29="","",IFERROR(INDEX(WBS_CBS!$F$5:$F$16,MATCH($D29,WBS_CBS!$A$5:$A$16,0)),""))</f>
        <v/>
      </c>
      <c r="Y29" s="149" t="n"/>
      <c r="Z29" s="149" t="n"/>
      <c r="AA29" s="150">
        <f>IF($D29="","",IFERROR(INDEX(WBS_CBS!$L$5:$L$16,MATCH($D29,WBS_CBS!$A$5:$A$16,0)),""))</f>
        <v/>
      </c>
      <c r="AB29" s="149" t="n"/>
    </row>
    <row r="30">
      <c r="A30" s="149" t="n"/>
      <c r="B30" s="149" t="n"/>
      <c r="C30" s="150">
        <f>IF($D30="","",IFERROR(INDEX(WBS_CBS!$E$5:$E$16,MATCH($D30,WBS_CBS!$A$5:$A$16,0)),""))</f>
        <v/>
      </c>
      <c r="D30" s="149" t="n"/>
      <c r="E30" s="150">
        <f>IF($D30="","",IFERROR(INDEX(WBS_CBS!$C$5:$C$16,MATCH($D30,WBS_CBS!$A$5:$A$16,0)),""))</f>
        <v/>
      </c>
      <c r="F30" s="150">
        <f>IF($D30="","",IFERROR(INDEX(WBS_CBS!$J$5:$J$16,MATCH($D30,WBS_CBS!$A$5:$A$16,0)),""))</f>
        <v/>
      </c>
      <c r="G30" s="149" t="n"/>
      <c r="H30" s="151" t="n"/>
      <c r="I30" s="149" t="n"/>
      <c r="J30" s="152" t="n"/>
      <c r="K30" s="149" t="n"/>
      <c r="L30" s="153">
        <f>IF($K30="","",IFERROR(INDEX(FX_Rates!$B$5:$B$14,MATCH($K30,FX_Rates!$A$5:$A$14,0)),""))</f>
        <v/>
      </c>
      <c r="M30" s="153">
        <f>IF(OR($H30="",$J30=""),"",$H30*$J30)</f>
        <v/>
      </c>
      <c r="N30" s="153">
        <f>IF(OR($M30="",$L30=""),"",$M30*$L30)</f>
        <v/>
      </c>
      <c r="O30" s="149" t="n"/>
      <c r="P30" s="154">
        <f>IF($O30="","",IFERROR(INDEX(Basis_of_Estimate!$C$5:$C$9,MATCH($O30,Basis_of_Estimate!$A$5:$A$9,0)),""))</f>
        <v/>
      </c>
      <c r="Q30" s="154">
        <f>IF($O30="","",IFERROR(INDEX(Basis_of_Estimate!$D$5:$D$9,MATCH($O30,Basis_of_Estimate!$A$5:$A$9,0)),""))</f>
        <v/>
      </c>
      <c r="R30" s="153">
        <f>IF($N30="","",$N30*(1+$P30))</f>
        <v/>
      </c>
      <c r="S30" s="153">
        <f>IF($N30="","",$N30)</f>
        <v/>
      </c>
      <c r="T30" s="153">
        <f>IF($N30="","",$N30*(1+$Q30))</f>
        <v/>
      </c>
      <c r="U30" s="150">
        <f>IF($D30="","",IFERROR(INDEX(WBS_CBS!$M$5:$M$16,MATCH($D30,WBS_CBS!$A$5:$A$16,0)),"Yes"))</f>
        <v/>
      </c>
      <c r="V30" s="150">
        <f>IF($D30="","",IFERROR(INDEX(WBS_CBS!$N$5:$N$16,MATCH($D30,WBS_CBS!$A$5:$A$16,0)),"Yes"))</f>
        <v/>
      </c>
      <c r="W30" s="150">
        <f>IF($D30="","",IFERROR(INDEX(WBS_CBS!$K$5:$K$16,MATCH($D30,WBS_CBS!$A$5:$A$16,0)),""))</f>
        <v/>
      </c>
      <c r="X30" s="150">
        <f>IF($D30="","",IFERROR(INDEX(WBS_CBS!$F$5:$F$16,MATCH($D30,WBS_CBS!$A$5:$A$16,0)),""))</f>
        <v/>
      </c>
      <c r="Y30" s="149" t="n"/>
      <c r="Z30" s="149" t="n"/>
      <c r="AA30" s="150">
        <f>IF($D30="","",IFERROR(INDEX(WBS_CBS!$L$5:$L$16,MATCH($D30,WBS_CBS!$A$5:$A$16,0)),""))</f>
        <v/>
      </c>
      <c r="AB30" s="149" t="n"/>
    </row>
    <row r="31">
      <c r="A31" s="149" t="n"/>
      <c r="B31" s="149" t="n"/>
      <c r="C31" s="150">
        <f>IF($D31="","",IFERROR(INDEX(WBS_CBS!$E$5:$E$16,MATCH($D31,WBS_CBS!$A$5:$A$16,0)),""))</f>
        <v/>
      </c>
      <c r="D31" s="149" t="n"/>
      <c r="E31" s="150">
        <f>IF($D31="","",IFERROR(INDEX(WBS_CBS!$C$5:$C$16,MATCH($D31,WBS_CBS!$A$5:$A$16,0)),""))</f>
        <v/>
      </c>
      <c r="F31" s="150">
        <f>IF($D31="","",IFERROR(INDEX(WBS_CBS!$J$5:$J$16,MATCH($D31,WBS_CBS!$A$5:$A$16,0)),""))</f>
        <v/>
      </c>
      <c r="G31" s="149" t="n"/>
      <c r="H31" s="151" t="n"/>
      <c r="I31" s="149" t="n"/>
      <c r="J31" s="152" t="n"/>
      <c r="K31" s="149" t="n"/>
      <c r="L31" s="153">
        <f>IF($K31="","",IFERROR(INDEX(FX_Rates!$B$5:$B$14,MATCH($K31,FX_Rates!$A$5:$A$14,0)),""))</f>
        <v/>
      </c>
      <c r="M31" s="153">
        <f>IF(OR($H31="",$J31=""),"",$H31*$J31)</f>
        <v/>
      </c>
      <c r="N31" s="153">
        <f>IF(OR($M31="",$L31=""),"",$M31*$L31)</f>
        <v/>
      </c>
      <c r="O31" s="149" t="n"/>
      <c r="P31" s="154">
        <f>IF($O31="","",IFERROR(INDEX(Basis_of_Estimate!$C$5:$C$9,MATCH($O31,Basis_of_Estimate!$A$5:$A$9,0)),""))</f>
        <v/>
      </c>
      <c r="Q31" s="154">
        <f>IF($O31="","",IFERROR(INDEX(Basis_of_Estimate!$D$5:$D$9,MATCH($O31,Basis_of_Estimate!$A$5:$A$9,0)),""))</f>
        <v/>
      </c>
      <c r="R31" s="153">
        <f>IF($N31="","",$N31*(1+$P31))</f>
        <v/>
      </c>
      <c r="S31" s="153">
        <f>IF($N31="","",$N31)</f>
        <v/>
      </c>
      <c r="T31" s="153">
        <f>IF($N31="","",$N31*(1+$Q31))</f>
        <v/>
      </c>
      <c r="U31" s="150">
        <f>IF($D31="","",IFERROR(INDEX(WBS_CBS!$M$5:$M$16,MATCH($D31,WBS_CBS!$A$5:$A$16,0)),"Yes"))</f>
        <v/>
      </c>
      <c r="V31" s="150">
        <f>IF($D31="","",IFERROR(INDEX(WBS_CBS!$N$5:$N$16,MATCH($D31,WBS_CBS!$A$5:$A$16,0)),"Yes"))</f>
        <v/>
      </c>
      <c r="W31" s="150">
        <f>IF($D31="","",IFERROR(INDEX(WBS_CBS!$K$5:$K$16,MATCH($D31,WBS_CBS!$A$5:$A$16,0)),""))</f>
        <v/>
      </c>
      <c r="X31" s="150">
        <f>IF($D31="","",IFERROR(INDEX(WBS_CBS!$F$5:$F$16,MATCH($D31,WBS_CBS!$A$5:$A$16,0)),""))</f>
        <v/>
      </c>
      <c r="Y31" s="149" t="n"/>
      <c r="Z31" s="149" t="n"/>
      <c r="AA31" s="150">
        <f>IF($D31="","",IFERROR(INDEX(WBS_CBS!$L$5:$L$16,MATCH($D31,WBS_CBS!$A$5:$A$16,0)),""))</f>
        <v/>
      </c>
      <c r="AB31" s="149" t="n"/>
    </row>
    <row r="32">
      <c r="A32" s="149" t="n"/>
      <c r="B32" s="149" t="n"/>
      <c r="C32" s="150">
        <f>IF($D32="","",IFERROR(INDEX(WBS_CBS!$E$5:$E$16,MATCH($D32,WBS_CBS!$A$5:$A$16,0)),""))</f>
        <v/>
      </c>
      <c r="D32" s="149" t="n"/>
      <c r="E32" s="150">
        <f>IF($D32="","",IFERROR(INDEX(WBS_CBS!$C$5:$C$16,MATCH($D32,WBS_CBS!$A$5:$A$16,0)),""))</f>
        <v/>
      </c>
      <c r="F32" s="150">
        <f>IF($D32="","",IFERROR(INDEX(WBS_CBS!$J$5:$J$16,MATCH($D32,WBS_CBS!$A$5:$A$16,0)),""))</f>
        <v/>
      </c>
      <c r="G32" s="149" t="n"/>
      <c r="H32" s="151" t="n"/>
      <c r="I32" s="149" t="n"/>
      <c r="J32" s="152" t="n"/>
      <c r="K32" s="149" t="n"/>
      <c r="L32" s="153">
        <f>IF($K32="","",IFERROR(INDEX(FX_Rates!$B$5:$B$14,MATCH($K32,FX_Rates!$A$5:$A$14,0)),""))</f>
        <v/>
      </c>
      <c r="M32" s="153">
        <f>IF(OR($H32="",$J32=""),"",$H32*$J32)</f>
        <v/>
      </c>
      <c r="N32" s="153">
        <f>IF(OR($M32="",$L32=""),"",$M32*$L32)</f>
        <v/>
      </c>
      <c r="O32" s="149" t="n"/>
      <c r="P32" s="154">
        <f>IF($O32="","",IFERROR(INDEX(Basis_of_Estimate!$C$5:$C$9,MATCH($O32,Basis_of_Estimate!$A$5:$A$9,0)),""))</f>
        <v/>
      </c>
      <c r="Q32" s="154">
        <f>IF($O32="","",IFERROR(INDEX(Basis_of_Estimate!$D$5:$D$9,MATCH($O32,Basis_of_Estimate!$A$5:$A$9,0)),""))</f>
        <v/>
      </c>
      <c r="R32" s="153">
        <f>IF($N32="","",$N32*(1+$P32))</f>
        <v/>
      </c>
      <c r="S32" s="153">
        <f>IF($N32="","",$N32)</f>
        <v/>
      </c>
      <c r="T32" s="153">
        <f>IF($N32="","",$N32*(1+$Q32))</f>
        <v/>
      </c>
      <c r="U32" s="150">
        <f>IF($D32="","",IFERROR(INDEX(WBS_CBS!$M$5:$M$16,MATCH($D32,WBS_CBS!$A$5:$A$16,0)),"Yes"))</f>
        <v/>
      </c>
      <c r="V32" s="150">
        <f>IF($D32="","",IFERROR(INDEX(WBS_CBS!$N$5:$N$16,MATCH($D32,WBS_CBS!$A$5:$A$16,0)),"Yes"))</f>
        <v/>
      </c>
      <c r="W32" s="150">
        <f>IF($D32="","",IFERROR(INDEX(WBS_CBS!$K$5:$K$16,MATCH($D32,WBS_CBS!$A$5:$A$16,0)),""))</f>
        <v/>
      </c>
      <c r="X32" s="150">
        <f>IF($D32="","",IFERROR(INDEX(WBS_CBS!$F$5:$F$16,MATCH($D32,WBS_CBS!$A$5:$A$16,0)),""))</f>
        <v/>
      </c>
      <c r="Y32" s="149" t="n"/>
      <c r="Z32" s="149" t="n"/>
      <c r="AA32" s="150">
        <f>IF($D32="","",IFERROR(INDEX(WBS_CBS!$L$5:$L$16,MATCH($D32,WBS_CBS!$A$5:$A$16,0)),""))</f>
        <v/>
      </c>
      <c r="AB32" s="149" t="n"/>
    </row>
    <row r="33">
      <c r="A33" s="149" t="n"/>
      <c r="B33" s="149" t="n"/>
      <c r="C33" s="150">
        <f>IF($D33="","",IFERROR(INDEX(WBS_CBS!$E$5:$E$16,MATCH($D33,WBS_CBS!$A$5:$A$16,0)),""))</f>
        <v/>
      </c>
      <c r="D33" s="149" t="n"/>
      <c r="E33" s="150">
        <f>IF($D33="","",IFERROR(INDEX(WBS_CBS!$C$5:$C$16,MATCH($D33,WBS_CBS!$A$5:$A$16,0)),""))</f>
        <v/>
      </c>
      <c r="F33" s="150">
        <f>IF($D33="","",IFERROR(INDEX(WBS_CBS!$J$5:$J$16,MATCH($D33,WBS_CBS!$A$5:$A$16,0)),""))</f>
        <v/>
      </c>
      <c r="G33" s="149" t="n"/>
      <c r="H33" s="151" t="n"/>
      <c r="I33" s="149" t="n"/>
      <c r="J33" s="152" t="n"/>
      <c r="K33" s="149" t="n"/>
      <c r="L33" s="153">
        <f>IF($K33="","",IFERROR(INDEX(FX_Rates!$B$5:$B$14,MATCH($K33,FX_Rates!$A$5:$A$14,0)),""))</f>
        <v/>
      </c>
      <c r="M33" s="153">
        <f>IF(OR($H33="",$J33=""),"",$H33*$J33)</f>
        <v/>
      </c>
      <c r="N33" s="153">
        <f>IF(OR($M33="",$L33=""),"",$M33*$L33)</f>
        <v/>
      </c>
      <c r="O33" s="149" t="n"/>
      <c r="P33" s="154">
        <f>IF($O33="","",IFERROR(INDEX(Basis_of_Estimate!$C$5:$C$9,MATCH($O33,Basis_of_Estimate!$A$5:$A$9,0)),""))</f>
        <v/>
      </c>
      <c r="Q33" s="154">
        <f>IF($O33="","",IFERROR(INDEX(Basis_of_Estimate!$D$5:$D$9,MATCH($O33,Basis_of_Estimate!$A$5:$A$9,0)),""))</f>
        <v/>
      </c>
      <c r="R33" s="153">
        <f>IF($N33="","",$N33*(1+$P33))</f>
        <v/>
      </c>
      <c r="S33" s="153">
        <f>IF($N33="","",$N33)</f>
        <v/>
      </c>
      <c r="T33" s="153">
        <f>IF($N33="","",$N33*(1+$Q33))</f>
        <v/>
      </c>
      <c r="U33" s="150">
        <f>IF($D33="","",IFERROR(INDEX(WBS_CBS!$M$5:$M$16,MATCH($D33,WBS_CBS!$A$5:$A$16,0)),"Yes"))</f>
        <v/>
      </c>
      <c r="V33" s="150">
        <f>IF($D33="","",IFERROR(INDEX(WBS_CBS!$N$5:$N$16,MATCH($D33,WBS_CBS!$A$5:$A$16,0)),"Yes"))</f>
        <v/>
      </c>
      <c r="W33" s="150">
        <f>IF($D33="","",IFERROR(INDEX(WBS_CBS!$K$5:$K$16,MATCH($D33,WBS_CBS!$A$5:$A$16,0)),""))</f>
        <v/>
      </c>
      <c r="X33" s="150">
        <f>IF($D33="","",IFERROR(INDEX(WBS_CBS!$F$5:$F$16,MATCH($D33,WBS_CBS!$A$5:$A$16,0)),""))</f>
        <v/>
      </c>
      <c r="Y33" s="149" t="n"/>
      <c r="Z33" s="149" t="n"/>
      <c r="AA33" s="150">
        <f>IF($D33="","",IFERROR(INDEX(WBS_CBS!$L$5:$L$16,MATCH($D33,WBS_CBS!$A$5:$A$16,0)),""))</f>
        <v/>
      </c>
      <c r="AB33" s="149" t="n"/>
    </row>
    <row r="34">
      <c r="A34" s="149" t="n"/>
      <c r="B34" s="149" t="n"/>
      <c r="C34" s="150">
        <f>IF($D34="","",IFERROR(INDEX(WBS_CBS!$E$5:$E$16,MATCH($D34,WBS_CBS!$A$5:$A$16,0)),""))</f>
        <v/>
      </c>
      <c r="D34" s="149" t="n"/>
      <c r="E34" s="150">
        <f>IF($D34="","",IFERROR(INDEX(WBS_CBS!$C$5:$C$16,MATCH($D34,WBS_CBS!$A$5:$A$16,0)),""))</f>
        <v/>
      </c>
      <c r="F34" s="150">
        <f>IF($D34="","",IFERROR(INDEX(WBS_CBS!$J$5:$J$16,MATCH($D34,WBS_CBS!$A$5:$A$16,0)),""))</f>
        <v/>
      </c>
      <c r="G34" s="149" t="n"/>
      <c r="H34" s="151" t="n"/>
      <c r="I34" s="149" t="n"/>
      <c r="J34" s="152" t="n"/>
      <c r="K34" s="149" t="n"/>
      <c r="L34" s="153">
        <f>IF($K34="","",IFERROR(INDEX(FX_Rates!$B$5:$B$14,MATCH($K34,FX_Rates!$A$5:$A$14,0)),""))</f>
        <v/>
      </c>
      <c r="M34" s="153">
        <f>IF(OR($H34="",$J34=""),"",$H34*$J34)</f>
        <v/>
      </c>
      <c r="N34" s="153">
        <f>IF(OR($M34="",$L34=""),"",$M34*$L34)</f>
        <v/>
      </c>
      <c r="O34" s="149" t="n"/>
      <c r="P34" s="154">
        <f>IF($O34="","",IFERROR(INDEX(Basis_of_Estimate!$C$5:$C$9,MATCH($O34,Basis_of_Estimate!$A$5:$A$9,0)),""))</f>
        <v/>
      </c>
      <c r="Q34" s="154">
        <f>IF($O34="","",IFERROR(INDEX(Basis_of_Estimate!$D$5:$D$9,MATCH($O34,Basis_of_Estimate!$A$5:$A$9,0)),""))</f>
        <v/>
      </c>
      <c r="R34" s="153">
        <f>IF($N34="","",$N34*(1+$P34))</f>
        <v/>
      </c>
      <c r="S34" s="153">
        <f>IF($N34="","",$N34)</f>
        <v/>
      </c>
      <c r="T34" s="153">
        <f>IF($N34="","",$N34*(1+$Q34))</f>
        <v/>
      </c>
      <c r="U34" s="150">
        <f>IF($D34="","",IFERROR(INDEX(WBS_CBS!$M$5:$M$16,MATCH($D34,WBS_CBS!$A$5:$A$16,0)),"Yes"))</f>
        <v/>
      </c>
      <c r="V34" s="150">
        <f>IF($D34="","",IFERROR(INDEX(WBS_CBS!$N$5:$N$16,MATCH($D34,WBS_CBS!$A$5:$A$16,0)),"Yes"))</f>
        <v/>
      </c>
      <c r="W34" s="150">
        <f>IF($D34="","",IFERROR(INDEX(WBS_CBS!$K$5:$K$16,MATCH($D34,WBS_CBS!$A$5:$A$16,0)),""))</f>
        <v/>
      </c>
      <c r="X34" s="150">
        <f>IF($D34="","",IFERROR(INDEX(WBS_CBS!$F$5:$F$16,MATCH($D34,WBS_CBS!$A$5:$A$16,0)),""))</f>
        <v/>
      </c>
      <c r="Y34" s="149" t="n"/>
      <c r="Z34" s="149" t="n"/>
      <c r="AA34" s="150">
        <f>IF($D34="","",IFERROR(INDEX(WBS_CBS!$L$5:$L$16,MATCH($D34,WBS_CBS!$A$5:$A$16,0)),""))</f>
        <v/>
      </c>
      <c r="AB34" s="149" t="n"/>
    </row>
    <row r="35">
      <c r="A35" s="149" t="n"/>
      <c r="B35" s="149" t="n"/>
      <c r="C35" s="150">
        <f>IF($D35="","",IFERROR(INDEX(WBS_CBS!$E$5:$E$16,MATCH($D35,WBS_CBS!$A$5:$A$16,0)),""))</f>
        <v/>
      </c>
      <c r="D35" s="149" t="n"/>
      <c r="E35" s="150">
        <f>IF($D35="","",IFERROR(INDEX(WBS_CBS!$C$5:$C$16,MATCH($D35,WBS_CBS!$A$5:$A$16,0)),""))</f>
        <v/>
      </c>
      <c r="F35" s="150">
        <f>IF($D35="","",IFERROR(INDEX(WBS_CBS!$J$5:$J$16,MATCH($D35,WBS_CBS!$A$5:$A$16,0)),""))</f>
        <v/>
      </c>
      <c r="G35" s="149" t="n"/>
      <c r="H35" s="151" t="n"/>
      <c r="I35" s="149" t="n"/>
      <c r="J35" s="152" t="n"/>
      <c r="K35" s="149" t="n"/>
      <c r="L35" s="153">
        <f>IF($K35="","",IFERROR(INDEX(FX_Rates!$B$5:$B$14,MATCH($K35,FX_Rates!$A$5:$A$14,0)),""))</f>
        <v/>
      </c>
      <c r="M35" s="153">
        <f>IF(OR($H35="",$J35=""),"",$H35*$J35)</f>
        <v/>
      </c>
      <c r="N35" s="153">
        <f>IF(OR($M35="",$L35=""),"",$M35*$L35)</f>
        <v/>
      </c>
      <c r="O35" s="149" t="n"/>
      <c r="P35" s="154">
        <f>IF($O35="","",IFERROR(INDEX(Basis_of_Estimate!$C$5:$C$9,MATCH($O35,Basis_of_Estimate!$A$5:$A$9,0)),""))</f>
        <v/>
      </c>
      <c r="Q35" s="154">
        <f>IF($O35="","",IFERROR(INDEX(Basis_of_Estimate!$D$5:$D$9,MATCH($O35,Basis_of_Estimate!$A$5:$A$9,0)),""))</f>
        <v/>
      </c>
      <c r="R35" s="153">
        <f>IF($N35="","",$N35*(1+$P35))</f>
        <v/>
      </c>
      <c r="S35" s="153">
        <f>IF($N35="","",$N35)</f>
        <v/>
      </c>
      <c r="T35" s="153">
        <f>IF($N35="","",$N35*(1+$Q35))</f>
        <v/>
      </c>
      <c r="U35" s="150">
        <f>IF($D35="","",IFERROR(INDEX(WBS_CBS!$M$5:$M$16,MATCH($D35,WBS_CBS!$A$5:$A$16,0)),"Yes"))</f>
        <v/>
      </c>
      <c r="V35" s="150">
        <f>IF($D35="","",IFERROR(INDEX(WBS_CBS!$N$5:$N$16,MATCH($D35,WBS_CBS!$A$5:$A$16,0)),"Yes"))</f>
        <v/>
      </c>
      <c r="W35" s="150">
        <f>IF($D35="","",IFERROR(INDEX(WBS_CBS!$K$5:$K$16,MATCH($D35,WBS_CBS!$A$5:$A$16,0)),""))</f>
        <v/>
      </c>
      <c r="X35" s="150">
        <f>IF($D35="","",IFERROR(INDEX(WBS_CBS!$F$5:$F$16,MATCH($D35,WBS_CBS!$A$5:$A$16,0)),""))</f>
        <v/>
      </c>
      <c r="Y35" s="149" t="n"/>
      <c r="Z35" s="149" t="n"/>
      <c r="AA35" s="150">
        <f>IF($D35="","",IFERROR(INDEX(WBS_CBS!$L$5:$L$16,MATCH($D35,WBS_CBS!$A$5:$A$16,0)),""))</f>
        <v/>
      </c>
      <c r="AB35" s="149" t="n"/>
    </row>
    <row r="36">
      <c r="A36" s="149" t="n"/>
      <c r="B36" s="149" t="n"/>
      <c r="C36" s="150">
        <f>IF($D36="","",IFERROR(INDEX(WBS_CBS!$E$5:$E$16,MATCH($D36,WBS_CBS!$A$5:$A$16,0)),""))</f>
        <v/>
      </c>
      <c r="D36" s="149" t="n"/>
      <c r="E36" s="150">
        <f>IF($D36="","",IFERROR(INDEX(WBS_CBS!$C$5:$C$16,MATCH($D36,WBS_CBS!$A$5:$A$16,0)),""))</f>
        <v/>
      </c>
      <c r="F36" s="150">
        <f>IF($D36="","",IFERROR(INDEX(WBS_CBS!$J$5:$J$16,MATCH($D36,WBS_CBS!$A$5:$A$16,0)),""))</f>
        <v/>
      </c>
      <c r="G36" s="149" t="n"/>
      <c r="H36" s="151" t="n"/>
      <c r="I36" s="149" t="n"/>
      <c r="J36" s="152" t="n"/>
      <c r="K36" s="149" t="n"/>
      <c r="L36" s="153">
        <f>IF($K36="","",IFERROR(INDEX(FX_Rates!$B$5:$B$14,MATCH($K36,FX_Rates!$A$5:$A$14,0)),""))</f>
        <v/>
      </c>
      <c r="M36" s="153">
        <f>IF(OR($H36="",$J36=""),"",$H36*$J36)</f>
        <v/>
      </c>
      <c r="N36" s="153">
        <f>IF(OR($M36="",$L36=""),"",$M36*$L36)</f>
        <v/>
      </c>
      <c r="O36" s="149" t="n"/>
      <c r="P36" s="154">
        <f>IF($O36="","",IFERROR(INDEX(Basis_of_Estimate!$C$5:$C$9,MATCH($O36,Basis_of_Estimate!$A$5:$A$9,0)),""))</f>
        <v/>
      </c>
      <c r="Q36" s="154">
        <f>IF($O36="","",IFERROR(INDEX(Basis_of_Estimate!$D$5:$D$9,MATCH($O36,Basis_of_Estimate!$A$5:$A$9,0)),""))</f>
        <v/>
      </c>
      <c r="R36" s="153">
        <f>IF($N36="","",$N36*(1+$P36))</f>
        <v/>
      </c>
      <c r="S36" s="153">
        <f>IF($N36="","",$N36)</f>
        <v/>
      </c>
      <c r="T36" s="153">
        <f>IF($N36="","",$N36*(1+$Q36))</f>
        <v/>
      </c>
      <c r="U36" s="150">
        <f>IF($D36="","",IFERROR(INDEX(WBS_CBS!$M$5:$M$16,MATCH($D36,WBS_CBS!$A$5:$A$16,0)),"Yes"))</f>
        <v/>
      </c>
      <c r="V36" s="150">
        <f>IF($D36="","",IFERROR(INDEX(WBS_CBS!$N$5:$N$16,MATCH($D36,WBS_CBS!$A$5:$A$16,0)),"Yes"))</f>
        <v/>
      </c>
      <c r="W36" s="150">
        <f>IF($D36="","",IFERROR(INDEX(WBS_CBS!$K$5:$K$16,MATCH($D36,WBS_CBS!$A$5:$A$16,0)),""))</f>
        <v/>
      </c>
      <c r="X36" s="150">
        <f>IF($D36="","",IFERROR(INDEX(WBS_CBS!$F$5:$F$16,MATCH($D36,WBS_CBS!$A$5:$A$16,0)),""))</f>
        <v/>
      </c>
      <c r="Y36" s="149" t="n"/>
      <c r="Z36" s="149" t="n"/>
      <c r="AA36" s="150">
        <f>IF($D36="","",IFERROR(INDEX(WBS_CBS!$L$5:$L$16,MATCH($D36,WBS_CBS!$A$5:$A$16,0)),""))</f>
        <v/>
      </c>
      <c r="AB36" s="149" t="n"/>
    </row>
    <row r="37">
      <c r="A37" s="149" t="n"/>
      <c r="B37" s="149" t="n"/>
      <c r="C37" s="150">
        <f>IF($D37="","",IFERROR(INDEX(WBS_CBS!$E$5:$E$16,MATCH($D37,WBS_CBS!$A$5:$A$16,0)),""))</f>
        <v/>
      </c>
      <c r="D37" s="149" t="n"/>
      <c r="E37" s="150">
        <f>IF($D37="","",IFERROR(INDEX(WBS_CBS!$C$5:$C$16,MATCH($D37,WBS_CBS!$A$5:$A$16,0)),""))</f>
        <v/>
      </c>
      <c r="F37" s="150">
        <f>IF($D37="","",IFERROR(INDEX(WBS_CBS!$J$5:$J$16,MATCH($D37,WBS_CBS!$A$5:$A$16,0)),""))</f>
        <v/>
      </c>
      <c r="G37" s="149" t="n"/>
      <c r="H37" s="151" t="n"/>
      <c r="I37" s="149" t="n"/>
      <c r="J37" s="152" t="n"/>
      <c r="K37" s="149" t="n"/>
      <c r="L37" s="153">
        <f>IF($K37="","",IFERROR(INDEX(FX_Rates!$B$5:$B$14,MATCH($K37,FX_Rates!$A$5:$A$14,0)),""))</f>
        <v/>
      </c>
      <c r="M37" s="153">
        <f>IF(OR($H37="",$J37=""),"",$H37*$J37)</f>
        <v/>
      </c>
      <c r="N37" s="153">
        <f>IF(OR($M37="",$L37=""),"",$M37*$L37)</f>
        <v/>
      </c>
      <c r="O37" s="149" t="n"/>
      <c r="P37" s="154">
        <f>IF($O37="","",IFERROR(INDEX(Basis_of_Estimate!$C$5:$C$9,MATCH($O37,Basis_of_Estimate!$A$5:$A$9,0)),""))</f>
        <v/>
      </c>
      <c r="Q37" s="154">
        <f>IF($O37="","",IFERROR(INDEX(Basis_of_Estimate!$D$5:$D$9,MATCH($O37,Basis_of_Estimate!$A$5:$A$9,0)),""))</f>
        <v/>
      </c>
      <c r="R37" s="153">
        <f>IF($N37="","",$N37*(1+$P37))</f>
        <v/>
      </c>
      <c r="S37" s="153">
        <f>IF($N37="","",$N37)</f>
        <v/>
      </c>
      <c r="T37" s="153">
        <f>IF($N37="","",$N37*(1+$Q37))</f>
        <v/>
      </c>
      <c r="U37" s="150">
        <f>IF($D37="","",IFERROR(INDEX(WBS_CBS!$M$5:$M$16,MATCH($D37,WBS_CBS!$A$5:$A$16,0)),"Yes"))</f>
        <v/>
      </c>
      <c r="V37" s="150">
        <f>IF($D37="","",IFERROR(INDEX(WBS_CBS!$N$5:$N$16,MATCH($D37,WBS_CBS!$A$5:$A$16,0)),"Yes"))</f>
        <v/>
      </c>
      <c r="W37" s="150">
        <f>IF($D37="","",IFERROR(INDEX(WBS_CBS!$K$5:$K$16,MATCH($D37,WBS_CBS!$A$5:$A$16,0)),""))</f>
        <v/>
      </c>
      <c r="X37" s="150">
        <f>IF($D37="","",IFERROR(INDEX(WBS_CBS!$F$5:$F$16,MATCH($D37,WBS_CBS!$A$5:$A$16,0)),""))</f>
        <v/>
      </c>
      <c r="Y37" s="149" t="n"/>
      <c r="Z37" s="149" t="n"/>
      <c r="AA37" s="150">
        <f>IF($D37="","",IFERROR(INDEX(WBS_CBS!$L$5:$L$16,MATCH($D37,WBS_CBS!$A$5:$A$16,0)),""))</f>
        <v/>
      </c>
      <c r="AB37" s="149" t="n"/>
    </row>
    <row r="38">
      <c r="A38" s="149" t="n"/>
      <c r="B38" s="149" t="n"/>
      <c r="C38" s="150">
        <f>IF($D38="","",IFERROR(INDEX(WBS_CBS!$E$5:$E$16,MATCH($D38,WBS_CBS!$A$5:$A$16,0)),""))</f>
        <v/>
      </c>
      <c r="D38" s="149" t="n"/>
      <c r="E38" s="150">
        <f>IF($D38="","",IFERROR(INDEX(WBS_CBS!$C$5:$C$16,MATCH($D38,WBS_CBS!$A$5:$A$16,0)),""))</f>
        <v/>
      </c>
      <c r="F38" s="150">
        <f>IF($D38="","",IFERROR(INDEX(WBS_CBS!$J$5:$J$16,MATCH($D38,WBS_CBS!$A$5:$A$16,0)),""))</f>
        <v/>
      </c>
      <c r="G38" s="149" t="n"/>
      <c r="H38" s="151" t="n"/>
      <c r="I38" s="149" t="n"/>
      <c r="J38" s="152" t="n"/>
      <c r="K38" s="149" t="n"/>
      <c r="L38" s="153">
        <f>IF($K38="","",IFERROR(INDEX(FX_Rates!$B$5:$B$14,MATCH($K38,FX_Rates!$A$5:$A$14,0)),""))</f>
        <v/>
      </c>
      <c r="M38" s="153">
        <f>IF(OR($H38="",$J38=""),"",$H38*$J38)</f>
        <v/>
      </c>
      <c r="N38" s="153">
        <f>IF(OR($M38="",$L38=""),"",$M38*$L38)</f>
        <v/>
      </c>
      <c r="O38" s="149" t="n"/>
      <c r="P38" s="154">
        <f>IF($O38="","",IFERROR(INDEX(Basis_of_Estimate!$C$5:$C$9,MATCH($O38,Basis_of_Estimate!$A$5:$A$9,0)),""))</f>
        <v/>
      </c>
      <c r="Q38" s="154">
        <f>IF($O38="","",IFERROR(INDEX(Basis_of_Estimate!$D$5:$D$9,MATCH($O38,Basis_of_Estimate!$A$5:$A$9,0)),""))</f>
        <v/>
      </c>
      <c r="R38" s="153">
        <f>IF($N38="","",$N38*(1+$P38))</f>
        <v/>
      </c>
      <c r="S38" s="153">
        <f>IF($N38="","",$N38)</f>
        <v/>
      </c>
      <c r="T38" s="153">
        <f>IF($N38="","",$N38*(1+$Q38))</f>
        <v/>
      </c>
      <c r="U38" s="150">
        <f>IF($D38="","",IFERROR(INDEX(WBS_CBS!$M$5:$M$16,MATCH($D38,WBS_CBS!$A$5:$A$16,0)),"Yes"))</f>
        <v/>
      </c>
      <c r="V38" s="150">
        <f>IF($D38="","",IFERROR(INDEX(WBS_CBS!$N$5:$N$16,MATCH($D38,WBS_CBS!$A$5:$A$16,0)),"Yes"))</f>
        <v/>
      </c>
      <c r="W38" s="150">
        <f>IF($D38="","",IFERROR(INDEX(WBS_CBS!$K$5:$K$16,MATCH($D38,WBS_CBS!$A$5:$A$16,0)),""))</f>
        <v/>
      </c>
      <c r="X38" s="150">
        <f>IF($D38="","",IFERROR(INDEX(WBS_CBS!$F$5:$F$16,MATCH($D38,WBS_CBS!$A$5:$A$16,0)),""))</f>
        <v/>
      </c>
      <c r="Y38" s="149" t="n"/>
      <c r="Z38" s="149" t="n"/>
      <c r="AA38" s="150">
        <f>IF($D38="","",IFERROR(INDEX(WBS_CBS!$L$5:$L$16,MATCH($D38,WBS_CBS!$A$5:$A$16,0)),""))</f>
        <v/>
      </c>
      <c r="AB38" s="149" t="n"/>
    </row>
    <row r="39">
      <c r="A39" s="149" t="n"/>
      <c r="B39" s="149" t="n"/>
      <c r="C39" s="150">
        <f>IF($D39="","",IFERROR(INDEX(WBS_CBS!$E$5:$E$16,MATCH($D39,WBS_CBS!$A$5:$A$16,0)),""))</f>
        <v/>
      </c>
      <c r="D39" s="149" t="n"/>
      <c r="E39" s="150">
        <f>IF($D39="","",IFERROR(INDEX(WBS_CBS!$C$5:$C$16,MATCH($D39,WBS_CBS!$A$5:$A$16,0)),""))</f>
        <v/>
      </c>
      <c r="F39" s="150">
        <f>IF($D39="","",IFERROR(INDEX(WBS_CBS!$J$5:$J$16,MATCH($D39,WBS_CBS!$A$5:$A$16,0)),""))</f>
        <v/>
      </c>
      <c r="G39" s="149" t="n"/>
      <c r="H39" s="151" t="n"/>
      <c r="I39" s="149" t="n"/>
      <c r="J39" s="152" t="n"/>
      <c r="K39" s="149" t="n"/>
      <c r="L39" s="153">
        <f>IF($K39="","",IFERROR(INDEX(FX_Rates!$B$5:$B$14,MATCH($K39,FX_Rates!$A$5:$A$14,0)),""))</f>
        <v/>
      </c>
      <c r="M39" s="153">
        <f>IF(OR($H39="",$J39=""),"",$H39*$J39)</f>
        <v/>
      </c>
      <c r="N39" s="153">
        <f>IF(OR($M39="",$L39=""),"",$M39*$L39)</f>
        <v/>
      </c>
      <c r="O39" s="149" t="n"/>
      <c r="P39" s="154">
        <f>IF($O39="","",IFERROR(INDEX(Basis_of_Estimate!$C$5:$C$9,MATCH($O39,Basis_of_Estimate!$A$5:$A$9,0)),""))</f>
        <v/>
      </c>
      <c r="Q39" s="154">
        <f>IF($O39="","",IFERROR(INDEX(Basis_of_Estimate!$D$5:$D$9,MATCH($O39,Basis_of_Estimate!$A$5:$A$9,0)),""))</f>
        <v/>
      </c>
      <c r="R39" s="153">
        <f>IF($N39="","",$N39*(1+$P39))</f>
        <v/>
      </c>
      <c r="S39" s="153">
        <f>IF($N39="","",$N39)</f>
        <v/>
      </c>
      <c r="T39" s="153">
        <f>IF($N39="","",$N39*(1+$Q39))</f>
        <v/>
      </c>
      <c r="U39" s="150">
        <f>IF($D39="","",IFERROR(INDEX(WBS_CBS!$M$5:$M$16,MATCH($D39,WBS_CBS!$A$5:$A$16,0)),"Yes"))</f>
        <v/>
      </c>
      <c r="V39" s="150">
        <f>IF($D39="","",IFERROR(INDEX(WBS_CBS!$N$5:$N$16,MATCH($D39,WBS_CBS!$A$5:$A$16,0)),"Yes"))</f>
        <v/>
      </c>
      <c r="W39" s="150">
        <f>IF($D39="","",IFERROR(INDEX(WBS_CBS!$K$5:$K$16,MATCH($D39,WBS_CBS!$A$5:$A$16,0)),""))</f>
        <v/>
      </c>
      <c r="X39" s="150">
        <f>IF($D39="","",IFERROR(INDEX(WBS_CBS!$F$5:$F$16,MATCH($D39,WBS_CBS!$A$5:$A$16,0)),""))</f>
        <v/>
      </c>
      <c r="Y39" s="149" t="n"/>
      <c r="Z39" s="149" t="n"/>
      <c r="AA39" s="150">
        <f>IF($D39="","",IFERROR(INDEX(WBS_CBS!$L$5:$L$16,MATCH($D39,WBS_CBS!$A$5:$A$16,0)),""))</f>
        <v/>
      </c>
      <c r="AB39" s="149" t="n"/>
    </row>
    <row r="40">
      <c r="A40" s="149" t="n"/>
      <c r="B40" s="149" t="n"/>
      <c r="C40" s="150">
        <f>IF($D40="","",IFERROR(INDEX(WBS_CBS!$E$5:$E$16,MATCH($D40,WBS_CBS!$A$5:$A$16,0)),""))</f>
        <v/>
      </c>
      <c r="D40" s="149" t="n"/>
      <c r="E40" s="150">
        <f>IF($D40="","",IFERROR(INDEX(WBS_CBS!$C$5:$C$16,MATCH($D40,WBS_CBS!$A$5:$A$16,0)),""))</f>
        <v/>
      </c>
      <c r="F40" s="150">
        <f>IF($D40="","",IFERROR(INDEX(WBS_CBS!$J$5:$J$16,MATCH($D40,WBS_CBS!$A$5:$A$16,0)),""))</f>
        <v/>
      </c>
      <c r="G40" s="149" t="n"/>
      <c r="H40" s="151" t="n"/>
      <c r="I40" s="149" t="n"/>
      <c r="J40" s="152" t="n"/>
      <c r="K40" s="149" t="n"/>
      <c r="L40" s="153">
        <f>IF($K40="","",IFERROR(INDEX(FX_Rates!$B$5:$B$14,MATCH($K40,FX_Rates!$A$5:$A$14,0)),""))</f>
        <v/>
      </c>
      <c r="M40" s="153">
        <f>IF(OR($H40="",$J40=""),"",$H40*$J40)</f>
        <v/>
      </c>
      <c r="N40" s="153">
        <f>IF(OR($M40="",$L40=""),"",$M40*$L40)</f>
        <v/>
      </c>
      <c r="O40" s="149" t="n"/>
      <c r="P40" s="154">
        <f>IF($O40="","",IFERROR(INDEX(Basis_of_Estimate!$C$5:$C$9,MATCH($O40,Basis_of_Estimate!$A$5:$A$9,0)),""))</f>
        <v/>
      </c>
      <c r="Q40" s="154">
        <f>IF($O40="","",IFERROR(INDEX(Basis_of_Estimate!$D$5:$D$9,MATCH($O40,Basis_of_Estimate!$A$5:$A$9,0)),""))</f>
        <v/>
      </c>
      <c r="R40" s="153">
        <f>IF($N40="","",$N40*(1+$P40))</f>
        <v/>
      </c>
      <c r="S40" s="153">
        <f>IF($N40="","",$N40)</f>
        <v/>
      </c>
      <c r="T40" s="153">
        <f>IF($N40="","",$N40*(1+$Q40))</f>
        <v/>
      </c>
      <c r="U40" s="150">
        <f>IF($D40="","",IFERROR(INDEX(WBS_CBS!$M$5:$M$16,MATCH($D40,WBS_CBS!$A$5:$A$16,0)),"Yes"))</f>
        <v/>
      </c>
      <c r="V40" s="150">
        <f>IF($D40="","",IFERROR(INDEX(WBS_CBS!$N$5:$N$16,MATCH($D40,WBS_CBS!$A$5:$A$16,0)),"Yes"))</f>
        <v/>
      </c>
      <c r="W40" s="150">
        <f>IF($D40="","",IFERROR(INDEX(WBS_CBS!$K$5:$K$16,MATCH($D40,WBS_CBS!$A$5:$A$16,0)),""))</f>
        <v/>
      </c>
      <c r="X40" s="150">
        <f>IF($D40="","",IFERROR(INDEX(WBS_CBS!$F$5:$F$16,MATCH($D40,WBS_CBS!$A$5:$A$16,0)),""))</f>
        <v/>
      </c>
      <c r="Y40" s="149" t="n"/>
      <c r="Z40" s="149" t="n"/>
      <c r="AA40" s="150">
        <f>IF($D40="","",IFERROR(INDEX(WBS_CBS!$L$5:$L$16,MATCH($D40,WBS_CBS!$A$5:$A$16,0)),""))</f>
        <v/>
      </c>
      <c r="AB40" s="149" t="n"/>
    </row>
    <row r="41">
      <c r="A41" s="149" t="n"/>
      <c r="B41" s="149" t="n"/>
      <c r="C41" s="150">
        <f>IF($D41="","",IFERROR(INDEX(WBS_CBS!$E$5:$E$16,MATCH($D41,WBS_CBS!$A$5:$A$16,0)),""))</f>
        <v/>
      </c>
      <c r="D41" s="149" t="n"/>
      <c r="E41" s="150">
        <f>IF($D41="","",IFERROR(INDEX(WBS_CBS!$C$5:$C$16,MATCH($D41,WBS_CBS!$A$5:$A$16,0)),""))</f>
        <v/>
      </c>
      <c r="F41" s="150">
        <f>IF($D41="","",IFERROR(INDEX(WBS_CBS!$J$5:$J$16,MATCH($D41,WBS_CBS!$A$5:$A$16,0)),""))</f>
        <v/>
      </c>
      <c r="G41" s="149" t="n"/>
      <c r="H41" s="151" t="n"/>
      <c r="I41" s="149" t="n"/>
      <c r="J41" s="152" t="n"/>
      <c r="K41" s="149" t="n"/>
      <c r="L41" s="153">
        <f>IF($K41="","",IFERROR(INDEX(FX_Rates!$B$5:$B$14,MATCH($K41,FX_Rates!$A$5:$A$14,0)),""))</f>
        <v/>
      </c>
      <c r="M41" s="153">
        <f>IF(OR($H41="",$J41=""),"",$H41*$J41)</f>
        <v/>
      </c>
      <c r="N41" s="153">
        <f>IF(OR($M41="",$L41=""),"",$M41*$L41)</f>
        <v/>
      </c>
      <c r="O41" s="149" t="n"/>
      <c r="P41" s="154">
        <f>IF($O41="","",IFERROR(INDEX(Basis_of_Estimate!$C$5:$C$9,MATCH($O41,Basis_of_Estimate!$A$5:$A$9,0)),""))</f>
        <v/>
      </c>
      <c r="Q41" s="154">
        <f>IF($O41="","",IFERROR(INDEX(Basis_of_Estimate!$D$5:$D$9,MATCH($O41,Basis_of_Estimate!$A$5:$A$9,0)),""))</f>
        <v/>
      </c>
      <c r="R41" s="153">
        <f>IF($N41="","",$N41*(1+$P41))</f>
        <v/>
      </c>
      <c r="S41" s="153">
        <f>IF($N41="","",$N41)</f>
        <v/>
      </c>
      <c r="T41" s="153">
        <f>IF($N41="","",$N41*(1+$Q41))</f>
        <v/>
      </c>
      <c r="U41" s="150">
        <f>IF($D41="","",IFERROR(INDEX(WBS_CBS!$M$5:$M$16,MATCH($D41,WBS_CBS!$A$5:$A$16,0)),"Yes"))</f>
        <v/>
      </c>
      <c r="V41" s="150">
        <f>IF($D41="","",IFERROR(INDEX(WBS_CBS!$N$5:$N$16,MATCH($D41,WBS_CBS!$A$5:$A$16,0)),"Yes"))</f>
        <v/>
      </c>
      <c r="W41" s="150">
        <f>IF($D41="","",IFERROR(INDEX(WBS_CBS!$K$5:$K$16,MATCH($D41,WBS_CBS!$A$5:$A$16,0)),""))</f>
        <v/>
      </c>
      <c r="X41" s="150">
        <f>IF($D41="","",IFERROR(INDEX(WBS_CBS!$F$5:$F$16,MATCH($D41,WBS_CBS!$A$5:$A$16,0)),""))</f>
        <v/>
      </c>
      <c r="Y41" s="149" t="n"/>
      <c r="Z41" s="149" t="n"/>
      <c r="AA41" s="150">
        <f>IF($D41="","",IFERROR(INDEX(WBS_CBS!$L$5:$L$16,MATCH($D41,WBS_CBS!$A$5:$A$16,0)),""))</f>
        <v/>
      </c>
      <c r="AB41" s="149" t="n"/>
    </row>
    <row r="42">
      <c r="A42" s="149" t="n"/>
      <c r="B42" s="149" t="n"/>
      <c r="C42" s="150">
        <f>IF($D42="","",IFERROR(INDEX(WBS_CBS!$E$5:$E$16,MATCH($D42,WBS_CBS!$A$5:$A$16,0)),""))</f>
        <v/>
      </c>
      <c r="D42" s="149" t="n"/>
      <c r="E42" s="150">
        <f>IF($D42="","",IFERROR(INDEX(WBS_CBS!$C$5:$C$16,MATCH($D42,WBS_CBS!$A$5:$A$16,0)),""))</f>
        <v/>
      </c>
      <c r="F42" s="150">
        <f>IF($D42="","",IFERROR(INDEX(WBS_CBS!$J$5:$J$16,MATCH($D42,WBS_CBS!$A$5:$A$16,0)),""))</f>
        <v/>
      </c>
      <c r="G42" s="149" t="n"/>
      <c r="H42" s="151" t="n"/>
      <c r="I42" s="149" t="n"/>
      <c r="J42" s="152" t="n"/>
      <c r="K42" s="149" t="n"/>
      <c r="L42" s="153">
        <f>IF($K42="","",IFERROR(INDEX(FX_Rates!$B$5:$B$14,MATCH($K42,FX_Rates!$A$5:$A$14,0)),""))</f>
        <v/>
      </c>
      <c r="M42" s="153">
        <f>IF(OR($H42="",$J42=""),"",$H42*$J42)</f>
        <v/>
      </c>
      <c r="N42" s="153">
        <f>IF(OR($M42="",$L42=""),"",$M42*$L42)</f>
        <v/>
      </c>
      <c r="O42" s="149" t="n"/>
      <c r="P42" s="154">
        <f>IF($O42="","",IFERROR(INDEX(Basis_of_Estimate!$C$5:$C$9,MATCH($O42,Basis_of_Estimate!$A$5:$A$9,0)),""))</f>
        <v/>
      </c>
      <c r="Q42" s="154">
        <f>IF($O42="","",IFERROR(INDEX(Basis_of_Estimate!$D$5:$D$9,MATCH($O42,Basis_of_Estimate!$A$5:$A$9,0)),""))</f>
        <v/>
      </c>
      <c r="R42" s="153">
        <f>IF($N42="","",$N42*(1+$P42))</f>
        <v/>
      </c>
      <c r="S42" s="153">
        <f>IF($N42="","",$N42)</f>
        <v/>
      </c>
      <c r="T42" s="153">
        <f>IF($N42="","",$N42*(1+$Q42))</f>
        <v/>
      </c>
      <c r="U42" s="150">
        <f>IF($D42="","",IFERROR(INDEX(WBS_CBS!$M$5:$M$16,MATCH($D42,WBS_CBS!$A$5:$A$16,0)),"Yes"))</f>
        <v/>
      </c>
      <c r="V42" s="150">
        <f>IF($D42="","",IFERROR(INDEX(WBS_CBS!$N$5:$N$16,MATCH($D42,WBS_CBS!$A$5:$A$16,0)),"Yes"))</f>
        <v/>
      </c>
      <c r="W42" s="150">
        <f>IF($D42="","",IFERROR(INDEX(WBS_CBS!$K$5:$K$16,MATCH($D42,WBS_CBS!$A$5:$A$16,0)),""))</f>
        <v/>
      </c>
      <c r="X42" s="150">
        <f>IF($D42="","",IFERROR(INDEX(WBS_CBS!$F$5:$F$16,MATCH($D42,WBS_CBS!$A$5:$A$16,0)),""))</f>
        <v/>
      </c>
      <c r="Y42" s="149" t="n"/>
      <c r="Z42" s="149" t="n"/>
      <c r="AA42" s="150">
        <f>IF($D42="","",IFERROR(INDEX(WBS_CBS!$L$5:$L$16,MATCH($D42,WBS_CBS!$A$5:$A$16,0)),""))</f>
        <v/>
      </c>
      <c r="AB42" s="149" t="n"/>
    </row>
    <row r="43">
      <c r="A43" s="149" t="n"/>
      <c r="B43" s="149" t="n"/>
      <c r="C43" s="150">
        <f>IF($D43="","",IFERROR(INDEX(WBS_CBS!$E$5:$E$16,MATCH($D43,WBS_CBS!$A$5:$A$16,0)),""))</f>
        <v/>
      </c>
      <c r="D43" s="149" t="n"/>
      <c r="E43" s="150">
        <f>IF($D43="","",IFERROR(INDEX(WBS_CBS!$C$5:$C$16,MATCH($D43,WBS_CBS!$A$5:$A$16,0)),""))</f>
        <v/>
      </c>
      <c r="F43" s="150">
        <f>IF($D43="","",IFERROR(INDEX(WBS_CBS!$J$5:$J$16,MATCH($D43,WBS_CBS!$A$5:$A$16,0)),""))</f>
        <v/>
      </c>
      <c r="G43" s="149" t="n"/>
      <c r="H43" s="151" t="n"/>
      <c r="I43" s="149" t="n"/>
      <c r="J43" s="152" t="n"/>
      <c r="K43" s="149" t="n"/>
      <c r="L43" s="153">
        <f>IF($K43="","",IFERROR(INDEX(FX_Rates!$B$5:$B$14,MATCH($K43,FX_Rates!$A$5:$A$14,0)),""))</f>
        <v/>
      </c>
      <c r="M43" s="153">
        <f>IF(OR($H43="",$J43=""),"",$H43*$J43)</f>
        <v/>
      </c>
      <c r="N43" s="153">
        <f>IF(OR($M43="",$L43=""),"",$M43*$L43)</f>
        <v/>
      </c>
      <c r="O43" s="149" t="n"/>
      <c r="P43" s="154">
        <f>IF($O43="","",IFERROR(INDEX(Basis_of_Estimate!$C$5:$C$9,MATCH($O43,Basis_of_Estimate!$A$5:$A$9,0)),""))</f>
        <v/>
      </c>
      <c r="Q43" s="154">
        <f>IF($O43="","",IFERROR(INDEX(Basis_of_Estimate!$D$5:$D$9,MATCH($O43,Basis_of_Estimate!$A$5:$A$9,0)),""))</f>
        <v/>
      </c>
      <c r="R43" s="153">
        <f>IF($N43="","",$N43*(1+$P43))</f>
        <v/>
      </c>
      <c r="S43" s="153">
        <f>IF($N43="","",$N43)</f>
        <v/>
      </c>
      <c r="T43" s="153">
        <f>IF($N43="","",$N43*(1+$Q43))</f>
        <v/>
      </c>
      <c r="U43" s="150">
        <f>IF($D43="","",IFERROR(INDEX(WBS_CBS!$M$5:$M$16,MATCH($D43,WBS_CBS!$A$5:$A$16,0)),"Yes"))</f>
        <v/>
      </c>
      <c r="V43" s="150">
        <f>IF($D43="","",IFERROR(INDEX(WBS_CBS!$N$5:$N$16,MATCH($D43,WBS_CBS!$A$5:$A$16,0)),"Yes"))</f>
        <v/>
      </c>
      <c r="W43" s="150">
        <f>IF($D43="","",IFERROR(INDEX(WBS_CBS!$K$5:$K$16,MATCH($D43,WBS_CBS!$A$5:$A$16,0)),""))</f>
        <v/>
      </c>
      <c r="X43" s="150">
        <f>IF($D43="","",IFERROR(INDEX(WBS_CBS!$F$5:$F$16,MATCH($D43,WBS_CBS!$A$5:$A$16,0)),""))</f>
        <v/>
      </c>
      <c r="Y43" s="149" t="n"/>
      <c r="Z43" s="149" t="n"/>
      <c r="AA43" s="150">
        <f>IF($D43="","",IFERROR(INDEX(WBS_CBS!$L$5:$L$16,MATCH($D43,WBS_CBS!$A$5:$A$16,0)),""))</f>
        <v/>
      </c>
      <c r="AB43" s="149" t="n"/>
    </row>
    <row r="44">
      <c r="A44" s="149" t="n"/>
      <c r="B44" s="149" t="n"/>
      <c r="C44" s="150">
        <f>IF($D44="","",IFERROR(INDEX(WBS_CBS!$E$5:$E$16,MATCH($D44,WBS_CBS!$A$5:$A$16,0)),""))</f>
        <v/>
      </c>
      <c r="D44" s="149" t="n"/>
      <c r="E44" s="150">
        <f>IF($D44="","",IFERROR(INDEX(WBS_CBS!$C$5:$C$16,MATCH($D44,WBS_CBS!$A$5:$A$16,0)),""))</f>
        <v/>
      </c>
      <c r="F44" s="150">
        <f>IF($D44="","",IFERROR(INDEX(WBS_CBS!$J$5:$J$16,MATCH($D44,WBS_CBS!$A$5:$A$16,0)),""))</f>
        <v/>
      </c>
      <c r="G44" s="149" t="n"/>
      <c r="H44" s="151" t="n"/>
      <c r="I44" s="149" t="n"/>
      <c r="J44" s="152" t="n"/>
      <c r="K44" s="149" t="n"/>
      <c r="L44" s="153">
        <f>IF($K44="","",IFERROR(INDEX(FX_Rates!$B$5:$B$14,MATCH($K44,FX_Rates!$A$5:$A$14,0)),""))</f>
        <v/>
      </c>
      <c r="M44" s="153">
        <f>IF(OR($H44="",$J44=""),"",$H44*$J44)</f>
        <v/>
      </c>
      <c r="N44" s="153">
        <f>IF(OR($M44="",$L44=""),"",$M44*$L44)</f>
        <v/>
      </c>
      <c r="O44" s="149" t="n"/>
      <c r="P44" s="154">
        <f>IF($O44="","",IFERROR(INDEX(Basis_of_Estimate!$C$5:$C$9,MATCH($O44,Basis_of_Estimate!$A$5:$A$9,0)),""))</f>
        <v/>
      </c>
      <c r="Q44" s="154">
        <f>IF($O44="","",IFERROR(INDEX(Basis_of_Estimate!$D$5:$D$9,MATCH($O44,Basis_of_Estimate!$A$5:$A$9,0)),""))</f>
        <v/>
      </c>
      <c r="R44" s="153">
        <f>IF($N44="","",$N44*(1+$P44))</f>
        <v/>
      </c>
      <c r="S44" s="153">
        <f>IF($N44="","",$N44)</f>
        <v/>
      </c>
      <c r="T44" s="153">
        <f>IF($N44="","",$N44*(1+$Q44))</f>
        <v/>
      </c>
      <c r="U44" s="150">
        <f>IF($D44="","",IFERROR(INDEX(WBS_CBS!$M$5:$M$16,MATCH($D44,WBS_CBS!$A$5:$A$16,0)),"Yes"))</f>
        <v/>
      </c>
      <c r="V44" s="150">
        <f>IF($D44="","",IFERROR(INDEX(WBS_CBS!$N$5:$N$16,MATCH($D44,WBS_CBS!$A$5:$A$16,0)),"Yes"))</f>
        <v/>
      </c>
      <c r="W44" s="150">
        <f>IF($D44="","",IFERROR(INDEX(WBS_CBS!$K$5:$K$16,MATCH($D44,WBS_CBS!$A$5:$A$16,0)),""))</f>
        <v/>
      </c>
      <c r="X44" s="150">
        <f>IF($D44="","",IFERROR(INDEX(WBS_CBS!$F$5:$F$16,MATCH($D44,WBS_CBS!$A$5:$A$16,0)),""))</f>
        <v/>
      </c>
      <c r="Y44" s="149" t="n"/>
      <c r="Z44" s="149" t="n"/>
      <c r="AA44" s="150">
        <f>IF($D44="","",IFERROR(INDEX(WBS_CBS!$L$5:$L$16,MATCH($D44,WBS_CBS!$A$5:$A$16,0)),""))</f>
        <v/>
      </c>
      <c r="AB44" s="149" t="n"/>
    </row>
    <row r="45">
      <c r="A45" s="149" t="n"/>
      <c r="B45" s="149" t="n"/>
      <c r="C45" s="150">
        <f>IF($D45="","",IFERROR(INDEX(WBS_CBS!$E$5:$E$16,MATCH($D45,WBS_CBS!$A$5:$A$16,0)),""))</f>
        <v/>
      </c>
      <c r="D45" s="149" t="n"/>
      <c r="E45" s="150">
        <f>IF($D45="","",IFERROR(INDEX(WBS_CBS!$C$5:$C$16,MATCH($D45,WBS_CBS!$A$5:$A$16,0)),""))</f>
        <v/>
      </c>
      <c r="F45" s="150">
        <f>IF($D45="","",IFERROR(INDEX(WBS_CBS!$J$5:$J$16,MATCH($D45,WBS_CBS!$A$5:$A$16,0)),""))</f>
        <v/>
      </c>
      <c r="G45" s="149" t="n"/>
      <c r="H45" s="151" t="n"/>
      <c r="I45" s="149" t="n"/>
      <c r="J45" s="152" t="n"/>
      <c r="K45" s="149" t="n"/>
      <c r="L45" s="153">
        <f>IF($K45="","",IFERROR(INDEX(FX_Rates!$B$5:$B$14,MATCH($K45,FX_Rates!$A$5:$A$14,0)),""))</f>
        <v/>
      </c>
      <c r="M45" s="153">
        <f>IF(OR($H45="",$J45=""),"",$H45*$J45)</f>
        <v/>
      </c>
      <c r="N45" s="153">
        <f>IF(OR($M45="",$L45=""),"",$M45*$L45)</f>
        <v/>
      </c>
      <c r="O45" s="149" t="n"/>
      <c r="P45" s="154">
        <f>IF($O45="","",IFERROR(INDEX(Basis_of_Estimate!$C$5:$C$9,MATCH($O45,Basis_of_Estimate!$A$5:$A$9,0)),""))</f>
        <v/>
      </c>
      <c r="Q45" s="154">
        <f>IF($O45="","",IFERROR(INDEX(Basis_of_Estimate!$D$5:$D$9,MATCH($O45,Basis_of_Estimate!$A$5:$A$9,0)),""))</f>
        <v/>
      </c>
      <c r="R45" s="153">
        <f>IF($N45="","",$N45*(1+$P45))</f>
        <v/>
      </c>
      <c r="S45" s="153">
        <f>IF($N45="","",$N45)</f>
        <v/>
      </c>
      <c r="T45" s="153">
        <f>IF($N45="","",$N45*(1+$Q45))</f>
        <v/>
      </c>
      <c r="U45" s="150">
        <f>IF($D45="","",IFERROR(INDEX(WBS_CBS!$M$5:$M$16,MATCH($D45,WBS_CBS!$A$5:$A$16,0)),"Yes"))</f>
        <v/>
      </c>
      <c r="V45" s="150">
        <f>IF($D45="","",IFERROR(INDEX(WBS_CBS!$N$5:$N$16,MATCH($D45,WBS_CBS!$A$5:$A$16,0)),"Yes"))</f>
        <v/>
      </c>
      <c r="W45" s="150">
        <f>IF($D45="","",IFERROR(INDEX(WBS_CBS!$K$5:$K$16,MATCH($D45,WBS_CBS!$A$5:$A$16,0)),""))</f>
        <v/>
      </c>
      <c r="X45" s="150">
        <f>IF($D45="","",IFERROR(INDEX(WBS_CBS!$F$5:$F$16,MATCH($D45,WBS_CBS!$A$5:$A$16,0)),""))</f>
        <v/>
      </c>
      <c r="Y45" s="149" t="n"/>
      <c r="Z45" s="149" t="n"/>
      <c r="AA45" s="150">
        <f>IF($D45="","",IFERROR(INDEX(WBS_CBS!$L$5:$L$16,MATCH($D45,WBS_CBS!$A$5:$A$16,0)),""))</f>
        <v/>
      </c>
      <c r="AB45" s="149" t="n"/>
    </row>
    <row r="46">
      <c r="A46" s="149" t="n"/>
      <c r="B46" s="149" t="n"/>
      <c r="C46" s="150">
        <f>IF($D46="","",IFERROR(INDEX(WBS_CBS!$E$5:$E$16,MATCH($D46,WBS_CBS!$A$5:$A$16,0)),""))</f>
        <v/>
      </c>
      <c r="D46" s="149" t="n"/>
      <c r="E46" s="150">
        <f>IF($D46="","",IFERROR(INDEX(WBS_CBS!$C$5:$C$16,MATCH($D46,WBS_CBS!$A$5:$A$16,0)),""))</f>
        <v/>
      </c>
      <c r="F46" s="150">
        <f>IF($D46="","",IFERROR(INDEX(WBS_CBS!$J$5:$J$16,MATCH($D46,WBS_CBS!$A$5:$A$16,0)),""))</f>
        <v/>
      </c>
      <c r="G46" s="149" t="n"/>
      <c r="H46" s="151" t="n"/>
      <c r="I46" s="149" t="n"/>
      <c r="J46" s="152" t="n"/>
      <c r="K46" s="149" t="n"/>
      <c r="L46" s="153">
        <f>IF($K46="","",IFERROR(INDEX(FX_Rates!$B$5:$B$14,MATCH($K46,FX_Rates!$A$5:$A$14,0)),""))</f>
        <v/>
      </c>
      <c r="M46" s="153">
        <f>IF(OR($H46="",$J46=""),"",$H46*$J46)</f>
        <v/>
      </c>
      <c r="N46" s="153">
        <f>IF(OR($M46="",$L46=""),"",$M46*$L46)</f>
        <v/>
      </c>
      <c r="O46" s="149" t="n"/>
      <c r="P46" s="154">
        <f>IF($O46="","",IFERROR(INDEX(Basis_of_Estimate!$C$5:$C$9,MATCH($O46,Basis_of_Estimate!$A$5:$A$9,0)),""))</f>
        <v/>
      </c>
      <c r="Q46" s="154">
        <f>IF($O46="","",IFERROR(INDEX(Basis_of_Estimate!$D$5:$D$9,MATCH($O46,Basis_of_Estimate!$A$5:$A$9,0)),""))</f>
        <v/>
      </c>
      <c r="R46" s="153">
        <f>IF($N46="","",$N46*(1+$P46))</f>
        <v/>
      </c>
      <c r="S46" s="153">
        <f>IF($N46="","",$N46)</f>
        <v/>
      </c>
      <c r="T46" s="153">
        <f>IF($N46="","",$N46*(1+$Q46))</f>
        <v/>
      </c>
      <c r="U46" s="150">
        <f>IF($D46="","",IFERROR(INDEX(WBS_CBS!$M$5:$M$16,MATCH($D46,WBS_CBS!$A$5:$A$16,0)),"Yes"))</f>
        <v/>
      </c>
      <c r="V46" s="150">
        <f>IF($D46="","",IFERROR(INDEX(WBS_CBS!$N$5:$N$16,MATCH($D46,WBS_CBS!$A$5:$A$16,0)),"Yes"))</f>
        <v/>
      </c>
      <c r="W46" s="150">
        <f>IF($D46="","",IFERROR(INDEX(WBS_CBS!$K$5:$K$16,MATCH($D46,WBS_CBS!$A$5:$A$16,0)),""))</f>
        <v/>
      </c>
      <c r="X46" s="150">
        <f>IF($D46="","",IFERROR(INDEX(WBS_CBS!$F$5:$F$16,MATCH($D46,WBS_CBS!$A$5:$A$16,0)),""))</f>
        <v/>
      </c>
      <c r="Y46" s="149" t="n"/>
      <c r="Z46" s="149" t="n"/>
      <c r="AA46" s="150">
        <f>IF($D46="","",IFERROR(INDEX(WBS_CBS!$L$5:$L$16,MATCH($D46,WBS_CBS!$A$5:$A$16,0)),""))</f>
        <v/>
      </c>
      <c r="AB46" s="149" t="n"/>
    </row>
    <row r="47">
      <c r="A47" s="149" t="n"/>
      <c r="B47" s="149" t="n"/>
      <c r="C47" s="150">
        <f>IF($D47="","",IFERROR(INDEX(WBS_CBS!$E$5:$E$16,MATCH($D47,WBS_CBS!$A$5:$A$16,0)),""))</f>
        <v/>
      </c>
      <c r="D47" s="149" t="n"/>
      <c r="E47" s="150">
        <f>IF($D47="","",IFERROR(INDEX(WBS_CBS!$C$5:$C$16,MATCH($D47,WBS_CBS!$A$5:$A$16,0)),""))</f>
        <v/>
      </c>
      <c r="F47" s="150">
        <f>IF($D47="","",IFERROR(INDEX(WBS_CBS!$J$5:$J$16,MATCH($D47,WBS_CBS!$A$5:$A$16,0)),""))</f>
        <v/>
      </c>
      <c r="G47" s="149" t="n"/>
      <c r="H47" s="151" t="n"/>
      <c r="I47" s="149" t="n"/>
      <c r="J47" s="152" t="n"/>
      <c r="K47" s="149" t="n"/>
      <c r="L47" s="153">
        <f>IF($K47="","",IFERROR(INDEX(FX_Rates!$B$5:$B$14,MATCH($K47,FX_Rates!$A$5:$A$14,0)),""))</f>
        <v/>
      </c>
      <c r="M47" s="153">
        <f>IF(OR($H47="",$J47=""),"",$H47*$J47)</f>
        <v/>
      </c>
      <c r="N47" s="153">
        <f>IF(OR($M47="",$L47=""),"",$M47*$L47)</f>
        <v/>
      </c>
      <c r="O47" s="149" t="n"/>
      <c r="P47" s="154">
        <f>IF($O47="","",IFERROR(INDEX(Basis_of_Estimate!$C$5:$C$9,MATCH($O47,Basis_of_Estimate!$A$5:$A$9,0)),""))</f>
        <v/>
      </c>
      <c r="Q47" s="154">
        <f>IF($O47="","",IFERROR(INDEX(Basis_of_Estimate!$D$5:$D$9,MATCH($O47,Basis_of_Estimate!$A$5:$A$9,0)),""))</f>
        <v/>
      </c>
      <c r="R47" s="153">
        <f>IF($N47="","",$N47*(1+$P47))</f>
        <v/>
      </c>
      <c r="S47" s="153">
        <f>IF($N47="","",$N47)</f>
        <v/>
      </c>
      <c r="T47" s="153">
        <f>IF($N47="","",$N47*(1+$Q47))</f>
        <v/>
      </c>
      <c r="U47" s="150">
        <f>IF($D47="","",IFERROR(INDEX(WBS_CBS!$M$5:$M$16,MATCH($D47,WBS_CBS!$A$5:$A$16,0)),"Yes"))</f>
        <v/>
      </c>
      <c r="V47" s="150">
        <f>IF($D47="","",IFERROR(INDEX(WBS_CBS!$N$5:$N$16,MATCH($D47,WBS_CBS!$A$5:$A$16,0)),"Yes"))</f>
        <v/>
      </c>
      <c r="W47" s="150">
        <f>IF($D47="","",IFERROR(INDEX(WBS_CBS!$K$5:$K$16,MATCH($D47,WBS_CBS!$A$5:$A$16,0)),""))</f>
        <v/>
      </c>
      <c r="X47" s="150">
        <f>IF($D47="","",IFERROR(INDEX(WBS_CBS!$F$5:$F$16,MATCH($D47,WBS_CBS!$A$5:$A$16,0)),""))</f>
        <v/>
      </c>
      <c r="Y47" s="149" t="n"/>
      <c r="Z47" s="149" t="n"/>
      <c r="AA47" s="150">
        <f>IF($D47="","",IFERROR(INDEX(WBS_CBS!$L$5:$L$16,MATCH($D47,WBS_CBS!$A$5:$A$16,0)),""))</f>
        <v/>
      </c>
      <c r="AB47" s="149" t="n"/>
    </row>
    <row r="48">
      <c r="A48" s="149" t="n"/>
      <c r="B48" s="149" t="n"/>
      <c r="C48" s="150">
        <f>IF($D48="","",IFERROR(INDEX(WBS_CBS!$E$5:$E$16,MATCH($D48,WBS_CBS!$A$5:$A$16,0)),""))</f>
        <v/>
      </c>
      <c r="D48" s="149" t="n"/>
      <c r="E48" s="150">
        <f>IF($D48="","",IFERROR(INDEX(WBS_CBS!$C$5:$C$16,MATCH($D48,WBS_CBS!$A$5:$A$16,0)),""))</f>
        <v/>
      </c>
      <c r="F48" s="150">
        <f>IF($D48="","",IFERROR(INDEX(WBS_CBS!$J$5:$J$16,MATCH($D48,WBS_CBS!$A$5:$A$16,0)),""))</f>
        <v/>
      </c>
      <c r="G48" s="149" t="n"/>
      <c r="H48" s="151" t="n"/>
      <c r="I48" s="149" t="n"/>
      <c r="J48" s="152" t="n"/>
      <c r="K48" s="149" t="n"/>
      <c r="L48" s="153">
        <f>IF($K48="","",IFERROR(INDEX(FX_Rates!$B$5:$B$14,MATCH($K48,FX_Rates!$A$5:$A$14,0)),""))</f>
        <v/>
      </c>
      <c r="M48" s="153">
        <f>IF(OR($H48="",$J48=""),"",$H48*$J48)</f>
        <v/>
      </c>
      <c r="N48" s="153">
        <f>IF(OR($M48="",$L48=""),"",$M48*$L48)</f>
        <v/>
      </c>
      <c r="O48" s="149" t="n"/>
      <c r="P48" s="154">
        <f>IF($O48="","",IFERROR(INDEX(Basis_of_Estimate!$C$5:$C$9,MATCH($O48,Basis_of_Estimate!$A$5:$A$9,0)),""))</f>
        <v/>
      </c>
      <c r="Q48" s="154">
        <f>IF($O48="","",IFERROR(INDEX(Basis_of_Estimate!$D$5:$D$9,MATCH($O48,Basis_of_Estimate!$A$5:$A$9,0)),""))</f>
        <v/>
      </c>
      <c r="R48" s="153">
        <f>IF($N48="","",$N48*(1+$P48))</f>
        <v/>
      </c>
      <c r="S48" s="153">
        <f>IF($N48="","",$N48)</f>
        <v/>
      </c>
      <c r="T48" s="153">
        <f>IF($N48="","",$N48*(1+$Q48))</f>
        <v/>
      </c>
      <c r="U48" s="150">
        <f>IF($D48="","",IFERROR(INDEX(WBS_CBS!$M$5:$M$16,MATCH($D48,WBS_CBS!$A$5:$A$16,0)),"Yes"))</f>
        <v/>
      </c>
      <c r="V48" s="150">
        <f>IF($D48="","",IFERROR(INDEX(WBS_CBS!$N$5:$N$16,MATCH($D48,WBS_CBS!$A$5:$A$16,0)),"Yes"))</f>
        <v/>
      </c>
      <c r="W48" s="150">
        <f>IF($D48="","",IFERROR(INDEX(WBS_CBS!$K$5:$K$16,MATCH($D48,WBS_CBS!$A$5:$A$16,0)),""))</f>
        <v/>
      </c>
      <c r="X48" s="150">
        <f>IF($D48="","",IFERROR(INDEX(WBS_CBS!$F$5:$F$16,MATCH($D48,WBS_CBS!$A$5:$A$16,0)),""))</f>
        <v/>
      </c>
      <c r="Y48" s="149" t="n"/>
      <c r="Z48" s="149" t="n"/>
      <c r="AA48" s="150">
        <f>IF($D48="","",IFERROR(INDEX(WBS_CBS!$L$5:$L$16,MATCH($D48,WBS_CBS!$A$5:$A$16,0)),""))</f>
        <v/>
      </c>
      <c r="AB48" s="149" t="n"/>
    </row>
    <row r="49">
      <c r="A49" s="149" t="n"/>
      <c r="B49" s="149" t="n"/>
      <c r="C49" s="150">
        <f>IF($D49="","",IFERROR(INDEX(WBS_CBS!$E$5:$E$16,MATCH($D49,WBS_CBS!$A$5:$A$16,0)),""))</f>
        <v/>
      </c>
      <c r="D49" s="149" t="n"/>
      <c r="E49" s="150">
        <f>IF($D49="","",IFERROR(INDEX(WBS_CBS!$C$5:$C$16,MATCH($D49,WBS_CBS!$A$5:$A$16,0)),""))</f>
        <v/>
      </c>
      <c r="F49" s="150">
        <f>IF($D49="","",IFERROR(INDEX(WBS_CBS!$J$5:$J$16,MATCH($D49,WBS_CBS!$A$5:$A$16,0)),""))</f>
        <v/>
      </c>
      <c r="G49" s="149" t="n"/>
      <c r="H49" s="151" t="n"/>
      <c r="I49" s="149" t="n"/>
      <c r="J49" s="152" t="n"/>
      <c r="K49" s="149" t="n"/>
      <c r="L49" s="153">
        <f>IF($K49="","",IFERROR(INDEX(FX_Rates!$B$5:$B$14,MATCH($K49,FX_Rates!$A$5:$A$14,0)),""))</f>
        <v/>
      </c>
      <c r="M49" s="153">
        <f>IF(OR($H49="",$J49=""),"",$H49*$J49)</f>
        <v/>
      </c>
      <c r="N49" s="153">
        <f>IF(OR($M49="",$L49=""),"",$M49*$L49)</f>
        <v/>
      </c>
      <c r="O49" s="149" t="n"/>
      <c r="P49" s="154">
        <f>IF($O49="","",IFERROR(INDEX(Basis_of_Estimate!$C$5:$C$9,MATCH($O49,Basis_of_Estimate!$A$5:$A$9,0)),""))</f>
        <v/>
      </c>
      <c r="Q49" s="154">
        <f>IF($O49="","",IFERROR(INDEX(Basis_of_Estimate!$D$5:$D$9,MATCH($O49,Basis_of_Estimate!$A$5:$A$9,0)),""))</f>
        <v/>
      </c>
      <c r="R49" s="153">
        <f>IF($N49="","",$N49*(1+$P49))</f>
        <v/>
      </c>
      <c r="S49" s="153">
        <f>IF($N49="","",$N49)</f>
        <v/>
      </c>
      <c r="T49" s="153">
        <f>IF($N49="","",$N49*(1+$Q49))</f>
        <v/>
      </c>
      <c r="U49" s="150">
        <f>IF($D49="","",IFERROR(INDEX(WBS_CBS!$M$5:$M$16,MATCH($D49,WBS_CBS!$A$5:$A$16,0)),"Yes"))</f>
        <v/>
      </c>
      <c r="V49" s="150">
        <f>IF($D49="","",IFERROR(INDEX(WBS_CBS!$N$5:$N$16,MATCH($D49,WBS_CBS!$A$5:$A$16,0)),"Yes"))</f>
        <v/>
      </c>
      <c r="W49" s="150">
        <f>IF($D49="","",IFERROR(INDEX(WBS_CBS!$K$5:$K$16,MATCH($D49,WBS_CBS!$A$5:$A$16,0)),""))</f>
        <v/>
      </c>
      <c r="X49" s="150">
        <f>IF($D49="","",IFERROR(INDEX(WBS_CBS!$F$5:$F$16,MATCH($D49,WBS_CBS!$A$5:$A$16,0)),""))</f>
        <v/>
      </c>
      <c r="Y49" s="149" t="n"/>
      <c r="Z49" s="149" t="n"/>
      <c r="AA49" s="150">
        <f>IF($D49="","",IFERROR(INDEX(WBS_CBS!$L$5:$L$16,MATCH($D49,WBS_CBS!$A$5:$A$16,0)),""))</f>
        <v/>
      </c>
      <c r="AB49" s="149" t="n"/>
    </row>
    <row r="50">
      <c r="A50" s="149" t="n"/>
      <c r="B50" s="149" t="n"/>
      <c r="C50" s="150">
        <f>IF($D50="","",IFERROR(INDEX(WBS_CBS!$E$5:$E$16,MATCH($D50,WBS_CBS!$A$5:$A$16,0)),""))</f>
        <v/>
      </c>
      <c r="D50" s="149" t="n"/>
      <c r="E50" s="150">
        <f>IF($D50="","",IFERROR(INDEX(WBS_CBS!$C$5:$C$16,MATCH($D50,WBS_CBS!$A$5:$A$16,0)),""))</f>
        <v/>
      </c>
      <c r="F50" s="150">
        <f>IF($D50="","",IFERROR(INDEX(WBS_CBS!$J$5:$J$16,MATCH($D50,WBS_CBS!$A$5:$A$16,0)),""))</f>
        <v/>
      </c>
      <c r="G50" s="149" t="n"/>
      <c r="H50" s="151" t="n"/>
      <c r="I50" s="149" t="n"/>
      <c r="J50" s="152" t="n"/>
      <c r="K50" s="149" t="n"/>
      <c r="L50" s="153">
        <f>IF($K50="","",IFERROR(INDEX(FX_Rates!$B$5:$B$14,MATCH($K50,FX_Rates!$A$5:$A$14,0)),""))</f>
        <v/>
      </c>
      <c r="M50" s="153">
        <f>IF(OR($H50="",$J50=""),"",$H50*$J50)</f>
        <v/>
      </c>
      <c r="N50" s="153">
        <f>IF(OR($M50="",$L50=""),"",$M50*$L50)</f>
        <v/>
      </c>
      <c r="O50" s="149" t="n"/>
      <c r="P50" s="154">
        <f>IF($O50="","",IFERROR(INDEX(Basis_of_Estimate!$C$5:$C$9,MATCH($O50,Basis_of_Estimate!$A$5:$A$9,0)),""))</f>
        <v/>
      </c>
      <c r="Q50" s="154">
        <f>IF($O50="","",IFERROR(INDEX(Basis_of_Estimate!$D$5:$D$9,MATCH($O50,Basis_of_Estimate!$A$5:$A$9,0)),""))</f>
        <v/>
      </c>
      <c r="R50" s="153">
        <f>IF($N50="","",$N50*(1+$P50))</f>
        <v/>
      </c>
      <c r="S50" s="153">
        <f>IF($N50="","",$N50)</f>
        <v/>
      </c>
      <c r="T50" s="153">
        <f>IF($N50="","",$N50*(1+$Q50))</f>
        <v/>
      </c>
      <c r="U50" s="150">
        <f>IF($D50="","",IFERROR(INDEX(WBS_CBS!$M$5:$M$16,MATCH($D50,WBS_CBS!$A$5:$A$16,0)),"Yes"))</f>
        <v/>
      </c>
      <c r="V50" s="150">
        <f>IF($D50="","",IFERROR(INDEX(WBS_CBS!$N$5:$N$16,MATCH($D50,WBS_CBS!$A$5:$A$16,0)),"Yes"))</f>
        <v/>
      </c>
      <c r="W50" s="150">
        <f>IF($D50="","",IFERROR(INDEX(WBS_CBS!$K$5:$K$16,MATCH($D50,WBS_CBS!$A$5:$A$16,0)),""))</f>
        <v/>
      </c>
      <c r="X50" s="150">
        <f>IF($D50="","",IFERROR(INDEX(WBS_CBS!$F$5:$F$16,MATCH($D50,WBS_CBS!$A$5:$A$16,0)),""))</f>
        <v/>
      </c>
      <c r="Y50" s="149" t="n"/>
      <c r="Z50" s="149" t="n"/>
      <c r="AA50" s="150">
        <f>IF($D50="","",IFERROR(INDEX(WBS_CBS!$L$5:$L$16,MATCH($D50,WBS_CBS!$A$5:$A$16,0)),""))</f>
        <v/>
      </c>
      <c r="AB50" s="149" t="n"/>
    </row>
    <row r="51">
      <c r="A51" s="149" t="n"/>
      <c r="B51" s="149" t="n"/>
      <c r="C51" s="150">
        <f>IF($D51="","",IFERROR(INDEX(WBS_CBS!$E$5:$E$16,MATCH($D51,WBS_CBS!$A$5:$A$16,0)),""))</f>
        <v/>
      </c>
      <c r="D51" s="149" t="n"/>
      <c r="E51" s="150">
        <f>IF($D51="","",IFERROR(INDEX(WBS_CBS!$C$5:$C$16,MATCH($D51,WBS_CBS!$A$5:$A$16,0)),""))</f>
        <v/>
      </c>
      <c r="F51" s="150">
        <f>IF($D51="","",IFERROR(INDEX(WBS_CBS!$J$5:$J$16,MATCH($D51,WBS_CBS!$A$5:$A$16,0)),""))</f>
        <v/>
      </c>
      <c r="G51" s="149" t="n"/>
      <c r="H51" s="151" t="n"/>
      <c r="I51" s="149" t="n"/>
      <c r="J51" s="152" t="n"/>
      <c r="K51" s="149" t="n"/>
      <c r="L51" s="153">
        <f>IF($K51="","",IFERROR(INDEX(FX_Rates!$B$5:$B$14,MATCH($K51,FX_Rates!$A$5:$A$14,0)),""))</f>
        <v/>
      </c>
      <c r="M51" s="153">
        <f>IF(OR($H51="",$J51=""),"",$H51*$J51)</f>
        <v/>
      </c>
      <c r="N51" s="153">
        <f>IF(OR($M51="",$L51=""),"",$M51*$L51)</f>
        <v/>
      </c>
      <c r="O51" s="149" t="n"/>
      <c r="P51" s="154">
        <f>IF($O51="","",IFERROR(INDEX(Basis_of_Estimate!$C$5:$C$9,MATCH($O51,Basis_of_Estimate!$A$5:$A$9,0)),""))</f>
        <v/>
      </c>
      <c r="Q51" s="154">
        <f>IF($O51="","",IFERROR(INDEX(Basis_of_Estimate!$D$5:$D$9,MATCH($O51,Basis_of_Estimate!$A$5:$A$9,0)),""))</f>
        <v/>
      </c>
      <c r="R51" s="153">
        <f>IF($N51="","",$N51*(1+$P51))</f>
        <v/>
      </c>
      <c r="S51" s="153">
        <f>IF($N51="","",$N51)</f>
        <v/>
      </c>
      <c r="T51" s="153">
        <f>IF($N51="","",$N51*(1+$Q51))</f>
        <v/>
      </c>
      <c r="U51" s="150">
        <f>IF($D51="","",IFERROR(INDEX(WBS_CBS!$M$5:$M$16,MATCH($D51,WBS_CBS!$A$5:$A$16,0)),"Yes"))</f>
        <v/>
      </c>
      <c r="V51" s="150">
        <f>IF($D51="","",IFERROR(INDEX(WBS_CBS!$N$5:$N$16,MATCH($D51,WBS_CBS!$A$5:$A$16,0)),"Yes"))</f>
        <v/>
      </c>
      <c r="W51" s="150">
        <f>IF($D51="","",IFERROR(INDEX(WBS_CBS!$K$5:$K$16,MATCH($D51,WBS_CBS!$A$5:$A$16,0)),""))</f>
        <v/>
      </c>
      <c r="X51" s="150">
        <f>IF($D51="","",IFERROR(INDEX(WBS_CBS!$F$5:$F$16,MATCH($D51,WBS_CBS!$A$5:$A$16,0)),""))</f>
        <v/>
      </c>
      <c r="Y51" s="149" t="n"/>
      <c r="Z51" s="149" t="n"/>
      <c r="AA51" s="150">
        <f>IF($D51="","",IFERROR(INDEX(WBS_CBS!$L$5:$L$16,MATCH($D51,WBS_CBS!$A$5:$A$16,0)),""))</f>
        <v/>
      </c>
      <c r="AB51" s="149" t="n"/>
    </row>
    <row r="52">
      <c r="A52" s="149" t="n"/>
      <c r="B52" s="149" t="n"/>
      <c r="C52" s="150">
        <f>IF($D52="","",IFERROR(INDEX(WBS_CBS!$E$5:$E$16,MATCH($D52,WBS_CBS!$A$5:$A$16,0)),""))</f>
        <v/>
      </c>
      <c r="D52" s="149" t="n"/>
      <c r="E52" s="150">
        <f>IF($D52="","",IFERROR(INDEX(WBS_CBS!$C$5:$C$16,MATCH($D52,WBS_CBS!$A$5:$A$16,0)),""))</f>
        <v/>
      </c>
      <c r="F52" s="150">
        <f>IF($D52="","",IFERROR(INDEX(WBS_CBS!$J$5:$J$16,MATCH($D52,WBS_CBS!$A$5:$A$16,0)),""))</f>
        <v/>
      </c>
      <c r="G52" s="149" t="n"/>
      <c r="H52" s="151" t="n"/>
      <c r="I52" s="149" t="n"/>
      <c r="J52" s="152" t="n"/>
      <c r="K52" s="149" t="n"/>
      <c r="L52" s="153">
        <f>IF($K52="","",IFERROR(INDEX(FX_Rates!$B$5:$B$14,MATCH($K52,FX_Rates!$A$5:$A$14,0)),""))</f>
        <v/>
      </c>
      <c r="M52" s="153">
        <f>IF(OR($H52="",$J52=""),"",$H52*$J52)</f>
        <v/>
      </c>
      <c r="N52" s="153">
        <f>IF(OR($M52="",$L52=""),"",$M52*$L52)</f>
        <v/>
      </c>
      <c r="O52" s="149" t="n"/>
      <c r="P52" s="154">
        <f>IF($O52="","",IFERROR(INDEX(Basis_of_Estimate!$C$5:$C$9,MATCH($O52,Basis_of_Estimate!$A$5:$A$9,0)),""))</f>
        <v/>
      </c>
      <c r="Q52" s="154">
        <f>IF($O52="","",IFERROR(INDEX(Basis_of_Estimate!$D$5:$D$9,MATCH($O52,Basis_of_Estimate!$A$5:$A$9,0)),""))</f>
        <v/>
      </c>
      <c r="R52" s="153">
        <f>IF($N52="","",$N52*(1+$P52))</f>
        <v/>
      </c>
      <c r="S52" s="153">
        <f>IF($N52="","",$N52)</f>
        <v/>
      </c>
      <c r="T52" s="153">
        <f>IF($N52="","",$N52*(1+$Q52))</f>
        <v/>
      </c>
      <c r="U52" s="150">
        <f>IF($D52="","",IFERROR(INDEX(WBS_CBS!$M$5:$M$16,MATCH($D52,WBS_CBS!$A$5:$A$16,0)),"Yes"))</f>
        <v/>
      </c>
      <c r="V52" s="150">
        <f>IF($D52="","",IFERROR(INDEX(WBS_CBS!$N$5:$N$16,MATCH($D52,WBS_CBS!$A$5:$A$16,0)),"Yes"))</f>
        <v/>
      </c>
      <c r="W52" s="150">
        <f>IF($D52="","",IFERROR(INDEX(WBS_CBS!$K$5:$K$16,MATCH($D52,WBS_CBS!$A$5:$A$16,0)),""))</f>
        <v/>
      </c>
      <c r="X52" s="150">
        <f>IF($D52="","",IFERROR(INDEX(WBS_CBS!$F$5:$F$16,MATCH($D52,WBS_CBS!$A$5:$A$16,0)),""))</f>
        <v/>
      </c>
      <c r="Y52" s="149" t="n"/>
      <c r="Z52" s="149" t="n"/>
      <c r="AA52" s="150">
        <f>IF($D52="","",IFERROR(INDEX(WBS_CBS!$L$5:$L$16,MATCH($D52,WBS_CBS!$A$5:$A$16,0)),""))</f>
        <v/>
      </c>
      <c r="AB52" s="149" t="n"/>
    </row>
    <row r="53">
      <c r="A53" s="149" t="n"/>
      <c r="B53" s="149" t="n"/>
      <c r="C53" s="150">
        <f>IF($D53="","",IFERROR(INDEX(WBS_CBS!$E$5:$E$16,MATCH($D53,WBS_CBS!$A$5:$A$16,0)),""))</f>
        <v/>
      </c>
      <c r="D53" s="149" t="n"/>
      <c r="E53" s="150">
        <f>IF($D53="","",IFERROR(INDEX(WBS_CBS!$C$5:$C$16,MATCH($D53,WBS_CBS!$A$5:$A$16,0)),""))</f>
        <v/>
      </c>
      <c r="F53" s="150">
        <f>IF($D53="","",IFERROR(INDEX(WBS_CBS!$J$5:$J$16,MATCH($D53,WBS_CBS!$A$5:$A$16,0)),""))</f>
        <v/>
      </c>
      <c r="G53" s="149" t="n"/>
      <c r="H53" s="151" t="n"/>
      <c r="I53" s="149" t="n"/>
      <c r="J53" s="152" t="n"/>
      <c r="K53" s="149" t="n"/>
      <c r="L53" s="153">
        <f>IF($K53="","",IFERROR(INDEX(FX_Rates!$B$5:$B$14,MATCH($K53,FX_Rates!$A$5:$A$14,0)),""))</f>
        <v/>
      </c>
      <c r="M53" s="153">
        <f>IF(OR($H53="",$J53=""),"",$H53*$J53)</f>
        <v/>
      </c>
      <c r="N53" s="153">
        <f>IF(OR($M53="",$L53=""),"",$M53*$L53)</f>
        <v/>
      </c>
      <c r="O53" s="149" t="n"/>
      <c r="P53" s="154">
        <f>IF($O53="","",IFERROR(INDEX(Basis_of_Estimate!$C$5:$C$9,MATCH($O53,Basis_of_Estimate!$A$5:$A$9,0)),""))</f>
        <v/>
      </c>
      <c r="Q53" s="154">
        <f>IF($O53="","",IFERROR(INDEX(Basis_of_Estimate!$D$5:$D$9,MATCH($O53,Basis_of_Estimate!$A$5:$A$9,0)),""))</f>
        <v/>
      </c>
      <c r="R53" s="153">
        <f>IF($N53="","",$N53*(1+$P53))</f>
        <v/>
      </c>
      <c r="S53" s="153">
        <f>IF($N53="","",$N53)</f>
        <v/>
      </c>
      <c r="T53" s="153">
        <f>IF($N53="","",$N53*(1+$Q53))</f>
        <v/>
      </c>
      <c r="U53" s="150">
        <f>IF($D53="","",IFERROR(INDEX(WBS_CBS!$M$5:$M$16,MATCH($D53,WBS_CBS!$A$5:$A$16,0)),"Yes"))</f>
        <v/>
      </c>
      <c r="V53" s="150">
        <f>IF($D53="","",IFERROR(INDEX(WBS_CBS!$N$5:$N$16,MATCH($D53,WBS_CBS!$A$5:$A$16,0)),"Yes"))</f>
        <v/>
      </c>
      <c r="W53" s="150">
        <f>IF($D53="","",IFERROR(INDEX(WBS_CBS!$K$5:$K$16,MATCH($D53,WBS_CBS!$A$5:$A$16,0)),""))</f>
        <v/>
      </c>
      <c r="X53" s="150">
        <f>IF($D53="","",IFERROR(INDEX(WBS_CBS!$F$5:$F$16,MATCH($D53,WBS_CBS!$A$5:$A$16,0)),""))</f>
        <v/>
      </c>
      <c r="Y53" s="149" t="n"/>
      <c r="Z53" s="149" t="n"/>
      <c r="AA53" s="150">
        <f>IF($D53="","",IFERROR(INDEX(WBS_CBS!$L$5:$L$16,MATCH($D53,WBS_CBS!$A$5:$A$16,0)),""))</f>
        <v/>
      </c>
      <c r="AB53" s="149" t="n"/>
    </row>
    <row r="54">
      <c r="A54" s="149" t="n"/>
      <c r="B54" s="149" t="n"/>
      <c r="C54" s="150">
        <f>IF($D54="","",IFERROR(INDEX(WBS_CBS!$E$5:$E$16,MATCH($D54,WBS_CBS!$A$5:$A$16,0)),""))</f>
        <v/>
      </c>
      <c r="D54" s="149" t="n"/>
      <c r="E54" s="150">
        <f>IF($D54="","",IFERROR(INDEX(WBS_CBS!$C$5:$C$16,MATCH($D54,WBS_CBS!$A$5:$A$16,0)),""))</f>
        <v/>
      </c>
      <c r="F54" s="150">
        <f>IF($D54="","",IFERROR(INDEX(WBS_CBS!$J$5:$J$16,MATCH($D54,WBS_CBS!$A$5:$A$16,0)),""))</f>
        <v/>
      </c>
      <c r="G54" s="149" t="n"/>
      <c r="H54" s="151" t="n"/>
      <c r="I54" s="149" t="n"/>
      <c r="J54" s="152" t="n"/>
      <c r="K54" s="149" t="n"/>
      <c r="L54" s="153">
        <f>IF($K54="","",IFERROR(INDEX(FX_Rates!$B$5:$B$14,MATCH($K54,FX_Rates!$A$5:$A$14,0)),""))</f>
        <v/>
      </c>
      <c r="M54" s="153">
        <f>IF(OR($H54="",$J54=""),"",$H54*$J54)</f>
        <v/>
      </c>
      <c r="N54" s="153">
        <f>IF(OR($M54="",$L54=""),"",$M54*$L54)</f>
        <v/>
      </c>
      <c r="O54" s="149" t="n"/>
      <c r="P54" s="154">
        <f>IF($O54="","",IFERROR(INDEX(Basis_of_Estimate!$C$5:$C$9,MATCH($O54,Basis_of_Estimate!$A$5:$A$9,0)),""))</f>
        <v/>
      </c>
      <c r="Q54" s="154">
        <f>IF($O54="","",IFERROR(INDEX(Basis_of_Estimate!$D$5:$D$9,MATCH($O54,Basis_of_Estimate!$A$5:$A$9,0)),""))</f>
        <v/>
      </c>
      <c r="R54" s="153">
        <f>IF($N54="","",$N54*(1+$P54))</f>
        <v/>
      </c>
      <c r="S54" s="153">
        <f>IF($N54="","",$N54)</f>
        <v/>
      </c>
      <c r="T54" s="153">
        <f>IF($N54="","",$N54*(1+$Q54))</f>
        <v/>
      </c>
      <c r="U54" s="150">
        <f>IF($D54="","",IFERROR(INDEX(WBS_CBS!$M$5:$M$16,MATCH($D54,WBS_CBS!$A$5:$A$16,0)),"Yes"))</f>
        <v/>
      </c>
      <c r="V54" s="150">
        <f>IF($D54="","",IFERROR(INDEX(WBS_CBS!$N$5:$N$16,MATCH($D54,WBS_CBS!$A$5:$A$16,0)),"Yes"))</f>
        <v/>
      </c>
      <c r="W54" s="150">
        <f>IF($D54="","",IFERROR(INDEX(WBS_CBS!$K$5:$K$16,MATCH($D54,WBS_CBS!$A$5:$A$16,0)),""))</f>
        <v/>
      </c>
      <c r="X54" s="150">
        <f>IF($D54="","",IFERROR(INDEX(WBS_CBS!$F$5:$F$16,MATCH($D54,WBS_CBS!$A$5:$A$16,0)),""))</f>
        <v/>
      </c>
      <c r="Y54" s="149" t="n"/>
      <c r="Z54" s="149" t="n"/>
      <c r="AA54" s="150">
        <f>IF($D54="","",IFERROR(INDEX(WBS_CBS!$L$5:$L$16,MATCH($D54,WBS_CBS!$A$5:$A$16,0)),""))</f>
        <v/>
      </c>
      <c r="AB54" s="149" t="n"/>
    </row>
    <row r="55">
      <c r="A55" s="149" t="n"/>
      <c r="B55" s="149" t="n"/>
      <c r="C55" s="150">
        <f>IF($D55="","",IFERROR(INDEX(WBS_CBS!$E$5:$E$16,MATCH($D55,WBS_CBS!$A$5:$A$16,0)),""))</f>
        <v/>
      </c>
      <c r="D55" s="149" t="n"/>
      <c r="E55" s="150">
        <f>IF($D55="","",IFERROR(INDEX(WBS_CBS!$C$5:$C$16,MATCH($D55,WBS_CBS!$A$5:$A$16,0)),""))</f>
        <v/>
      </c>
      <c r="F55" s="150">
        <f>IF($D55="","",IFERROR(INDEX(WBS_CBS!$J$5:$J$16,MATCH($D55,WBS_CBS!$A$5:$A$16,0)),""))</f>
        <v/>
      </c>
      <c r="G55" s="149" t="n"/>
      <c r="H55" s="151" t="n"/>
      <c r="I55" s="149" t="n"/>
      <c r="J55" s="152" t="n"/>
      <c r="K55" s="149" t="n"/>
      <c r="L55" s="153">
        <f>IF($K55="","",IFERROR(INDEX(FX_Rates!$B$5:$B$14,MATCH($K55,FX_Rates!$A$5:$A$14,0)),""))</f>
        <v/>
      </c>
      <c r="M55" s="153">
        <f>IF(OR($H55="",$J55=""),"",$H55*$J55)</f>
        <v/>
      </c>
      <c r="N55" s="153">
        <f>IF(OR($M55="",$L55=""),"",$M55*$L55)</f>
        <v/>
      </c>
      <c r="O55" s="149" t="n"/>
      <c r="P55" s="154">
        <f>IF($O55="","",IFERROR(INDEX(Basis_of_Estimate!$C$5:$C$9,MATCH($O55,Basis_of_Estimate!$A$5:$A$9,0)),""))</f>
        <v/>
      </c>
      <c r="Q55" s="154">
        <f>IF($O55="","",IFERROR(INDEX(Basis_of_Estimate!$D$5:$D$9,MATCH($O55,Basis_of_Estimate!$A$5:$A$9,0)),""))</f>
        <v/>
      </c>
      <c r="R55" s="153">
        <f>IF($N55="","",$N55*(1+$P55))</f>
        <v/>
      </c>
      <c r="S55" s="153">
        <f>IF($N55="","",$N55)</f>
        <v/>
      </c>
      <c r="T55" s="153">
        <f>IF($N55="","",$N55*(1+$Q55))</f>
        <v/>
      </c>
      <c r="U55" s="150">
        <f>IF($D55="","",IFERROR(INDEX(WBS_CBS!$M$5:$M$16,MATCH($D55,WBS_CBS!$A$5:$A$16,0)),"Yes"))</f>
        <v/>
      </c>
      <c r="V55" s="150">
        <f>IF($D55="","",IFERROR(INDEX(WBS_CBS!$N$5:$N$16,MATCH($D55,WBS_CBS!$A$5:$A$16,0)),"Yes"))</f>
        <v/>
      </c>
      <c r="W55" s="150">
        <f>IF($D55="","",IFERROR(INDEX(WBS_CBS!$K$5:$K$16,MATCH($D55,WBS_CBS!$A$5:$A$16,0)),""))</f>
        <v/>
      </c>
      <c r="X55" s="150">
        <f>IF($D55="","",IFERROR(INDEX(WBS_CBS!$F$5:$F$16,MATCH($D55,WBS_CBS!$A$5:$A$16,0)),""))</f>
        <v/>
      </c>
      <c r="Y55" s="149" t="n"/>
      <c r="Z55" s="149" t="n"/>
      <c r="AA55" s="150">
        <f>IF($D55="","",IFERROR(INDEX(WBS_CBS!$L$5:$L$16,MATCH($D55,WBS_CBS!$A$5:$A$16,0)),""))</f>
        <v/>
      </c>
      <c r="AB55" s="149" t="n"/>
    </row>
    <row r="56">
      <c r="A56" s="149" t="n"/>
      <c r="B56" s="149" t="n"/>
      <c r="C56" s="150">
        <f>IF($D56="","",IFERROR(INDEX(WBS_CBS!$E$5:$E$16,MATCH($D56,WBS_CBS!$A$5:$A$16,0)),""))</f>
        <v/>
      </c>
      <c r="D56" s="149" t="n"/>
      <c r="E56" s="150">
        <f>IF($D56="","",IFERROR(INDEX(WBS_CBS!$C$5:$C$16,MATCH($D56,WBS_CBS!$A$5:$A$16,0)),""))</f>
        <v/>
      </c>
      <c r="F56" s="150">
        <f>IF($D56="","",IFERROR(INDEX(WBS_CBS!$J$5:$J$16,MATCH($D56,WBS_CBS!$A$5:$A$16,0)),""))</f>
        <v/>
      </c>
      <c r="G56" s="149" t="n"/>
      <c r="H56" s="151" t="n"/>
      <c r="I56" s="149" t="n"/>
      <c r="J56" s="152" t="n"/>
      <c r="K56" s="149" t="n"/>
      <c r="L56" s="153">
        <f>IF($K56="","",IFERROR(INDEX(FX_Rates!$B$5:$B$14,MATCH($K56,FX_Rates!$A$5:$A$14,0)),""))</f>
        <v/>
      </c>
      <c r="M56" s="153">
        <f>IF(OR($H56="",$J56=""),"",$H56*$J56)</f>
        <v/>
      </c>
      <c r="N56" s="153">
        <f>IF(OR($M56="",$L56=""),"",$M56*$L56)</f>
        <v/>
      </c>
      <c r="O56" s="149" t="n"/>
      <c r="P56" s="154">
        <f>IF($O56="","",IFERROR(INDEX(Basis_of_Estimate!$C$5:$C$9,MATCH($O56,Basis_of_Estimate!$A$5:$A$9,0)),""))</f>
        <v/>
      </c>
      <c r="Q56" s="154">
        <f>IF($O56="","",IFERROR(INDEX(Basis_of_Estimate!$D$5:$D$9,MATCH($O56,Basis_of_Estimate!$A$5:$A$9,0)),""))</f>
        <v/>
      </c>
      <c r="R56" s="153">
        <f>IF($N56="","",$N56*(1+$P56))</f>
        <v/>
      </c>
      <c r="S56" s="153">
        <f>IF($N56="","",$N56)</f>
        <v/>
      </c>
      <c r="T56" s="153">
        <f>IF($N56="","",$N56*(1+$Q56))</f>
        <v/>
      </c>
      <c r="U56" s="150">
        <f>IF($D56="","",IFERROR(INDEX(WBS_CBS!$M$5:$M$16,MATCH($D56,WBS_CBS!$A$5:$A$16,0)),"Yes"))</f>
        <v/>
      </c>
      <c r="V56" s="150">
        <f>IF($D56="","",IFERROR(INDEX(WBS_CBS!$N$5:$N$16,MATCH($D56,WBS_CBS!$A$5:$A$16,0)),"Yes"))</f>
        <v/>
      </c>
      <c r="W56" s="150">
        <f>IF($D56="","",IFERROR(INDEX(WBS_CBS!$K$5:$K$16,MATCH($D56,WBS_CBS!$A$5:$A$16,0)),""))</f>
        <v/>
      </c>
      <c r="X56" s="150">
        <f>IF($D56="","",IFERROR(INDEX(WBS_CBS!$F$5:$F$16,MATCH($D56,WBS_CBS!$A$5:$A$16,0)),""))</f>
        <v/>
      </c>
      <c r="Y56" s="149" t="n"/>
      <c r="Z56" s="149" t="n"/>
      <c r="AA56" s="150">
        <f>IF($D56="","",IFERROR(INDEX(WBS_CBS!$L$5:$L$16,MATCH($D56,WBS_CBS!$A$5:$A$16,0)),""))</f>
        <v/>
      </c>
      <c r="AB56" s="149" t="n"/>
    </row>
    <row r="57">
      <c r="A57" s="149" t="n"/>
      <c r="B57" s="149" t="n"/>
      <c r="C57" s="150">
        <f>IF($D57="","",IFERROR(INDEX(WBS_CBS!$E$5:$E$16,MATCH($D57,WBS_CBS!$A$5:$A$16,0)),""))</f>
        <v/>
      </c>
      <c r="D57" s="149" t="n"/>
      <c r="E57" s="150">
        <f>IF($D57="","",IFERROR(INDEX(WBS_CBS!$C$5:$C$16,MATCH($D57,WBS_CBS!$A$5:$A$16,0)),""))</f>
        <v/>
      </c>
      <c r="F57" s="150">
        <f>IF($D57="","",IFERROR(INDEX(WBS_CBS!$J$5:$J$16,MATCH($D57,WBS_CBS!$A$5:$A$16,0)),""))</f>
        <v/>
      </c>
      <c r="G57" s="149" t="n"/>
      <c r="H57" s="151" t="n"/>
      <c r="I57" s="149" t="n"/>
      <c r="J57" s="152" t="n"/>
      <c r="K57" s="149" t="n"/>
      <c r="L57" s="153">
        <f>IF($K57="","",IFERROR(INDEX(FX_Rates!$B$5:$B$14,MATCH($K57,FX_Rates!$A$5:$A$14,0)),""))</f>
        <v/>
      </c>
      <c r="M57" s="153">
        <f>IF(OR($H57="",$J57=""),"",$H57*$J57)</f>
        <v/>
      </c>
      <c r="N57" s="153">
        <f>IF(OR($M57="",$L57=""),"",$M57*$L57)</f>
        <v/>
      </c>
      <c r="O57" s="149" t="n"/>
      <c r="P57" s="154">
        <f>IF($O57="","",IFERROR(INDEX(Basis_of_Estimate!$C$5:$C$9,MATCH($O57,Basis_of_Estimate!$A$5:$A$9,0)),""))</f>
        <v/>
      </c>
      <c r="Q57" s="154">
        <f>IF($O57="","",IFERROR(INDEX(Basis_of_Estimate!$D$5:$D$9,MATCH($O57,Basis_of_Estimate!$A$5:$A$9,0)),""))</f>
        <v/>
      </c>
      <c r="R57" s="153">
        <f>IF($N57="","",$N57*(1+$P57))</f>
        <v/>
      </c>
      <c r="S57" s="153">
        <f>IF($N57="","",$N57)</f>
        <v/>
      </c>
      <c r="T57" s="153">
        <f>IF($N57="","",$N57*(1+$Q57))</f>
        <v/>
      </c>
      <c r="U57" s="150">
        <f>IF($D57="","",IFERROR(INDEX(WBS_CBS!$M$5:$M$16,MATCH($D57,WBS_CBS!$A$5:$A$16,0)),"Yes"))</f>
        <v/>
      </c>
      <c r="V57" s="150">
        <f>IF($D57="","",IFERROR(INDEX(WBS_CBS!$N$5:$N$16,MATCH($D57,WBS_CBS!$A$5:$A$16,0)),"Yes"))</f>
        <v/>
      </c>
      <c r="W57" s="150">
        <f>IF($D57="","",IFERROR(INDEX(WBS_CBS!$K$5:$K$16,MATCH($D57,WBS_CBS!$A$5:$A$16,0)),""))</f>
        <v/>
      </c>
      <c r="X57" s="150">
        <f>IF($D57="","",IFERROR(INDEX(WBS_CBS!$F$5:$F$16,MATCH($D57,WBS_CBS!$A$5:$A$16,0)),""))</f>
        <v/>
      </c>
      <c r="Y57" s="149" t="n"/>
      <c r="Z57" s="149" t="n"/>
      <c r="AA57" s="150">
        <f>IF($D57="","",IFERROR(INDEX(WBS_CBS!$L$5:$L$16,MATCH($D57,WBS_CBS!$A$5:$A$16,0)),""))</f>
        <v/>
      </c>
      <c r="AB57" s="149" t="n"/>
    </row>
    <row r="58">
      <c r="A58" s="149" t="n"/>
      <c r="B58" s="149" t="n"/>
      <c r="C58" s="150">
        <f>IF($D58="","",IFERROR(INDEX(WBS_CBS!$E$5:$E$16,MATCH($D58,WBS_CBS!$A$5:$A$16,0)),""))</f>
        <v/>
      </c>
      <c r="D58" s="149" t="n"/>
      <c r="E58" s="150">
        <f>IF($D58="","",IFERROR(INDEX(WBS_CBS!$C$5:$C$16,MATCH($D58,WBS_CBS!$A$5:$A$16,0)),""))</f>
        <v/>
      </c>
      <c r="F58" s="150">
        <f>IF($D58="","",IFERROR(INDEX(WBS_CBS!$J$5:$J$16,MATCH($D58,WBS_CBS!$A$5:$A$16,0)),""))</f>
        <v/>
      </c>
      <c r="G58" s="149" t="n"/>
      <c r="H58" s="151" t="n"/>
      <c r="I58" s="149" t="n"/>
      <c r="J58" s="152" t="n"/>
      <c r="K58" s="149" t="n"/>
      <c r="L58" s="153">
        <f>IF($K58="","",IFERROR(INDEX(FX_Rates!$B$5:$B$14,MATCH($K58,FX_Rates!$A$5:$A$14,0)),""))</f>
        <v/>
      </c>
      <c r="M58" s="153">
        <f>IF(OR($H58="",$J58=""),"",$H58*$J58)</f>
        <v/>
      </c>
      <c r="N58" s="153">
        <f>IF(OR($M58="",$L58=""),"",$M58*$L58)</f>
        <v/>
      </c>
      <c r="O58" s="149" t="n"/>
      <c r="P58" s="154">
        <f>IF($O58="","",IFERROR(INDEX(Basis_of_Estimate!$C$5:$C$9,MATCH($O58,Basis_of_Estimate!$A$5:$A$9,0)),""))</f>
        <v/>
      </c>
      <c r="Q58" s="154">
        <f>IF($O58="","",IFERROR(INDEX(Basis_of_Estimate!$D$5:$D$9,MATCH($O58,Basis_of_Estimate!$A$5:$A$9,0)),""))</f>
        <v/>
      </c>
      <c r="R58" s="153">
        <f>IF($N58="","",$N58*(1+$P58))</f>
        <v/>
      </c>
      <c r="S58" s="153">
        <f>IF($N58="","",$N58)</f>
        <v/>
      </c>
      <c r="T58" s="153">
        <f>IF($N58="","",$N58*(1+$Q58))</f>
        <v/>
      </c>
      <c r="U58" s="150">
        <f>IF($D58="","",IFERROR(INDEX(WBS_CBS!$M$5:$M$16,MATCH($D58,WBS_CBS!$A$5:$A$16,0)),"Yes"))</f>
        <v/>
      </c>
      <c r="V58" s="150">
        <f>IF($D58="","",IFERROR(INDEX(WBS_CBS!$N$5:$N$16,MATCH($D58,WBS_CBS!$A$5:$A$16,0)),"Yes"))</f>
        <v/>
      </c>
      <c r="W58" s="150">
        <f>IF($D58="","",IFERROR(INDEX(WBS_CBS!$K$5:$K$16,MATCH($D58,WBS_CBS!$A$5:$A$16,0)),""))</f>
        <v/>
      </c>
      <c r="X58" s="150">
        <f>IF($D58="","",IFERROR(INDEX(WBS_CBS!$F$5:$F$16,MATCH($D58,WBS_CBS!$A$5:$A$16,0)),""))</f>
        <v/>
      </c>
      <c r="Y58" s="149" t="n"/>
      <c r="Z58" s="149" t="n"/>
      <c r="AA58" s="150">
        <f>IF($D58="","",IFERROR(INDEX(WBS_CBS!$L$5:$L$16,MATCH($D58,WBS_CBS!$A$5:$A$16,0)),""))</f>
        <v/>
      </c>
      <c r="AB58" s="149" t="n"/>
    </row>
    <row r="59">
      <c r="A59" s="149" t="n"/>
      <c r="B59" s="149" t="n"/>
      <c r="C59" s="150">
        <f>IF($D59="","",IFERROR(INDEX(WBS_CBS!$E$5:$E$16,MATCH($D59,WBS_CBS!$A$5:$A$16,0)),""))</f>
        <v/>
      </c>
      <c r="D59" s="149" t="n"/>
      <c r="E59" s="150">
        <f>IF($D59="","",IFERROR(INDEX(WBS_CBS!$C$5:$C$16,MATCH($D59,WBS_CBS!$A$5:$A$16,0)),""))</f>
        <v/>
      </c>
      <c r="F59" s="150">
        <f>IF($D59="","",IFERROR(INDEX(WBS_CBS!$J$5:$J$16,MATCH($D59,WBS_CBS!$A$5:$A$16,0)),""))</f>
        <v/>
      </c>
      <c r="G59" s="149" t="n"/>
      <c r="H59" s="151" t="n"/>
      <c r="I59" s="149" t="n"/>
      <c r="J59" s="152" t="n"/>
      <c r="K59" s="149" t="n"/>
      <c r="L59" s="153">
        <f>IF($K59="","",IFERROR(INDEX(FX_Rates!$B$5:$B$14,MATCH($K59,FX_Rates!$A$5:$A$14,0)),""))</f>
        <v/>
      </c>
      <c r="M59" s="153">
        <f>IF(OR($H59="",$J59=""),"",$H59*$J59)</f>
        <v/>
      </c>
      <c r="N59" s="153">
        <f>IF(OR($M59="",$L59=""),"",$M59*$L59)</f>
        <v/>
      </c>
      <c r="O59" s="149" t="n"/>
      <c r="P59" s="154">
        <f>IF($O59="","",IFERROR(INDEX(Basis_of_Estimate!$C$5:$C$9,MATCH($O59,Basis_of_Estimate!$A$5:$A$9,0)),""))</f>
        <v/>
      </c>
      <c r="Q59" s="154">
        <f>IF($O59="","",IFERROR(INDEX(Basis_of_Estimate!$D$5:$D$9,MATCH($O59,Basis_of_Estimate!$A$5:$A$9,0)),""))</f>
        <v/>
      </c>
      <c r="R59" s="153">
        <f>IF($N59="","",$N59*(1+$P59))</f>
        <v/>
      </c>
      <c r="S59" s="153">
        <f>IF($N59="","",$N59)</f>
        <v/>
      </c>
      <c r="T59" s="153">
        <f>IF($N59="","",$N59*(1+$Q59))</f>
        <v/>
      </c>
      <c r="U59" s="150">
        <f>IF($D59="","",IFERROR(INDEX(WBS_CBS!$M$5:$M$16,MATCH($D59,WBS_CBS!$A$5:$A$16,0)),"Yes"))</f>
        <v/>
      </c>
      <c r="V59" s="150">
        <f>IF($D59="","",IFERROR(INDEX(WBS_CBS!$N$5:$N$16,MATCH($D59,WBS_CBS!$A$5:$A$16,0)),"Yes"))</f>
        <v/>
      </c>
      <c r="W59" s="150">
        <f>IF($D59="","",IFERROR(INDEX(WBS_CBS!$K$5:$K$16,MATCH($D59,WBS_CBS!$A$5:$A$16,0)),""))</f>
        <v/>
      </c>
      <c r="X59" s="150">
        <f>IF($D59="","",IFERROR(INDEX(WBS_CBS!$F$5:$F$16,MATCH($D59,WBS_CBS!$A$5:$A$16,0)),""))</f>
        <v/>
      </c>
      <c r="Y59" s="149" t="n"/>
      <c r="Z59" s="149" t="n"/>
      <c r="AA59" s="150">
        <f>IF($D59="","",IFERROR(INDEX(WBS_CBS!$L$5:$L$16,MATCH($D59,WBS_CBS!$A$5:$A$16,0)),""))</f>
        <v/>
      </c>
      <c r="AB59" s="149" t="n"/>
    </row>
    <row r="60">
      <c r="A60" s="149" t="n"/>
      <c r="B60" s="149" t="n"/>
      <c r="C60" s="150">
        <f>IF($D60="","",IFERROR(INDEX(WBS_CBS!$E$5:$E$16,MATCH($D60,WBS_CBS!$A$5:$A$16,0)),""))</f>
        <v/>
      </c>
      <c r="D60" s="149" t="n"/>
      <c r="E60" s="150">
        <f>IF($D60="","",IFERROR(INDEX(WBS_CBS!$C$5:$C$16,MATCH($D60,WBS_CBS!$A$5:$A$16,0)),""))</f>
        <v/>
      </c>
      <c r="F60" s="150">
        <f>IF($D60="","",IFERROR(INDEX(WBS_CBS!$J$5:$J$16,MATCH($D60,WBS_CBS!$A$5:$A$16,0)),""))</f>
        <v/>
      </c>
      <c r="G60" s="149" t="n"/>
      <c r="H60" s="151" t="n"/>
      <c r="I60" s="149" t="n"/>
      <c r="J60" s="152" t="n"/>
      <c r="K60" s="149" t="n"/>
      <c r="L60" s="153">
        <f>IF($K60="","",IFERROR(INDEX(FX_Rates!$B$5:$B$14,MATCH($K60,FX_Rates!$A$5:$A$14,0)),""))</f>
        <v/>
      </c>
      <c r="M60" s="153">
        <f>IF(OR($H60="",$J60=""),"",$H60*$J60)</f>
        <v/>
      </c>
      <c r="N60" s="153">
        <f>IF(OR($M60="",$L60=""),"",$M60*$L60)</f>
        <v/>
      </c>
      <c r="O60" s="149" t="n"/>
      <c r="P60" s="154">
        <f>IF($O60="","",IFERROR(INDEX(Basis_of_Estimate!$C$5:$C$9,MATCH($O60,Basis_of_Estimate!$A$5:$A$9,0)),""))</f>
        <v/>
      </c>
      <c r="Q60" s="154">
        <f>IF($O60="","",IFERROR(INDEX(Basis_of_Estimate!$D$5:$D$9,MATCH($O60,Basis_of_Estimate!$A$5:$A$9,0)),""))</f>
        <v/>
      </c>
      <c r="R60" s="153">
        <f>IF($N60="","",$N60*(1+$P60))</f>
        <v/>
      </c>
      <c r="S60" s="153">
        <f>IF($N60="","",$N60)</f>
        <v/>
      </c>
      <c r="T60" s="153">
        <f>IF($N60="","",$N60*(1+$Q60))</f>
        <v/>
      </c>
      <c r="U60" s="150">
        <f>IF($D60="","",IFERROR(INDEX(WBS_CBS!$M$5:$M$16,MATCH($D60,WBS_CBS!$A$5:$A$16,0)),"Yes"))</f>
        <v/>
      </c>
      <c r="V60" s="150">
        <f>IF($D60="","",IFERROR(INDEX(WBS_CBS!$N$5:$N$16,MATCH($D60,WBS_CBS!$A$5:$A$16,0)),"Yes"))</f>
        <v/>
      </c>
      <c r="W60" s="150">
        <f>IF($D60="","",IFERROR(INDEX(WBS_CBS!$K$5:$K$16,MATCH($D60,WBS_CBS!$A$5:$A$16,0)),""))</f>
        <v/>
      </c>
      <c r="X60" s="150">
        <f>IF($D60="","",IFERROR(INDEX(WBS_CBS!$F$5:$F$16,MATCH($D60,WBS_CBS!$A$5:$A$16,0)),""))</f>
        <v/>
      </c>
      <c r="Y60" s="149" t="n"/>
      <c r="Z60" s="149" t="n"/>
      <c r="AA60" s="150">
        <f>IF($D60="","",IFERROR(INDEX(WBS_CBS!$L$5:$L$16,MATCH($D60,WBS_CBS!$A$5:$A$16,0)),""))</f>
        <v/>
      </c>
      <c r="AB60" s="149" t="n"/>
    </row>
    <row r="61">
      <c r="A61" s="149" t="n"/>
      <c r="B61" s="149" t="n"/>
      <c r="C61" s="150">
        <f>IF($D61="","",IFERROR(INDEX(WBS_CBS!$E$5:$E$16,MATCH($D61,WBS_CBS!$A$5:$A$16,0)),""))</f>
        <v/>
      </c>
      <c r="D61" s="149" t="n"/>
      <c r="E61" s="150">
        <f>IF($D61="","",IFERROR(INDEX(WBS_CBS!$C$5:$C$16,MATCH($D61,WBS_CBS!$A$5:$A$16,0)),""))</f>
        <v/>
      </c>
      <c r="F61" s="150">
        <f>IF($D61="","",IFERROR(INDEX(WBS_CBS!$J$5:$J$16,MATCH($D61,WBS_CBS!$A$5:$A$16,0)),""))</f>
        <v/>
      </c>
      <c r="G61" s="149" t="n"/>
      <c r="H61" s="151" t="n"/>
      <c r="I61" s="149" t="n"/>
      <c r="J61" s="152" t="n"/>
      <c r="K61" s="149" t="n"/>
      <c r="L61" s="153">
        <f>IF($K61="","",IFERROR(INDEX(FX_Rates!$B$5:$B$14,MATCH($K61,FX_Rates!$A$5:$A$14,0)),""))</f>
        <v/>
      </c>
      <c r="M61" s="153">
        <f>IF(OR($H61="",$J61=""),"",$H61*$J61)</f>
        <v/>
      </c>
      <c r="N61" s="153">
        <f>IF(OR($M61="",$L61=""),"",$M61*$L61)</f>
        <v/>
      </c>
      <c r="O61" s="149" t="n"/>
      <c r="P61" s="154">
        <f>IF($O61="","",IFERROR(INDEX(Basis_of_Estimate!$C$5:$C$9,MATCH($O61,Basis_of_Estimate!$A$5:$A$9,0)),""))</f>
        <v/>
      </c>
      <c r="Q61" s="154">
        <f>IF($O61="","",IFERROR(INDEX(Basis_of_Estimate!$D$5:$D$9,MATCH($O61,Basis_of_Estimate!$A$5:$A$9,0)),""))</f>
        <v/>
      </c>
      <c r="R61" s="153">
        <f>IF($N61="","",$N61*(1+$P61))</f>
        <v/>
      </c>
      <c r="S61" s="153">
        <f>IF($N61="","",$N61)</f>
        <v/>
      </c>
      <c r="T61" s="153">
        <f>IF($N61="","",$N61*(1+$Q61))</f>
        <v/>
      </c>
      <c r="U61" s="150">
        <f>IF($D61="","",IFERROR(INDEX(WBS_CBS!$M$5:$M$16,MATCH($D61,WBS_CBS!$A$5:$A$16,0)),"Yes"))</f>
        <v/>
      </c>
      <c r="V61" s="150">
        <f>IF($D61="","",IFERROR(INDEX(WBS_CBS!$N$5:$N$16,MATCH($D61,WBS_CBS!$A$5:$A$16,0)),"Yes"))</f>
        <v/>
      </c>
      <c r="W61" s="150">
        <f>IF($D61="","",IFERROR(INDEX(WBS_CBS!$K$5:$K$16,MATCH($D61,WBS_CBS!$A$5:$A$16,0)),""))</f>
        <v/>
      </c>
      <c r="X61" s="150">
        <f>IF($D61="","",IFERROR(INDEX(WBS_CBS!$F$5:$F$16,MATCH($D61,WBS_CBS!$A$5:$A$16,0)),""))</f>
        <v/>
      </c>
      <c r="Y61" s="149" t="n"/>
      <c r="Z61" s="149" t="n"/>
      <c r="AA61" s="150">
        <f>IF($D61="","",IFERROR(INDEX(WBS_CBS!$L$5:$L$16,MATCH($D61,WBS_CBS!$A$5:$A$16,0)),""))</f>
        <v/>
      </c>
      <c r="AB61" s="149" t="n"/>
    </row>
    <row r="62">
      <c r="A62" s="149" t="n"/>
      <c r="B62" s="149" t="n"/>
      <c r="C62" s="150">
        <f>IF($D62="","",IFERROR(INDEX(WBS_CBS!$E$5:$E$16,MATCH($D62,WBS_CBS!$A$5:$A$16,0)),""))</f>
        <v/>
      </c>
      <c r="D62" s="149" t="n"/>
      <c r="E62" s="150">
        <f>IF($D62="","",IFERROR(INDEX(WBS_CBS!$C$5:$C$16,MATCH($D62,WBS_CBS!$A$5:$A$16,0)),""))</f>
        <v/>
      </c>
      <c r="F62" s="150">
        <f>IF($D62="","",IFERROR(INDEX(WBS_CBS!$J$5:$J$16,MATCH($D62,WBS_CBS!$A$5:$A$16,0)),""))</f>
        <v/>
      </c>
      <c r="G62" s="149" t="n"/>
      <c r="H62" s="151" t="n"/>
      <c r="I62" s="149" t="n"/>
      <c r="J62" s="152" t="n"/>
      <c r="K62" s="149" t="n"/>
      <c r="L62" s="153">
        <f>IF($K62="","",IFERROR(INDEX(FX_Rates!$B$5:$B$14,MATCH($K62,FX_Rates!$A$5:$A$14,0)),""))</f>
        <v/>
      </c>
      <c r="M62" s="153">
        <f>IF(OR($H62="",$J62=""),"",$H62*$J62)</f>
        <v/>
      </c>
      <c r="N62" s="153">
        <f>IF(OR($M62="",$L62=""),"",$M62*$L62)</f>
        <v/>
      </c>
      <c r="O62" s="149" t="n"/>
      <c r="P62" s="154">
        <f>IF($O62="","",IFERROR(INDEX(Basis_of_Estimate!$C$5:$C$9,MATCH($O62,Basis_of_Estimate!$A$5:$A$9,0)),""))</f>
        <v/>
      </c>
      <c r="Q62" s="154">
        <f>IF($O62="","",IFERROR(INDEX(Basis_of_Estimate!$D$5:$D$9,MATCH($O62,Basis_of_Estimate!$A$5:$A$9,0)),""))</f>
        <v/>
      </c>
      <c r="R62" s="153">
        <f>IF($N62="","",$N62*(1+$P62))</f>
        <v/>
      </c>
      <c r="S62" s="153">
        <f>IF($N62="","",$N62)</f>
        <v/>
      </c>
      <c r="T62" s="153">
        <f>IF($N62="","",$N62*(1+$Q62))</f>
        <v/>
      </c>
      <c r="U62" s="150">
        <f>IF($D62="","",IFERROR(INDEX(WBS_CBS!$M$5:$M$16,MATCH($D62,WBS_CBS!$A$5:$A$16,0)),"Yes"))</f>
        <v/>
      </c>
      <c r="V62" s="150">
        <f>IF($D62="","",IFERROR(INDEX(WBS_CBS!$N$5:$N$16,MATCH($D62,WBS_CBS!$A$5:$A$16,0)),"Yes"))</f>
        <v/>
      </c>
      <c r="W62" s="150">
        <f>IF($D62="","",IFERROR(INDEX(WBS_CBS!$K$5:$K$16,MATCH($D62,WBS_CBS!$A$5:$A$16,0)),""))</f>
        <v/>
      </c>
      <c r="X62" s="150">
        <f>IF($D62="","",IFERROR(INDEX(WBS_CBS!$F$5:$F$16,MATCH($D62,WBS_CBS!$A$5:$A$16,0)),""))</f>
        <v/>
      </c>
      <c r="Y62" s="149" t="n"/>
      <c r="Z62" s="149" t="n"/>
      <c r="AA62" s="150">
        <f>IF($D62="","",IFERROR(INDEX(WBS_CBS!$L$5:$L$16,MATCH($D62,WBS_CBS!$A$5:$A$16,0)),""))</f>
        <v/>
      </c>
      <c r="AB62" s="149" t="n"/>
    </row>
    <row r="63">
      <c r="A63" s="149" t="n"/>
      <c r="B63" s="149" t="n"/>
      <c r="C63" s="150">
        <f>IF($D63="","",IFERROR(INDEX(WBS_CBS!$E$5:$E$16,MATCH($D63,WBS_CBS!$A$5:$A$16,0)),""))</f>
        <v/>
      </c>
      <c r="D63" s="149" t="n"/>
      <c r="E63" s="150">
        <f>IF($D63="","",IFERROR(INDEX(WBS_CBS!$C$5:$C$16,MATCH($D63,WBS_CBS!$A$5:$A$16,0)),""))</f>
        <v/>
      </c>
      <c r="F63" s="150">
        <f>IF($D63="","",IFERROR(INDEX(WBS_CBS!$J$5:$J$16,MATCH($D63,WBS_CBS!$A$5:$A$16,0)),""))</f>
        <v/>
      </c>
      <c r="G63" s="149" t="n"/>
      <c r="H63" s="151" t="n"/>
      <c r="I63" s="149" t="n"/>
      <c r="J63" s="152" t="n"/>
      <c r="K63" s="149" t="n"/>
      <c r="L63" s="153">
        <f>IF($K63="","",IFERROR(INDEX(FX_Rates!$B$5:$B$14,MATCH($K63,FX_Rates!$A$5:$A$14,0)),""))</f>
        <v/>
      </c>
      <c r="M63" s="153">
        <f>IF(OR($H63="",$J63=""),"",$H63*$J63)</f>
        <v/>
      </c>
      <c r="N63" s="153">
        <f>IF(OR($M63="",$L63=""),"",$M63*$L63)</f>
        <v/>
      </c>
      <c r="O63" s="149" t="n"/>
      <c r="P63" s="154">
        <f>IF($O63="","",IFERROR(INDEX(Basis_of_Estimate!$C$5:$C$9,MATCH($O63,Basis_of_Estimate!$A$5:$A$9,0)),""))</f>
        <v/>
      </c>
      <c r="Q63" s="154">
        <f>IF($O63="","",IFERROR(INDEX(Basis_of_Estimate!$D$5:$D$9,MATCH($O63,Basis_of_Estimate!$A$5:$A$9,0)),""))</f>
        <v/>
      </c>
      <c r="R63" s="153">
        <f>IF($N63="","",$N63*(1+$P63))</f>
        <v/>
      </c>
      <c r="S63" s="153">
        <f>IF($N63="","",$N63)</f>
        <v/>
      </c>
      <c r="T63" s="153">
        <f>IF($N63="","",$N63*(1+$Q63))</f>
        <v/>
      </c>
      <c r="U63" s="150">
        <f>IF($D63="","",IFERROR(INDEX(WBS_CBS!$M$5:$M$16,MATCH($D63,WBS_CBS!$A$5:$A$16,0)),"Yes"))</f>
        <v/>
      </c>
      <c r="V63" s="150">
        <f>IF($D63="","",IFERROR(INDEX(WBS_CBS!$N$5:$N$16,MATCH($D63,WBS_CBS!$A$5:$A$16,0)),"Yes"))</f>
        <v/>
      </c>
      <c r="W63" s="150">
        <f>IF($D63="","",IFERROR(INDEX(WBS_CBS!$K$5:$K$16,MATCH($D63,WBS_CBS!$A$5:$A$16,0)),""))</f>
        <v/>
      </c>
      <c r="X63" s="150">
        <f>IF($D63="","",IFERROR(INDEX(WBS_CBS!$F$5:$F$16,MATCH($D63,WBS_CBS!$A$5:$A$16,0)),""))</f>
        <v/>
      </c>
      <c r="Y63" s="149" t="n"/>
      <c r="Z63" s="149" t="n"/>
      <c r="AA63" s="150">
        <f>IF($D63="","",IFERROR(INDEX(WBS_CBS!$L$5:$L$16,MATCH($D63,WBS_CBS!$A$5:$A$16,0)),""))</f>
        <v/>
      </c>
      <c r="AB63" s="149" t="n"/>
    </row>
    <row r="64">
      <c r="A64" s="149" t="n"/>
      <c r="B64" s="149" t="n"/>
      <c r="C64" s="150">
        <f>IF($D64="","",IFERROR(INDEX(WBS_CBS!$E$5:$E$16,MATCH($D64,WBS_CBS!$A$5:$A$16,0)),""))</f>
        <v/>
      </c>
      <c r="D64" s="149" t="n"/>
      <c r="E64" s="150">
        <f>IF($D64="","",IFERROR(INDEX(WBS_CBS!$C$5:$C$16,MATCH($D64,WBS_CBS!$A$5:$A$16,0)),""))</f>
        <v/>
      </c>
      <c r="F64" s="150">
        <f>IF($D64="","",IFERROR(INDEX(WBS_CBS!$J$5:$J$16,MATCH($D64,WBS_CBS!$A$5:$A$16,0)),""))</f>
        <v/>
      </c>
      <c r="G64" s="149" t="n"/>
      <c r="H64" s="151" t="n"/>
      <c r="I64" s="149" t="n"/>
      <c r="J64" s="152" t="n"/>
      <c r="K64" s="149" t="n"/>
      <c r="L64" s="153">
        <f>IF($K64="","",IFERROR(INDEX(FX_Rates!$B$5:$B$14,MATCH($K64,FX_Rates!$A$5:$A$14,0)),""))</f>
        <v/>
      </c>
      <c r="M64" s="153">
        <f>IF(OR($H64="",$J64=""),"",$H64*$J64)</f>
        <v/>
      </c>
      <c r="N64" s="153">
        <f>IF(OR($M64="",$L64=""),"",$M64*$L64)</f>
        <v/>
      </c>
      <c r="O64" s="149" t="n"/>
      <c r="P64" s="154">
        <f>IF($O64="","",IFERROR(INDEX(Basis_of_Estimate!$C$5:$C$9,MATCH($O64,Basis_of_Estimate!$A$5:$A$9,0)),""))</f>
        <v/>
      </c>
      <c r="Q64" s="154">
        <f>IF($O64="","",IFERROR(INDEX(Basis_of_Estimate!$D$5:$D$9,MATCH($O64,Basis_of_Estimate!$A$5:$A$9,0)),""))</f>
        <v/>
      </c>
      <c r="R64" s="153">
        <f>IF($N64="","",$N64*(1+$P64))</f>
        <v/>
      </c>
      <c r="S64" s="153">
        <f>IF($N64="","",$N64)</f>
        <v/>
      </c>
      <c r="T64" s="153">
        <f>IF($N64="","",$N64*(1+$Q64))</f>
        <v/>
      </c>
      <c r="U64" s="150">
        <f>IF($D64="","",IFERROR(INDEX(WBS_CBS!$M$5:$M$16,MATCH($D64,WBS_CBS!$A$5:$A$16,0)),"Yes"))</f>
        <v/>
      </c>
      <c r="V64" s="150">
        <f>IF($D64="","",IFERROR(INDEX(WBS_CBS!$N$5:$N$16,MATCH($D64,WBS_CBS!$A$5:$A$16,0)),"Yes"))</f>
        <v/>
      </c>
      <c r="W64" s="150">
        <f>IF($D64="","",IFERROR(INDEX(WBS_CBS!$K$5:$K$16,MATCH($D64,WBS_CBS!$A$5:$A$16,0)),""))</f>
        <v/>
      </c>
      <c r="X64" s="150">
        <f>IF($D64="","",IFERROR(INDEX(WBS_CBS!$F$5:$F$16,MATCH($D64,WBS_CBS!$A$5:$A$16,0)),""))</f>
        <v/>
      </c>
      <c r="Y64" s="149" t="n"/>
      <c r="Z64" s="149" t="n"/>
      <c r="AA64" s="150">
        <f>IF($D64="","",IFERROR(INDEX(WBS_CBS!$L$5:$L$16,MATCH($D64,WBS_CBS!$A$5:$A$16,0)),""))</f>
        <v/>
      </c>
      <c r="AB64" s="149" t="n"/>
    </row>
    <row r="65">
      <c r="A65" s="149" t="n"/>
      <c r="B65" s="149" t="n"/>
      <c r="C65" s="150">
        <f>IF($D65="","",IFERROR(INDEX(WBS_CBS!$E$5:$E$16,MATCH($D65,WBS_CBS!$A$5:$A$16,0)),""))</f>
        <v/>
      </c>
      <c r="D65" s="149" t="n"/>
      <c r="E65" s="150">
        <f>IF($D65="","",IFERROR(INDEX(WBS_CBS!$C$5:$C$16,MATCH($D65,WBS_CBS!$A$5:$A$16,0)),""))</f>
        <v/>
      </c>
      <c r="F65" s="150">
        <f>IF($D65="","",IFERROR(INDEX(WBS_CBS!$J$5:$J$16,MATCH($D65,WBS_CBS!$A$5:$A$16,0)),""))</f>
        <v/>
      </c>
      <c r="G65" s="149" t="n"/>
      <c r="H65" s="151" t="n"/>
      <c r="I65" s="149" t="n"/>
      <c r="J65" s="152" t="n"/>
      <c r="K65" s="149" t="n"/>
      <c r="L65" s="153">
        <f>IF($K65="","",IFERROR(INDEX(FX_Rates!$B$5:$B$14,MATCH($K65,FX_Rates!$A$5:$A$14,0)),""))</f>
        <v/>
      </c>
      <c r="M65" s="153">
        <f>IF(OR($H65="",$J65=""),"",$H65*$J65)</f>
        <v/>
      </c>
      <c r="N65" s="153">
        <f>IF(OR($M65="",$L65=""),"",$M65*$L65)</f>
        <v/>
      </c>
      <c r="O65" s="149" t="n"/>
      <c r="P65" s="154">
        <f>IF($O65="","",IFERROR(INDEX(Basis_of_Estimate!$C$5:$C$9,MATCH($O65,Basis_of_Estimate!$A$5:$A$9,0)),""))</f>
        <v/>
      </c>
      <c r="Q65" s="154">
        <f>IF($O65="","",IFERROR(INDEX(Basis_of_Estimate!$D$5:$D$9,MATCH($O65,Basis_of_Estimate!$A$5:$A$9,0)),""))</f>
        <v/>
      </c>
      <c r="R65" s="153">
        <f>IF($N65="","",$N65*(1+$P65))</f>
        <v/>
      </c>
      <c r="S65" s="153">
        <f>IF($N65="","",$N65)</f>
        <v/>
      </c>
      <c r="T65" s="153">
        <f>IF($N65="","",$N65*(1+$Q65))</f>
        <v/>
      </c>
      <c r="U65" s="150">
        <f>IF($D65="","",IFERROR(INDEX(WBS_CBS!$M$5:$M$16,MATCH($D65,WBS_CBS!$A$5:$A$16,0)),"Yes"))</f>
        <v/>
      </c>
      <c r="V65" s="150">
        <f>IF($D65="","",IFERROR(INDEX(WBS_CBS!$N$5:$N$16,MATCH($D65,WBS_CBS!$A$5:$A$16,0)),"Yes"))</f>
        <v/>
      </c>
      <c r="W65" s="150">
        <f>IF($D65="","",IFERROR(INDEX(WBS_CBS!$K$5:$K$16,MATCH($D65,WBS_CBS!$A$5:$A$16,0)),""))</f>
        <v/>
      </c>
      <c r="X65" s="150">
        <f>IF($D65="","",IFERROR(INDEX(WBS_CBS!$F$5:$F$16,MATCH($D65,WBS_CBS!$A$5:$A$16,0)),""))</f>
        <v/>
      </c>
      <c r="Y65" s="149" t="n"/>
      <c r="Z65" s="149" t="n"/>
      <c r="AA65" s="150">
        <f>IF($D65="","",IFERROR(INDEX(WBS_CBS!$L$5:$L$16,MATCH($D65,WBS_CBS!$A$5:$A$16,0)),""))</f>
        <v/>
      </c>
      <c r="AB65" s="149" t="n"/>
    </row>
    <row r="66">
      <c r="A66" s="149" t="n"/>
      <c r="B66" s="149" t="n"/>
      <c r="C66" s="150">
        <f>IF($D66="","",IFERROR(INDEX(WBS_CBS!$E$5:$E$16,MATCH($D66,WBS_CBS!$A$5:$A$16,0)),""))</f>
        <v/>
      </c>
      <c r="D66" s="149" t="n"/>
      <c r="E66" s="150">
        <f>IF($D66="","",IFERROR(INDEX(WBS_CBS!$C$5:$C$16,MATCH($D66,WBS_CBS!$A$5:$A$16,0)),""))</f>
        <v/>
      </c>
      <c r="F66" s="150">
        <f>IF($D66="","",IFERROR(INDEX(WBS_CBS!$J$5:$J$16,MATCH($D66,WBS_CBS!$A$5:$A$16,0)),""))</f>
        <v/>
      </c>
      <c r="G66" s="149" t="n"/>
      <c r="H66" s="151" t="n"/>
      <c r="I66" s="149" t="n"/>
      <c r="J66" s="152" t="n"/>
      <c r="K66" s="149" t="n"/>
      <c r="L66" s="153">
        <f>IF($K66="","",IFERROR(INDEX(FX_Rates!$B$5:$B$14,MATCH($K66,FX_Rates!$A$5:$A$14,0)),""))</f>
        <v/>
      </c>
      <c r="M66" s="153">
        <f>IF(OR($H66="",$J66=""),"",$H66*$J66)</f>
        <v/>
      </c>
      <c r="N66" s="153">
        <f>IF(OR($M66="",$L66=""),"",$M66*$L66)</f>
        <v/>
      </c>
      <c r="O66" s="149" t="n"/>
      <c r="P66" s="154">
        <f>IF($O66="","",IFERROR(INDEX(Basis_of_Estimate!$C$5:$C$9,MATCH($O66,Basis_of_Estimate!$A$5:$A$9,0)),""))</f>
        <v/>
      </c>
      <c r="Q66" s="154">
        <f>IF($O66="","",IFERROR(INDEX(Basis_of_Estimate!$D$5:$D$9,MATCH($O66,Basis_of_Estimate!$A$5:$A$9,0)),""))</f>
        <v/>
      </c>
      <c r="R66" s="153">
        <f>IF($N66="","",$N66*(1+$P66))</f>
        <v/>
      </c>
      <c r="S66" s="153">
        <f>IF($N66="","",$N66)</f>
        <v/>
      </c>
      <c r="T66" s="153">
        <f>IF($N66="","",$N66*(1+$Q66))</f>
        <v/>
      </c>
      <c r="U66" s="150">
        <f>IF($D66="","",IFERROR(INDEX(WBS_CBS!$M$5:$M$16,MATCH($D66,WBS_CBS!$A$5:$A$16,0)),"Yes"))</f>
        <v/>
      </c>
      <c r="V66" s="150">
        <f>IF($D66="","",IFERROR(INDEX(WBS_CBS!$N$5:$N$16,MATCH($D66,WBS_CBS!$A$5:$A$16,0)),"Yes"))</f>
        <v/>
      </c>
      <c r="W66" s="150">
        <f>IF($D66="","",IFERROR(INDEX(WBS_CBS!$K$5:$K$16,MATCH($D66,WBS_CBS!$A$5:$A$16,0)),""))</f>
        <v/>
      </c>
      <c r="X66" s="150">
        <f>IF($D66="","",IFERROR(INDEX(WBS_CBS!$F$5:$F$16,MATCH($D66,WBS_CBS!$A$5:$A$16,0)),""))</f>
        <v/>
      </c>
      <c r="Y66" s="149" t="n"/>
      <c r="Z66" s="149" t="n"/>
      <c r="AA66" s="150">
        <f>IF($D66="","",IFERROR(INDEX(WBS_CBS!$L$5:$L$16,MATCH($D66,WBS_CBS!$A$5:$A$16,0)),""))</f>
        <v/>
      </c>
      <c r="AB66" s="149" t="n"/>
    </row>
    <row r="67">
      <c r="A67" s="149" t="n"/>
      <c r="B67" s="149" t="n"/>
      <c r="C67" s="150">
        <f>IF($D67="","",IFERROR(INDEX(WBS_CBS!$E$5:$E$16,MATCH($D67,WBS_CBS!$A$5:$A$16,0)),""))</f>
        <v/>
      </c>
      <c r="D67" s="149" t="n"/>
      <c r="E67" s="150">
        <f>IF($D67="","",IFERROR(INDEX(WBS_CBS!$C$5:$C$16,MATCH($D67,WBS_CBS!$A$5:$A$16,0)),""))</f>
        <v/>
      </c>
      <c r="F67" s="150">
        <f>IF($D67="","",IFERROR(INDEX(WBS_CBS!$J$5:$J$16,MATCH($D67,WBS_CBS!$A$5:$A$16,0)),""))</f>
        <v/>
      </c>
      <c r="G67" s="149" t="n"/>
      <c r="H67" s="151" t="n"/>
      <c r="I67" s="149" t="n"/>
      <c r="J67" s="152" t="n"/>
      <c r="K67" s="149" t="n"/>
      <c r="L67" s="153">
        <f>IF($K67="","",IFERROR(INDEX(FX_Rates!$B$5:$B$14,MATCH($K67,FX_Rates!$A$5:$A$14,0)),""))</f>
        <v/>
      </c>
      <c r="M67" s="153">
        <f>IF(OR($H67="",$J67=""),"",$H67*$J67)</f>
        <v/>
      </c>
      <c r="N67" s="153">
        <f>IF(OR($M67="",$L67=""),"",$M67*$L67)</f>
        <v/>
      </c>
      <c r="O67" s="149" t="n"/>
      <c r="P67" s="154">
        <f>IF($O67="","",IFERROR(INDEX(Basis_of_Estimate!$C$5:$C$9,MATCH($O67,Basis_of_Estimate!$A$5:$A$9,0)),""))</f>
        <v/>
      </c>
      <c r="Q67" s="154">
        <f>IF($O67="","",IFERROR(INDEX(Basis_of_Estimate!$D$5:$D$9,MATCH($O67,Basis_of_Estimate!$A$5:$A$9,0)),""))</f>
        <v/>
      </c>
      <c r="R67" s="153">
        <f>IF($N67="","",$N67*(1+$P67))</f>
        <v/>
      </c>
      <c r="S67" s="153">
        <f>IF($N67="","",$N67)</f>
        <v/>
      </c>
      <c r="T67" s="153">
        <f>IF($N67="","",$N67*(1+$Q67))</f>
        <v/>
      </c>
      <c r="U67" s="150">
        <f>IF($D67="","",IFERROR(INDEX(WBS_CBS!$M$5:$M$16,MATCH($D67,WBS_CBS!$A$5:$A$16,0)),"Yes"))</f>
        <v/>
      </c>
      <c r="V67" s="150">
        <f>IF($D67="","",IFERROR(INDEX(WBS_CBS!$N$5:$N$16,MATCH($D67,WBS_CBS!$A$5:$A$16,0)),"Yes"))</f>
        <v/>
      </c>
      <c r="W67" s="150">
        <f>IF($D67="","",IFERROR(INDEX(WBS_CBS!$K$5:$K$16,MATCH($D67,WBS_CBS!$A$5:$A$16,0)),""))</f>
        <v/>
      </c>
      <c r="X67" s="150">
        <f>IF($D67="","",IFERROR(INDEX(WBS_CBS!$F$5:$F$16,MATCH($D67,WBS_CBS!$A$5:$A$16,0)),""))</f>
        <v/>
      </c>
      <c r="Y67" s="149" t="n"/>
      <c r="Z67" s="149" t="n"/>
      <c r="AA67" s="150">
        <f>IF($D67="","",IFERROR(INDEX(WBS_CBS!$L$5:$L$16,MATCH($D67,WBS_CBS!$A$5:$A$16,0)),""))</f>
        <v/>
      </c>
      <c r="AB67" s="149" t="n"/>
    </row>
    <row r="68">
      <c r="A68" s="149" t="n"/>
      <c r="B68" s="149" t="n"/>
      <c r="C68" s="150">
        <f>IF($D68="","",IFERROR(INDEX(WBS_CBS!$E$5:$E$16,MATCH($D68,WBS_CBS!$A$5:$A$16,0)),""))</f>
        <v/>
      </c>
      <c r="D68" s="149" t="n"/>
      <c r="E68" s="150">
        <f>IF($D68="","",IFERROR(INDEX(WBS_CBS!$C$5:$C$16,MATCH($D68,WBS_CBS!$A$5:$A$16,0)),""))</f>
        <v/>
      </c>
      <c r="F68" s="150">
        <f>IF($D68="","",IFERROR(INDEX(WBS_CBS!$J$5:$J$16,MATCH($D68,WBS_CBS!$A$5:$A$16,0)),""))</f>
        <v/>
      </c>
      <c r="G68" s="149" t="n"/>
      <c r="H68" s="151" t="n"/>
      <c r="I68" s="149" t="n"/>
      <c r="J68" s="152" t="n"/>
      <c r="K68" s="149" t="n"/>
      <c r="L68" s="153">
        <f>IF($K68="","",IFERROR(INDEX(FX_Rates!$B$5:$B$14,MATCH($K68,FX_Rates!$A$5:$A$14,0)),""))</f>
        <v/>
      </c>
      <c r="M68" s="153">
        <f>IF(OR($H68="",$J68=""),"",$H68*$J68)</f>
        <v/>
      </c>
      <c r="N68" s="153">
        <f>IF(OR($M68="",$L68=""),"",$M68*$L68)</f>
        <v/>
      </c>
      <c r="O68" s="149" t="n"/>
      <c r="P68" s="154">
        <f>IF($O68="","",IFERROR(INDEX(Basis_of_Estimate!$C$5:$C$9,MATCH($O68,Basis_of_Estimate!$A$5:$A$9,0)),""))</f>
        <v/>
      </c>
      <c r="Q68" s="154">
        <f>IF($O68="","",IFERROR(INDEX(Basis_of_Estimate!$D$5:$D$9,MATCH($O68,Basis_of_Estimate!$A$5:$A$9,0)),""))</f>
        <v/>
      </c>
      <c r="R68" s="153">
        <f>IF($N68="","",$N68*(1+$P68))</f>
        <v/>
      </c>
      <c r="S68" s="153">
        <f>IF($N68="","",$N68)</f>
        <v/>
      </c>
      <c r="T68" s="153">
        <f>IF($N68="","",$N68*(1+$Q68))</f>
        <v/>
      </c>
      <c r="U68" s="150">
        <f>IF($D68="","",IFERROR(INDEX(WBS_CBS!$M$5:$M$16,MATCH($D68,WBS_CBS!$A$5:$A$16,0)),"Yes"))</f>
        <v/>
      </c>
      <c r="V68" s="150">
        <f>IF($D68="","",IFERROR(INDEX(WBS_CBS!$N$5:$N$16,MATCH($D68,WBS_CBS!$A$5:$A$16,0)),"Yes"))</f>
        <v/>
      </c>
      <c r="W68" s="150">
        <f>IF($D68="","",IFERROR(INDEX(WBS_CBS!$K$5:$K$16,MATCH($D68,WBS_CBS!$A$5:$A$16,0)),""))</f>
        <v/>
      </c>
      <c r="X68" s="150">
        <f>IF($D68="","",IFERROR(INDEX(WBS_CBS!$F$5:$F$16,MATCH($D68,WBS_CBS!$A$5:$A$16,0)),""))</f>
        <v/>
      </c>
      <c r="Y68" s="149" t="n"/>
      <c r="Z68" s="149" t="n"/>
      <c r="AA68" s="150">
        <f>IF($D68="","",IFERROR(INDEX(WBS_CBS!$L$5:$L$16,MATCH($D68,WBS_CBS!$A$5:$A$16,0)),""))</f>
        <v/>
      </c>
      <c r="AB68" s="149" t="n"/>
    </row>
    <row r="69">
      <c r="A69" s="149" t="n"/>
      <c r="B69" s="149" t="n"/>
      <c r="C69" s="150">
        <f>IF($D69="","",IFERROR(INDEX(WBS_CBS!$E$5:$E$16,MATCH($D69,WBS_CBS!$A$5:$A$16,0)),""))</f>
        <v/>
      </c>
      <c r="D69" s="149" t="n"/>
      <c r="E69" s="150">
        <f>IF($D69="","",IFERROR(INDEX(WBS_CBS!$C$5:$C$16,MATCH($D69,WBS_CBS!$A$5:$A$16,0)),""))</f>
        <v/>
      </c>
      <c r="F69" s="150">
        <f>IF($D69="","",IFERROR(INDEX(WBS_CBS!$J$5:$J$16,MATCH($D69,WBS_CBS!$A$5:$A$16,0)),""))</f>
        <v/>
      </c>
      <c r="G69" s="149" t="n"/>
      <c r="H69" s="151" t="n"/>
      <c r="I69" s="149" t="n"/>
      <c r="J69" s="152" t="n"/>
      <c r="K69" s="149" t="n"/>
      <c r="L69" s="153">
        <f>IF($K69="","",IFERROR(INDEX(FX_Rates!$B$5:$B$14,MATCH($K69,FX_Rates!$A$5:$A$14,0)),""))</f>
        <v/>
      </c>
      <c r="M69" s="153">
        <f>IF(OR($H69="",$J69=""),"",$H69*$J69)</f>
        <v/>
      </c>
      <c r="N69" s="153">
        <f>IF(OR($M69="",$L69=""),"",$M69*$L69)</f>
        <v/>
      </c>
      <c r="O69" s="149" t="n"/>
      <c r="P69" s="154">
        <f>IF($O69="","",IFERROR(INDEX(Basis_of_Estimate!$C$5:$C$9,MATCH($O69,Basis_of_Estimate!$A$5:$A$9,0)),""))</f>
        <v/>
      </c>
      <c r="Q69" s="154">
        <f>IF($O69="","",IFERROR(INDEX(Basis_of_Estimate!$D$5:$D$9,MATCH($O69,Basis_of_Estimate!$A$5:$A$9,0)),""))</f>
        <v/>
      </c>
      <c r="R69" s="153">
        <f>IF($N69="","",$N69*(1+$P69))</f>
        <v/>
      </c>
      <c r="S69" s="153">
        <f>IF($N69="","",$N69)</f>
        <v/>
      </c>
      <c r="T69" s="153">
        <f>IF($N69="","",$N69*(1+$Q69))</f>
        <v/>
      </c>
      <c r="U69" s="150">
        <f>IF($D69="","",IFERROR(INDEX(WBS_CBS!$M$5:$M$16,MATCH($D69,WBS_CBS!$A$5:$A$16,0)),"Yes"))</f>
        <v/>
      </c>
      <c r="V69" s="150">
        <f>IF($D69="","",IFERROR(INDEX(WBS_CBS!$N$5:$N$16,MATCH($D69,WBS_CBS!$A$5:$A$16,0)),"Yes"))</f>
        <v/>
      </c>
      <c r="W69" s="150">
        <f>IF($D69="","",IFERROR(INDEX(WBS_CBS!$K$5:$K$16,MATCH($D69,WBS_CBS!$A$5:$A$16,0)),""))</f>
        <v/>
      </c>
      <c r="X69" s="150">
        <f>IF($D69="","",IFERROR(INDEX(WBS_CBS!$F$5:$F$16,MATCH($D69,WBS_CBS!$A$5:$A$16,0)),""))</f>
        <v/>
      </c>
      <c r="Y69" s="149" t="n"/>
      <c r="Z69" s="149" t="n"/>
      <c r="AA69" s="150">
        <f>IF($D69="","",IFERROR(INDEX(WBS_CBS!$L$5:$L$16,MATCH($D69,WBS_CBS!$A$5:$A$16,0)),""))</f>
        <v/>
      </c>
      <c r="AB69" s="149" t="n"/>
    </row>
    <row r="70">
      <c r="A70" s="149" t="n"/>
      <c r="B70" s="149" t="n"/>
      <c r="C70" s="150">
        <f>IF($D70="","",IFERROR(INDEX(WBS_CBS!$E$5:$E$16,MATCH($D70,WBS_CBS!$A$5:$A$16,0)),""))</f>
        <v/>
      </c>
      <c r="D70" s="149" t="n"/>
      <c r="E70" s="150">
        <f>IF($D70="","",IFERROR(INDEX(WBS_CBS!$C$5:$C$16,MATCH($D70,WBS_CBS!$A$5:$A$16,0)),""))</f>
        <v/>
      </c>
      <c r="F70" s="150">
        <f>IF($D70="","",IFERROR(INDEX(WBS_CBS!$J$5:$J$16,MATCH($D70,WBS_CBS!$A$5:$A$16,0)),""))</f>
        <v/>
      </c>
      <c r="G70" s="149" t="n"/>
      <c r="H70" s="151" t="n"/>
      <c r="I70" s="149" t="n"/>
      <c r="J70" s="152" t="n"/>
      <c r="K70" s="149" t="n"/>
      <c r="L70" s="153">
        <f>IF($K70="","",IFERROR(INDEX(FX_Rates!$B$5:$B$14,MATCH($K70,FX_Rates!$A$5:$A$14,0)),""))</f>
        <v/>
      </c>
      <c r="M70" s="153">
        <f>IF(OR($H70="",$J70=""),"",$H70*$J70)</f>
        <v/>
      </c>
      <c r="N70" s="153">
        <f>IF(OR($M70="",$L70=""),"",$M70*$L70)</f>
        <v/>
      </c>
      <c r="O70" s="149" t="n"/>
      <c r="P70" s="154">
        <f>IF($O70="","",IFERROR(INDEX(Basis_of_Estimate!$C$5:$C$9,MATCH($O70,Basis_of_Estimate!$A$5:$A$9,0)),""))</f>
        <v/>
      </c>
      <c r="Q70" s="154">
        <f>IF($O70="","",IFERROR(INDEX(Basis_of_Estimate!$D$5:$D$9,MATCH($O70,Basis_of_Estimate!$A$5:$A$9,0)),""))</f>
        <v/>
      </c>
      <c r="R70" s="153">
        <f>IF($N70="","",$N70*(1+$P70))</f>
        <v/>
      </c>
      <c r="S70" s="153">
        <f>IF($N70="","",$N70)</f>
        <v/>
      </c>
      <c r="T70" s="153">
        <f>IF($N70="","",$N70*(1+$Q70))</f>
        <v/>
      </c>
      <c r="U70" s="150">
        <f>IF($D70="","",IFERROR(INDEX(WBS_CBS!$M$5:$M$16,MATCH($D70,WBS_CBS!$A$5:$A$16,0)),"Yes"))</f>
        <v/>
      </c>
      <c r="V70" s="150">
        <f>IF($D70="","",IFERROR(INDEX(WBS_CBS!$N$5:$N$16,MATCH($D70,WBS_CBS!$A$5:$A$16,0)),"Yes"))</f>
        <v/>
      </c>
      <c r="W70" s="150">
        <f>IF($D70="","",IFERROR(INDEX(WBS_CBS!$K$5:$K$16,MATCH($D70,WBS_CBS!$A$5:$A$16,0)),""))</f>
        <v/>
      </c>
      <c r="X70" s="150">
        <f>IF($D70="","",IFERROR(INDEX(WBS_CBS!$F$5:$F$16,MATCH($D70,WBS_CBS!$A$5:$A$16,0)),""))</f>
        <v/>
      </c>
      <c r="Y70" s="149" t="n"/>
      <c r="Z70" s="149" t="n"/>
      <c r="AA70" s="150">
        <f>IF($D70="","",IFERROR(INDEX(WBS_CBS!$L$5:$L$16,MATCH($D70,WBS_CBS!$A$5:$A$16,0)),""))</f>
        <v/>
      </c>
      <c r="AB70" s="149" t="n"/>
    </row>
    <row r="71">
      <c r="A71" s="149" t="n"/>
      <c r="B71" s="149" t="n"/>
      <c r="C71" s="150">
        <f>IF($D71="","",IFERROR(INDEX(WBS_CBS!$E$5:$E$16,MATCH($D71,WBS_CBS!$A$5:$A$16,0)),""))</f>
        <v/>
      </c>
      <c r="D71" s="149" t="n"/>
      <c r="E71" s="150">
        <f>IF($D71="","",IFERROR(INDEX(WBS_CBS!$C$5:$C$16,MATCH($D71,WBS_CBS!$A$5:$A$16,0)),""))</f>
        <v/>
      </c>
      <c r="F71" s="150">
        <f>IF($D71="","",IFERROR(INDEX(WBS_CBS!$J$5:$J$16,MATCH($D71,WBS_CBS!$A$5:$A$16,0)),""))</f>
        <v/>
      </c>
      <c r="G71" s="149" t="n"/>
      <c r="H71" s="151" t="n"/>
      <c r="I71" s="149" t="n"/>
      <c r="J71" s="152" t="n"/>
      <c r="K71" s="149" t="n"/>
      <c r="L71" s="153">
        <f>IF($K71="","",IFERROR(INDEX(FX_Rates!$B$5:$B$14,MATCH($K71,FX_Rates!$A$5:$A$14,0)),""))</f>
        <v/>
      </c>
      <c r="M71" s="153">
        <f>IF(OR($H71="",$J71=""),"",$H71*$J71)</f>
        <v/>
      </c>
      <c r="N71" s="153">
        <f>IF(OR($M71="",$L71=""),"",$M71*$L71)</f>
        <v/>
      </c>
      <c r="O71" s="149" t="n"/>
      <c r="P71" s="154">
        <f>IF($O71="","",IFERROR(INDEX(Basis_of_Estimate!$C$5:$C$9,MATCH($O71,Basis_of_Estimate!$A$5:$A$9,0)),""))</f>
        <v/>
      </c>
      <c r="Q71" s="154">
        <f>IF($O71="","",IFERROR(INDEX(Basis_of_Estimate!$D$5:$D$9,MATCH($O71,Basis_of_Estimate!$A$5:$A$9,0)),""))</f>
        <v/>
      </c>
      <c r="R71" s="153">
        <f>IF($N71="","",$N71*(1+$P71))</f>
        <v/>
      </c>
      <c r="S71" s="153">
        <f>IF($N71="","",$N71)</f>
        <v/>
      </c>
      <c r="T71" s="153">
        <f>IF($N71="","",$N71*(1+$Q71))</f>
        <v/>
      </c>
      <c r="U71" s="150">
        <f>IF($D71="","",IFERROR(INDEX(WBS_CBS!$M$5:$M$16,MATCH($D71,WBS_CBS!$A$5:$A$16,0)),"Yes"))</f>
        <v/>
      </c>
      <c r="V71" s="150">
        <f>IF($D71="","",IFERROR(INDEX(WBS_CBS!$N$5:$N$16,MATCH($D71,WBS_CBS!$A$5:$A$16,0)),"Yes"))</f>
        <v/>
      </c>
      <c r="W71" s="150">
        <f>IF($D71="","",IFERROR(INDEX(WBS_CBS!$K$5:$K$16,MATCH($D71,WBS_CBS!$A$5:$A$16,0)),""))</f>
        <v/>
      </c>
      <c r="X71" s="150">
        <f>IF($D71="","",IFERROR(INDEX(WBS_CBS!$F$5:$F$16,MATCH($D71,WBS_CBS!$A$5:$A$16,0)),""))</f>
        <v/>
      </c>
      <c r="Y71" s="149" t="n"/>
      <c r="Z71" s="149" t="n"/>
      <c r="AA71" s="150">
        <f>IF($D71="","",IFERROR(INDEX(WBS_CBS!$L$5:$L$16,MATCH($D71,WBS_CBS!$A$5:$A$16,0)),""))</f>
        <v/>
      </c>
      <c r="AB71" s="149" t="n"/>
    </row>
    <row r="72">
      <c r="A72" s="149" t="n"/>
      <c r="B72" s="149" t="n"/>
      <c r="C72" s="150">
        <f>IF($D72="","",IFERROR(INDEX(WBS_CBS!$E$5:$E$16,MATCH($D72,WBS_CBS!$A$5:$A$16,0)),""))</f>
        <v/>
      </c>
      <c r="D72" s="149" t="n"/>
      <c r="E72" s="150">
        <f>IF($D72="","",IFERROR(INDEX(WBS_CBS!$C$5:$C$16,MATCH($D72,WBS_CBS!$A$5:$A$16,0)),""))</f>
        <v/>
      </c>
      <c r="F72" s="150">
        <f>IF($D72="","",IFERROR(INDEX(WBS_CBS!$J$5:$J$16,MATCH($D72,WBS_CBS!$A$5:$A$16,0)),""))</f>
        <v/>
      </c>
      <c r="G72" s="149" t="n"/>
      <c r="H72" s="151" t="n"/>
      <c r="I72" s="149" t="n"/>
      <c r="J72" s="152" t="n"/>
      <c r="K72" s="149" t="n"/>
      <c r="L72" s="153">
        <f>IF($K72="","",IFERROR(INDEX(FX_Rates!$B$5:$B$14,MATCH($K72,FX_Rates!$A$5:$A$14,0)),""))</f>
        <v/>
      </c>
      <c r="M72" s="153">
        <f>IF(OR($H72="",$J72=""),"",$H72*$J72)</f>
        <v/>
      </c>
      <c r="N72" s="153">
        <f>IF(OR($M72="",$L72=""),"",$M72*$L72)</f>
        <v/>
      </c>
      <c r="O72" s="149" t="n"/>
      <c r="P72" s="154">
        <f>IF($O72="","",IFERROR(INDEX(Basis_of_Estimate!$C$5:$C$9,MATCH($O72,Basis_of_Estimate!$A$5:$A$9,0)),""))</f>
        <v/>
      </c>
      <c r="Q72" s="154">
        <f>IF($O72="","",IFERROR(INDEX(Basis_of_Estimate!$D$5:$D$9,MATCH($O72,Basis_of_Estimate!$A$5:$A$9,0)),""))</f>
        <v/>
      </c>
      <c r="R72" s="153">
        <f>IF($N72="","",$N72*(1+$P72))</f>
        <v/>
      </c>
      <c r="S72" s="153">
        <f>IF($N72="","",$N72)</f>
        <v/>
      </c>
      <c r="T72" s="153">
        <f>IF($N72="","",$N72*(1+$Q72))</f>
        <v/>
      </c>
      <c r="U72" s="150">
        <f>IF($D72="","",IFERROR(INDEX(WBS_CBS!$M$5:$M$16,MATCH($D72,WBS_CBS!$A$5:$A$16,0)),"Yes"))</f>
        <v/>
      </c>
      <c r="V72" s="150">
        <f>IF($D72="","",IFERROR(INDEX(WBS_CBS!$N$5:$N$16,MATCH($D72,WBS_CBS!$A$5:$A$16,0)),"Yes"))</f>
        <v/>
      </c>
      <c r="W72" s="150">
        <f>IF($D72="","",IFERROR(INDEX(WBS_CBS!$K$5:$K$16,MATCH($D72,WBS_CBS!$A$5:$A$16,0)),""))</f>
        <v/>
      </c>
      <c r="X72" s="150">
        <f>IF($D72="","",IFERROR(INDEX(WBS_CBS!$F$5:$F$16,MATCH($D72,WBS_CBS!$A$5:$A$16,0)),""))</f>
        <v/>
      </c>
      <c r="Y72" s="149" t="n"/>
      <c r="Z72" s="149" t="n"/>
      <c r="AA72" s="150">
        <f>IF($D72="","",IFERROR(INDEX(WBS_CBS!$L$5:$L$16,MATCH($D72,WBS_CBS!$A$5:$A$16,0)),""))</f>
        <v/>
      </c>
      <c r="AB72" s="149" t="n"/>
    </row>
    <row r="73">
      <c r="A73" s="149" t="n"/>
      <c r="B73" s="149" t="n"/>
      <c r="C73" s="150">
        <f>IF($D73="","",IFERROR(INDEX(WBS_CBS!$E$5:$E$16,MATCH($D73,WBS_CBS!$A$5:$A$16,0)),""))</f>
        <v/>
      </c>
      <c r="D73" s="149" t="n"/>
      <c r="E73" s="150">
        <f>IF($D73="","",IFERROR(INDEX(WBS_CBS!$C$5:$C$16,MATCH($D73,WBS_CBS!$A$5:$A$16,0)),""))</f>
        <v/>
      </c>
      <c r="F73" s="150">
        <f>IF($D73="","",IFERROR(INDEX(WBS_CBS!$J$5:$J$16,MATCH($D73,WBS_CBS!$A$5:$A$16,0)),""))</f>
        <v/>
      </c>
      <c r="G73" s="149" t="n"/>
      <c r="H73" s="151" t="n"/>
      <c r="I73" s="149" t="n"/>
      <c r="J73" s="152" t="n"/>
      <c r="K73" s="149" t="n"/>
      <c r="L73" s="153">
        <f>IF($K73="","",IFERROR(INDEX(FX_Rates!$B$5:$B$14,MATCH($K73,FX_Rates!$A$5:$A$14,0)),""))</f>
        <v/>
      </c>
      <c r="M73" s="153">
        <f>IF(OR($H73="",$J73=""),"",$H73*$J73)</f>
        <v/>
      </c>
      <c r="N73" s="153">
        <f>IF(OR($M73="",$L73=""),"",$M73*$L73)</f>
        <v/>
      </c>
      <c r="O73" s="149" t="n"/>
      <c r="P73" s="154">
        <f>IF($O73="","",IFERROR(INDEX(Basis_of_Estimate!$C$5:$C$9,MATCH($O73,Basis_of_Estimate!$A$5:$A$9,0)),""))</f>
        <v/>
      </c>
      <c r="Q73" s="154">
        <f>IF($O73="","",IFERROR(INDEX(Basis_of_Estimate!$D$5:$D$9,MATCH($O73,Basis_of_Estimate!$A$5:$A$9,0)),""))</f>
        <v/>
      </c>
      <c r="R73" s="153">
        <f>IF($N73="","",$N73*(1+$P73))</f>
        <v/>
      </c>
      <c r="S73" s="153">
        <f>IF($N73="","",$N73)</f>
        <v/>
      </c>
      <c r="T73" s="153">
        <f>IF($N73="","",$N73*(1+$Q73))</f>
        <v/>
      </c>
      <c r="U73" s="150">
        <f>IF($D73="","",IFERROR(INDEX(WBS_CBS!$M$5:$M$16,MATCH($D73,WBS_CBS!$A$5:$A$16,0)),"Yes"))</f>
        <v/>
      </c>
      <c r="V73" s="150">
        <f>IF($D73="","",IFERROR(INDEX(WBS_CBS!$N$5:$N$16,MATCH($D73,WBS_CBS!$A$5:$A$16,0)),"Yes"))</f>
        <v/>
      </c>
      <c r="W73" s="150">
        <f>IF($D73="","",IFERROR(INDEX(WBS_CBS!$K$5:$K$16,MATCH($D73,WBS_CBS!$A$5:$A$16,0)),""))</f>
        <v/>
      </c>
      <c r="X73" s="150">
        <f>IF($D73="","",IFERROR(INDEX(WBS_CBS!$F$5:$F$16,MATCH($D73,WBS_CBS!$A$5:$A$16,0)),""))</f>
        <v/>
      </c>
      <c r="Y73" s="149" t="n"/>
      <c r="Z73" s="149" t="n"/>
      <c r="AA73" s="150">
        <f>IF($D73="","",IFERROR(INDEX(WBS_CBS!$L$5:$L$16,MATCH($D73,WBS_CBS!$A$5:$A$16,0)),""))</f>
        <v/>
      </c>
      <c r="AB73" s="149" t="n"/>
    </row>
    <row r="74">
      <c r="A74" s="149" t="n"/>
      <c r="B74" s="149" t="n"/>
      <c r="C74" s="150">
        <f>IF($D74="","",IFERROR(INDEX(WBS_CBS!$E$5:$E$16,MATCH($D74,WBS_CBS!$A$5:$A$16,0)),""))</f>
        <v/>
      </c>
      <c r="D74" s="149" t="n"/>
      <c r="E74" s="150">
        <f>IF($D74="","",IFERROR(INDEX(WBS_CBS!$C$5:$C$16,MATCH($D74,WBS_CBS!$A$5:$A$16,0)),""))</f>
        <v/>
      </c>
      <c r="F74" s="150">
        <f>IF($D74="","",IFERROR(INDEX(WBS_CBS!$J$5:$J$16,MATCH($D74,WBS_CBS!$A$5:$A$16,0)),""))</f>
        <v/>
      </c>
      <c r="G74" s="149" t="n"/>
      <c r="H74" s="151" t="n"/>
      <c r="I74" s="149" t="n"/>
      <c r="J74" s="152" t="n"/>
      <c r="K74" s="149" t="n"/>
      <c r="L74" s="153">
        <f>IF($K74="","",IFERROR(INDEX(FX_Rates!$B$5:$B$14,MATCH($K74,FX_Rates!$A$5:$A$14,0)),""))</f>
        <v/>
      </c>
      <c r="M74" s="153">
        <f>IF(OR($H74="",$J74=""),"",$H74*$J74)</f>
        <v/>
      </c>
      <c r="N74" s="153">
        <f>IF(OR($M74="",$L74=""),"",$M74*$L74)</f>
        <v/>
      </c>
      <c r="O74" s="149" t="n"/>
      <c r="P74" s="154">
        <f>IF($O74="","",IFERROR(INDEX(Basis_of_Estimate!$C$5:$C$9,MATCH($O74,Basis_of_Estimate!$A$5:$A$9,0)),""))</f>
        <v/>
      </c>
      <c r="Q74" s="154">
        <f>IF($O74="","",IFERROR(INDEX(Basis_of_Estimate!$D$5:$D$9,MATCH($O74,Basis_of_Estimate!$A$5:$A$9,0)),""))</f>
        <v/>
      </c>
      <c r="R74" s="153">
        <f>IF($N74="","",$N74*(1+$P74))</f>
        <v/>
      </c>
      <c r="S74" s="153">
        <f>IF($N74="","",$N74)</f>
        <v/>
      </c>
      <c r="T74" s="153">
        <f>IF($N74="","",$N74*(1+$Q74))</f>
        <v/>
      </c>
      <c r="U74" s="150">
        <f>IF($D74="","",IFERROR(INDEX(WBS_CBS!$M$5:$M$16,MATCH($D74,WBS_CBS!$A$5:$A$16,0)),"Yes"))</f>
        <v/>
      </c>
      <c r="V74" s="150">
        <f>IF($D74="","",IFERROR(INDEX(WBS_CBS!$N$5:$N$16,MATCH($D74,WBS_CBS!$A$5:$A$16,0)),"Yes"))</f>
        <v/>
      </c>
      <c r="W74" s="150">
        <f>IF($D74="","",IFERROR(INDEX(WBS_CBS!$K$5:$K$16,MATCH($D74,WBS_CBS!$A$5:$A$16,0)),""))</f>
        <v/>
      </c>
      <c r="X74" s="150">
        <f>IF($D74="","",IFERROR(INDEX(WBS_CBS!$F$5:$F$16,MATCH($D74,WBS_CBS!$A$5:$A$16,0)),""))</f>
        <v/>
      </c>
      <c r="Y74" s="149" t="n"/>
      <c r="Z74" s="149" t="n"/>
      <c r="AA74" s="150">
        <f>IF($D74="","",IFERROR(INDEX(WBS_CBS!$L$5:$L$16,MATCH($D74,WBS_CBS!$A$5:$A$16,0)),""))</f>
        <v/>
      </c>
      <c r="AB74" s="149" t="n"/>
    </row>
    <row r="75">
      <c r="A75" s="149" t="n"/>
      <c r="B75" s="149" t="n"/>
      <c r="C75" s="150">
        <f>IF($D75="","",IFERROR(INDEX(WBS_CBS!$E$5:$E$16,MATCH($D75,WBS_CBS!$A$5:$A$16,0)),""))</f>
        <v/>
      </c>
      <c r="D75" s="149" t="n"/>
      <c r="E75" s="150">
        <f>IF($D75="","",IFERROR(INDEX(WBS_CBS!$C$5:$C$16,MATCH($D75,WBS_CBS!$A$5:$A$16,0)),""))</f>
        <v/>
      </c>
      <c r="F75" s="150">
        <f>IF($D75="","",IFERROR(INDEX(WBS_CBS!$J$5:$J$16,MATCH($D75,WBS_CBS!$A$5:$A$16,0)),""))</f>
        <v/>
      </c>
      <c r="G75" s="149" t="n"/>
      <c r="H75" s="151" t="n"/>
      <c r="I75" s="149" t="n"/>
      <c r="J75" s="152" t="n"/>
      <c r="K75" s="149" t="n"/>
      <c r="L75" s="153">
        <f>IF($K75="","",IFERROR(INDEX(FX_Rates!$B$5:$B$14,MATCH($K75,FX_Rates!$A$5:$A$14,0)),""))</f>
        <v/>
      </c>
      <c r="M75" s="153">
        <f>IF(OR($H75="",$J75=""),"",$H75*$J75)</f>
        <v/>
      </c>
      <c r="N75" s="153">
        <f>IF(OR($M75="",$L75=""),"",$M75*$L75)</f>
        <v/>
      </c>
      <c r="O75" s="149" t="n"/>
      <c r="P75" s="154">
        <f>IF($O75="","",IFERROR(INDEX(Basis_of_Estimate!$C$5:$C$9,MATCH($O75,Basis_of_Estimate!$A$5:$A$9,0)),""))</f>
        <v/>
      </c>
      <c r="Q75" s="154">
        <f>IF($O75="","",IFERROR(INDEX(Basis_of_Estimate!$D$5:$D$9,MATCH($O75,Basis_of_Estimate!$A$5:$A$9,0)),""))</f>
        <v/>
      </c>
      <c r="R75" s="153">
        <f>IF($N75="","",$N75*(1+$P75))</f>
        <v/>
      </c>
      <c r="S75" s="153">
        <f>IF($N75="","",$N75)</f>
        <v/>
      </c>
      <c r="T75" s="153">
        <f>IF($N75="","",$N75*(1+$Q75))</f>
        <v/>
      </c>
      <c r="U75" s="150">
        <f>IF($D75="","",IFERROR(INDEX(WBS_CBS!$M$5:$M$16,MATCH($D75,WBS_CBS!$A$5:$A$16,0)),"Yes"))</f>
        <v/>
      </c>
      <c r="V75" s="150">
        <f>IF($D75="","",IFERROR(INDEX(WBS_CBS!$N$5:$N$16,MATCH($D75,WBS_CBS!$A$5:$A$16,0)),"Yes"))</f>
        <v/>
      </c>
      <c r="W75" s="150">
        <f>IF($D75="","",IFERROR(INDEX(WBS_CBS!$K$5:$K$16,MATCH($D75,WBS_CBS!$A$5:$A$16,0)),""))</f>
        <v/>
      </c>
      <c r="X75" s="150">
        <f>IF($D75="","",IFERROR(INDEX(WBS_CBS!$F$5:$F$16,MATCH($D75,WBS_CBS!$A$5:$A$16,0)),""))</f>
        <v/>
      </c>
      <c r="Y75" s="149" t="n"/>
      <c r="Z75" s="149" t="n"/>
      <c r="AA75" s="150">
        <f>IF($D75="","",IFERROR(INDEX(WBS_CBS!$L$5:$L$16,MATCH($D75,WBS_CBS!$A$5:$A$16,0)),""))</f>
        <v/>
      </c>
      <c r="AB75" s="149" t="n"/>
    </row>
    <row r="76">
      <c r="A76" s="149" t="n"/>
      <c r="B76" s="149" t="n"/>
      <c r="C76" s="150">
        <f>IF($D76="","",IFERROR(INDEX(WBS_CBS!$E$5:$E$16,MATCH($D76,WBS_CBS!$A$5:$A$16,0)),""))</f>
        <v/>
      </c>
      <c r="D76" s="149" t="n"/>
      <c r="E76" s="150">
        <f>IF($D76="","",IFERROR(INDEX(WBS_CBS!$C$5:$C$16,MATCH($D76,WBS_CBS!$A$5:$A$16,0)),""))</f>
        <v/>
      </c>
      <c r="F76" s="150">
        <f>IF($D76="","",IFERROR(INDEX(WBS_CBS!$J$5:$J$16,MATCH($D76,WBS_CBS!$A$5:$A$16,0)),""))</f>
        <v/>
      </c>
      <c r="G76" s="149" t="n"/>
      <c r="H76" s="151" t="n"/>
      <c r="I76" s="149" t="n"/>
      <c r="J76" s="152" t="n"/>
      <c r="K76" s="149" t="n"/>
      <c r="L76" s="153">
        <f>IF($K76="","",IFERROR(INDEX(FX_Rates!$B$5:$B$14,MATCH($K76,FX_Rates!$A$5:$A$14,0)),""))</f>
        <v/>
      </c>
      <c r="M76" s="153">
        <f>IF(OR($H76="",$J76=""),"",$H76*$J76)</f>
        <v/>
      </c>
      <c r="N76" s="153">
        <f>IF(OR($M76="",$L76=""),"",$M76*$L76)</f>
        <v/>
      </c>
      <c r="O76" s="149" t="n"/>
      <c r="P76" s="154">
        <f>IF($O76="","",IFERROR(INDEX(Basis_of_Estimate!$C$5:$C$9,MATCH($O76,Basis_of_Estimate!$A$5:$A$9,0)),""))</f>
        <v/>
      </c>
      <c r="Q76" s="154">
        <f>IF($O76="","",IFERROR(INDEX(Basis_of_Estimate!$D$5:$D$9,MATCH($O76,Basis_of_Estimate!$A$5:$A$9,0)),""))</f>
        <v/>
      </c>
      <c r="R76" s="153">
        <f>IF($N76="","",$N76*(1+$P76))</f>
        <v/>
      </c>
      <c r="S76" s="153">
        <f>IF($N76="","",$N76)</f>
        <v/>
      </c>
      <c r="T76" s="153">
        <f>IF($N76="","",$N76*(1+$Q76))</f>
        <v/>
      </c>
      <c r="U76" s="150">
        <f>IF($D76="","",IFERROR(INDEX(WBS_CBS!$M$5:$M$16,MATCH($D76,WBS_CBS!$A$5:$A$16,0)),"Yes"))</f>
        <v/>
      </c>
      <c r="V76" s="150">
        <f>IF($D76="","",IFERROR(INDEX(WBS_CBS!$N$5:$N$16,MATCH($D76,WBS_CBS!$A$5:$A$16,0)),"Yes"))</f>
        <v/>
      </c>
      <c r="W76" s="150">
        <f>IF($D76="","",IFERROR(INDEX(WBS_CBS!$K$5:$K$16,MATCH($D76,WBS_CBS!$A$5:$A$16,0)),""))</f>
        <v/>
      </c>
      <c r="X76" s="150">
        <f>IF($D76="","",IFERROR(INDEX(WBS_CBS!$F$5:$F$16,MATCH($D76,WBS_CBS!$A$5:$A$16,0)),""))</f>
        <v/>
      </c>
      <c r="Y76" s="149" t="n"/>
      <c r="Z76" s="149" t="n"/>
      <c r="AA76" s="150">
        <f>IF($D76="","",IFERROR(INDEX(WBS_CBS!$L$5:$L$16,MATCH($D76,WBS_CBS!$A$5:$A$16,0)),""))</f>
        <v/>
      </c>
      <c r="AB76" s="149" t="n"/>
    </row>
    <row r="77">
      <c r="A77" s="149" t="n"/>
      <c r="B77" s="149" t="n"/>
      <c r="C77" s="150">
        <f>IF($D77="","",IFERROR(INDEX(WBS_CBS!$E$5:$E$16,MATCH($D77,WBS_CBS!$A$5:$A$16,0)),""))</f>
        <v/>
      </c>
      <c r="D77" s="149" t="n"/>
      <c r="E77" s="150">
        <f>IF($D77="","",IFERROR(INDEX(WBS_CBS!$C$5:$C$16,MATCH($D77,WBS_CBS!$A$5:$A$16,0)),""))</f>
        <v/>
      </c>
      <c r="F77" s="150">
        <f>IF($D77="","",IFERROR(INDEX(WBS_CBS!$J$5:$J$16,MATCH($D77,WBS_CBS!$A$5:$A$16,0)),""))</f>
        <v/>
      </c>
      <c r="G77" s="149" t="n"/>
      <c r="H77" s="151" t="n"/>
      <c r="I77" s="149" t="n"/>
      <c r="J77" s="152" t="n"/>
      <c r="K77" s="149" t="n"/>
      <c r="L77" s="153">
        <f>IF($K77="","",IFERROR(INDEX(FX_Rates!$B$5:$B$14,MATCH($K77,FX_Rates!$A$5:$A$14,0)),""))</f>
        <v/>
      </c>
      <c r="M77" s="153">
        <f>IF(OR($H77="",$J77=""),"",$H77*$J77)</f>
        <v/>
      </c>
      <c r="N77" s="153">
        <f>IF(OR($M77="",$L77=""),"",$M77*$L77)</f>
        <v/>
      </c>
      <c r="O77" s="149" t="n"/>
      <c r="P77" s="154">
        <f>IF($O77="","",IFERROR(INDEX(Basis_of_Estimate!$C$5:$C$9,MATCH($O77,Basis_of_Estimate!$A$5:$A$9,0)),""))</f>
        <v/>
      </c>
      <c r="Q77" s="154">
        <f>IF($O77="","",IFERROR(INDEX(Basis_of_Estimate!$D$5:$D$9,MATCH($O77,Basis_of_Estimate!$A$5:$A$9,0)),""))</f>
        <v/>
      </c>
      <c r="R77" s="153">
        <f>IF($N77="","",$N77*(1+$P77))</f>
        <v/>
      </c>
      <c r="S77" s="153">
        <f>IF($N77="","",$N77)</f>
        <v/>
      </c>
      <c r="T77" s="153">
        <f>IF($N77="","",$N77*(1+$Q77))</f>
        <v/>
      </c>
      <c r="U77" s="150">
        <f>IF($D77="","",IFERROR(INDEX(WBS_CBS!$M$5:$M$16,MATCH($D77,WBS_CBS!$A$5:$A$16,0)),"Yes"))</f>
        <v/>
      </c>
      <c r="V77" s="150">
        <f>IF($D77="","",IFERROR(INDEX(WBS_CBS!$N$5:$N$16,MATCH($D77,WBS_CBS!$A$5:$A$16,0)),"Yes"))</f>
        <v/>
      </c>
      <c r="W77" s="150">
        <f>IF($D77="","",IFERROR(INDEX(WBS_CBS!$K$5:$K$16,MATCH($D77,WBS_CBS!$A$5:$A$16,0)),""))</f>
        <v/>
      </c>
      <c r="X77" s="150">
        <f>IF($D77="","",IFERROR(INDEX(WBS_CBS!$F$5:$F$16,MATCH($D77,WBS_CBS!$A$5:$A$16,0)),""))</f>
        <v/>
      </c>
      <c r="Y77" s="149" t="n"/>
      <c r="Z77" s="149" t="n"/>
      <c r="AA77" s="150">
        <f>IF($D77="","",IFERROR(INDEX(WBS_CBS!$L$5:$L$16,MATCH($D77,WBS_CBS!$A$5:$A$16,0)),""))</f>
        <v/>
      </c>
      <c r="AB77" s="149" t="n"/>
    </row>
    <row r="78">
      <c r="A78" s="149" t="n"/>
      <c r="B78" s="149" t="n"/>
      <c r="C78" s="150">
        <f>IF($D78="","",IFERROR(INDEX(WBS_CBS!$E$5:$E$16,MATCH($D78,WBS_CBS!$A$5:$A$16,0)),""))</f>
        <v/>
      </c>
      <c r="D78" s="149" t="n"/>
      <c r="E78" s="150">
        <f>IF($D78="","",IFERROR(INDEX(WBS_CBS!$C$5:$C$16,MATCH($D78,WBS_CBS!$A$5:$A$16,0)),""))</f>
        <v/>
      </c>
      <c r="F78" s="150">
        <f>IF($D78="","",IFERROR(INDEX(WBS_CBS!$J$5:$J$16,MATCH($D78,WBS_CBS!$A$5:$A$16,0)),""))</f>
        <v/>
      </c>
      <c r="G78" s="149" t="n"/>
      <c r="H78" s="151" t="n"/>
      <c r="I78" s="149" t="n"/>
      <c r="J78" s="152" t="n"/>
      <c r="K78" s="149" t="n"/>
      <c r="L78" s="153">
        <f>IF($K78="","",IFERROR(INDEX(FX_Rates!$B$5:$B$14,MATCH($K78,FX_Rates!$A$5:$A$14,0)),""))</f>
        <v/>
      </c>
      <c r="M78" s="153">
        <f>IF(OR($H78="",$J78=""),"",$H78*$J78)</f>
        <v/>
      </c>
      <c r="N78" s="153">
        <f>IF(OR($M78="",$L78=""),"",$M78*$L78)</f>
        <v/>
      </c>
      <c r="O78" s="149" t="n"/>
      <c r="P78" s="154">
        <f>IF($O78="","",IFERROR(INDEX(Basis_of_Estimate!$C$5:$C$9,MATCH($O78,Basis_of_Estimate!$A$5:$A$9,0)),""))</f>
        <v/>
      </c>
      <c r="Q78" s="154">
        <f>IF($O78="","",IFERROR(INDEX(Basis_of_Estimate!$D$5:$D$9,MATCH($O78,Basis_of_Estimate!$A$5:$A$9,0)),""))</f>
        <v/>
      </c>
      <c r="R78" s="153">
        <f>IF($N78="","",$N78*(1+$P78))</f>
        <v/>
      </c>
      <c r="S78" s="153">
        <f>IF($N78="","",$N78)</f>
        <v/>
      </c>
      <c r="T78" s="153">
        <f>IF($N78="","",$N78*(1+$Q78))</f>
        <v/>
      </c>
      <c r="U78" s="150">
        <f>IF($D78="","",IFERROR(INDEX(WBS_CBS!$M$5:$M$16,MATCH($D78,WBS_CBS!$A$5:$A$16,0)),"Yes"))</f>
        <v/>
      </c>
      <c r="V78" s="150">
        <f>IF($D78="","",IFERROR(INDEX(WBS_CBS!$N$5:$N$16,MATCH($D78,WBS_CBS!$A$5:$A$16,0)),"Yes"))</f>
        <v/>
      </c>
      <c r="W78" s="150">
        <f>IF($D78="","",IFERROR(INDEX(WBS_CBS!$K$5:$K$16,MATCH($D78,WBS_CBS!$A$5:$A$16,0)),""))</f>
        <v/>
      </c>
      <c r="X78" s="150">
        <f>IF($D78="","",IFERROR(INDEX(WBS_CBS!$F$5:$F$16,MATCH($D78,WBS_CBS!$A$5:$A$16,0)),""))</f>
        <v/>
      </c>
      <c r="Y78" s="149" t="n"/>
      <c r="Z78" s="149" t="n"/>
      <c r="AA78" s="150">
        <f>IF($D78="","",IFERROR(INDEX(WBS_CBS!$L$5:$L$16,MATCH($D78,WBS_CBS!$A$5:$A$16,0)),""))</f>
        <v/>
      </c>
      <c r="AB78" s="149" t="n"/>
    </row>
    <row r="79">
      <c r="A79" s="149" t="n"/>
      <c r="B79" s="149" t="n"/>
      <c r="C79" s="150">
        <f>IF($D79="","",IFERROR(INDEX(WBS_CBS!$E$5:$E$16,MATCH($D79,WBS_CBS!$A$5:$A$16,0)),""))</f>
        <v/>
      </c>
      <c r="D79" s="149" t="n"/>
      <c r="E79" s="150">
        <f>IF($D79="","",IFERROR(INDEX(WBS_CBS!$C$5:$C$16,MATCH($D79,WBS_CBS!$A$5:$A$16,0)),""))</f>
        <v/>
      </c>
      <c r="F79" s="150">
        <f>IF($D79="","",IFERROR(INDEX(WBS_CBS!$J$5:$J$16,MATCH($D79,WBS_CBS!$A$5:$A$16,0)),""))</f>
        <v/>
      </c>
      <c r="G79" s="149" t="n"/>
      <c r="H79" s="151" t="n"/>
      <c r="I79" s="149" t="n"/>
      <c r="J79" s="152" t="n"/>
      <c r="K79" s="149" t="n"/>
      <c r="L79" s="153">
        <f>IF($K79="","",IFERROR(INDEX(FX_Rates!$B$5:$B$14,MATCH($K79,FX_Rates!$A$5:$A$14,0)),""))</f>
        <v/>
      </c>
      <c r="M79" s="153">
        <f>IF(OR($H79="",$J79=""),"",$H79*$J79)</f>
        <v/>
      </c>
      <c r="N79" s="153">
        <f>IF(OR($M79="",$L79=""),"",$M79*$L79)</f>
        <v/>
      </c>
      <c r="O79" s="149" t="n"/>
      <c r="P79" s="154">
        <f>IF($O79="","",IFERROR(INDEX(Basis_of_Estimate!$C$5:$C$9,MATCH($O79,Basis_of_Estimate!$A$5:$A$9,0)),""))</f>
        <v/>
      </c>
      <c r="Q79" s="154">
        <f>IF($O79="","",IFERROR(INDEX(Basis_of_Estimate!$D$5:$D$9,MATCH($O79,Basis_of_Estimate!$A$5:$A$9,0)),""))</f>
        <v/>
      </c>
      <c r="R79" s="153">
        <f>IF($N79="","",$N79*(1+$P79))</f>
        <v/>
      </c>
      <c r="S79" s="153">
        <f>IF($N79="","",$N79)</f>
        <v/>
      </c>
      <c r="T79" s="153">
        <f>IF($N79="","",$N79*(1+$Q79))</f>
        <v/>
      </c>
      <c r="U79" s="150">
        <f>IF($D79="","",IFERROR(INDEX(WBS_CBS!$M$5:$M$16,MATCH($D79,WBS_CBS!$A$5:$A$16,0)),"Yes"))</f>
        <v/>
      </c>
      <c r="V79" s="150">
        <f>IF($D79="","",IFERROR(INDEX(WBS_CBS!$N$5:$N$16,MATCH($D79,WBS_CBS!$A$5:$A$16,0)),"Yes"))</f>
        <v/>
      </c>
      <c r="W79" s="150">
        <f>IF($D79="","",IFERROR(INDEX(WBS_CBS!$K$5:$K$16,MATCH($D79,WBS_CBS!$A$5:$A$16,0)),""))</f>
        <v/>
      </c>
      <c r="X79" s="150">
        <f>IF($D79="","",IFERROR(INDEX(WBS_CBS!$F$5:$F$16,MATCH($D79,WBS_CBS!$A$5:$A$16,0)),""))</f>
        <v/>
      </c>
      <c r="Y79" s="149" t="n"/>
      <c r="Z79" s="149" t="n"/>
      <c r="AA79" s="150">
        <f>IF($D79="","",IFERROR(INDEX(WBS_CBS!$L$5:$L$16,MATCH($D79,WBS_CBS!$A$5:$A$16,0)),""))</f>
        <v/>
      </c>
      <c r="AB79" s="149" t="n"/>
    </row>
    <row r="80">
      <c r="A80" s="149" t="n"/>
      <c r="B80" s="149" t="n"/>
      <c r="C80" s="150">
        <f>IF($D80="","",IFERROR(INDEX(WBS_CBS!$E$5:$E$16,MATCH($D80,WBS_CBS!$A$5:$A$16,0)),""))</f>
        <v/>
      </c>
      <c r="D80" s="149" t="n"/>
      <c r="E80" s="150">
        <f>IF($D80="","",IFERROR(INDEX(WBS_CBS!$C$5:$C$16,MATCH($D80,WBS_CBS!$A$5:$A$16,0)),""))</f>
        <v/>
      </c>
      <c r="F80" s="150">
        <f>IF($D80="","",IFERROR(INDEX(WBS_CBS!$J$5:$J$16,MATCH($D80,WBS_CBS!$A$5:$A$16,0)),""))</f>
        <v/>
      </c>
      <c r="G80" s="149" t="n"/>
      <c r="H80" s="151" t="n"/>
      <c r="I80" s="149" t="n"/>
      <c r="J80" s="152" t="n"/>
      <c r="K80" s="149" t="n"/>
      <c r="L80" s="153">
        <f>IF($K80="","",IFERROR(INDEX(FX_Rates!$B$5:$B$14,MATCH($K80,FX_Rates!$A$5:$A$14,0)),""))</f>
        <v/>
      </c>
      <c r="M80" s="153">
        <f>IF(OR($H80="",$J80=""),"",$H80*$J80)</f>
        <v/>
      </c>
      <c r="N80" s="153">
        <f>IF(OR($M80="",$L80=""),"",$M80*$L80)</f>
        <v/>
      </c>
      <c r="O80" s="149" t="n"/>
      <c r="P80" s="154">
        <f>IF($O80="","",IFERROR(INDEX(Basis_of_Estimate!$C$5:$C$9,MATCH($O80,Basis_of_Estimate!$A$5:$A$9,0)),""))</f>
        <v/>
      </c>
      <c r="Q80" s="154">
        <f>IF($O80="","",IFERROR(INDEX(Basis_of_Estimate!$D$5:$D$9,MATCH($O80,Basis_of_Estimate!$A$5:$A$9,0)),""))</f>
        <v/>
      </c>
      <c r="R80" s="153">
        <f>IF($N80="","",$N80*(1+$P80))</f>
        <v/>
      </c>
      <c r="S80" s="153">
        <f>IF($N80="","",$N80)</f>
        <v/>
      </c>
      <c r="T80" s="153">
        <f>IF($N80="","",$N80*(1+$Q80))</f>
        <v/>
      </c>
      <c r="U80" s="150">
        <f>IF($D80="","",IFERROR(INDEX(WBS_CBS!$M$5:$M$16,MATCH($D80,WBS_CBS!$A$5:$A$16,0)),"Yes"))</f>
        <v/>
      </c>
      <c r="V80" s="150">
        <f>IF($D80="","",IFERROR(INDEX(WBS_CBS!$N$5:$N$16,MATCH($D80,WBS_CBS!$A$5:$A$16,0)),"Yes"))</f>
        <v/>
      </c>
      <c r="W80" s="150">
        <f>IF($D80="","",IFERROR(INDEX(WBS_CBS!$K$5:$K$16,MATCH($D80,WBS_CBS!$A$5:$A$16,0)),""))</f>
        <v/>
      </c>
      <c r="X80" s="150">
        <f>IF($D80="","",IFERROR(INDEX(WBS_CBS!$F$5:$F$16,MATCH($D80,WBS_CBS!$A$5:$A$16,0)),""))</f>
        <v/>
      </c>
      <c r="Y80" s="149" t="n"/>
      <c r="Z80" s="149" t="n"/>
      <c r="AA80" s="150">
        <f>IF($D80="","",IFERROR(INDEX(WBS_CBS!$L$5:$L$16,MATCH($D80,WBS_CBS!$A$5:$A$16,0)),""))</f>
        <v/>
      </c>
      <c r="AB80" s="149" t="n"/>
    </row>
    <row r="81">
      <c r="A81" s="149" t="n"/>
      <c r="B81" s="149" t="n"/>
      <c r="C81" s="150">
        <f>IF($D81="","",IFERROR(INDEX(WBS_CBS!$E$5:$E$16,MATCH($D81,WBS_CBS!$A$5:$A$16,0)),""))</f>
        <v/>
      </c>
      <c r="D81" s="149" t="n"/>
      <c r="E81" s="150">
        <f>IF($D81="","",IFERROR(INDEX(WBS_CBS!$C$5:$C$16,MATCH($D81,WBS_CBS!$A$5:$A$16,0)),""))</f>
        <v/>
      </c>
      <c r="F81" s="150">
        <f>IF($D81="","",IFERROR(INDEX(WBS_CBS!$J$5:$J$16,MATCH($D81,WBS_CBS!$A$5:$A$16,0)),""))</f>
        <v/>
      </c>
      <c r="G81" s="149" t="n"/>
      <c r="H81" s="151" t="n"/>
      <c r="I81" s="149" t="n"/>
      <c r="J81" s="152" t="n"/>
      <c r="K81" s="149" t="n"/>
      <c r="L81" s="153">
        <f>IF($K81="","",IFERROR(INDEX(FX_Rates!$B$5:$B$14,MATCH($K81,FX_Rates!$A$5:$A$14,0)),""))</f>
        <v/>
      </c>
      <c r="M81" s="153">
        <f>IF(OR($H81="",$J81=""),"",$H81*$J81)</f>
        <v/>
      </c>
      <c r="N81" s="153">
        <f>IF(OR($M81="",$L81=""),"",$M81*$L81)</f>
        <v/>
      </c>
      <c r="O81" s="149" t="n"/>
      <c r="P81" s="154">
        <f>IF($O81="","",IFERROR(INDEX(Basis_of_Estimate!$C$5:$C$9,MATCH($O81,Basis_of_Estimate!$A$5:$A$9,0)),""))</f>
        <v/>
      </c>
      <c r="Q81" s="154">
        <f>IF($O81="","",IFERROR(INDEX(Basis_of_Estimate!$D$5:$D$9,MATCH($O81,Basis_of_Estimate!$A$5:$A$9,0)),""))</f>
        <v/>
      </c>
      <c r="R81" s="153">
        <f>IF($N81="","",$N81*(1+$P81))</f>
        <v/>
      </c>
      <c r="S81" s="153">
        <f>IF($N81="","",$N81)</f>
        <v/>
      </c>
      <c r="T81" s="153">
        <f>IF($N81="","",$N81*(1+$Q81))</f>
        <v/>
      </c>
      <c r="U81" s="150">
        <f>IF($D81="","",IFERROR(INDEX(WBS_CBS!$M$5:$M$16,MATCH($D81,WBS_CBS!$A$5:$A$16,0)),"Yes"))</f>
        <v/>
      </c>
      <c r="V81" s="150">
        <f>IF($D81="","",IFERROR(INDEX(WBS_CBS!$N$5:$N$16,MATCH($D81,WBS_CBS!$A$5:$A$16,0)),"Yes"))</f>
        <v/>
      </c>
      <c r="W81" s="150">
        <f>IF($D81="","",IFERROR(INDEX(WBS_CBS!$K$5:$K$16,MATCH($D81,WBS_CBS!$A$5:$A$16,0)),""))</f>
        <v/>
      </c>
      <c r="X81" s="150">
        <f>IF($D81="","",IFERROR(INDEX(WBS_CBS!$F$5:$F$16,MATCH($D81,WBS_CBS!$A$5:$A$16,0)),""))</f>
        <v/>
      </c>
      <c r="Y81" s="149" t="n"/>
      <c r="Z81" s="149" t="n"/>
      <c r="AA81" s="150">
        <f>IF($D81="","",IFERROR(INDEX(WBS_CBS!$L$5:$L$16,MATCH($D81,WBS_CBS!$A$5:$A$16,0)),""))</f>
        <v/>
      </c>
      <c r="AB81" s="149" t="n"/>
    </row>
    <row r="82">
      <c r="A82" s="149" t="n"/>
      <c r="B82" s="149" t="n"/>
      <c r="C82" s="150">
        <f>IF($D82="","",IFERROR(INDEX(WBS_CBS!$E$5:$E$16,MATCH($D82,WBS_CBS!$A$5:$A$16,0)),""))</f>
        <v/>
      </c>
      <c r="D82" s="149" t="n"/>
      <c r="E82" s="150">
        <f>IF($D82="","",IFERROR(INDEX(WBS_CBS!$C$5:$C$16,MATCH($D82,WBS_CBS!$A$5:$A$16,0)),""))</f>
        <v/>
      </c>
      <c r="F82" s="150">
        <f>IF($D82="","",IFERROR(INDEX(WBS_CBS!$J$5:$J$16,MATCH($D82,WBS_CBS!$A$5:$A$16,0)),""))</f>
        <v/>
      </c>
      <c r="G82" s="149" t="n"/>
      <c r="H82" s="151" t="n"/>
      <c r="I82" s="149" t="n"/>
      <c r="J82" s="152" t="n"/>
      <c r="K82" s="149" t="n"/>
      <c r="L82" s="153">
        <f>IF($K82="","",IFERROR(INDEX(FX_Rates!$B$5:$B$14,MATCH($K82,FX_Rates!$A$5:$A$14,0)),""))</f>
        <v/>
      </c>
      <c r="M82" s="153">
        <f>IF(OR($H82="",$J82=""),"",$H82*$J82)</f>
        <v/>
      </c>
      <c r="N82" s="153">
        <f>IF(OR($M82="",$L82=""),"",$M82*$L82)</f>
        <v/>
      </c>
      <c r="O82" s="149" t="n"/>
      <c r="P82" s="154">
        <f>IF($O82="","",IFERROR(INDEX(Basis_of_Estimate!$C$5:$C$9,MATCH($O82,Basis_of_Estimate!$A$5:$A$9,0)),""))</f>
        <v/>
      </c>
      <c r="Q82" s="154">
        <f>IF($O82="","",IFERROR(INDEX(Basis_of_Estimate!$D$5:$D$9,MATCH($O82,Basis_of_Estimate!$A$5:$A$9,0)),""))</f>
        <v/>
      </c>
      <c r="R82" s="153">
        <f>IF($N82="","",$N82*(1+$P82))</f>
        <v/>
      </c>
      <c r="S82" s="153">
        <f>IF($N82="","",$N82)</f>
        <v/>
      </c>
      <c r="T82" s="153">
        <f>IF($N82="","",$N82*(1+$Q82))</f>
        <v/>
      </c>
      <c r="U82" s="150">
        <f>IF($D82="","",IFERROR(INDEX(WBS_CBS!$M$5:$M$16,MATCH($D82,WBS_CBS!$A$5:$A$16,0)),"Yes"))</f>
        <v/>
      </c>
      <c r="V82" s="150">
        <f>IF($D82="","",IFERROR(INDEX(WBS_CBS!$N$5:$N$16,MATCH($D82,WBS_CBS!$A$5:$A$16,0)),"Yes"))</f>
        <v/>
      </c>
      <c r="W82" s="150">
        <f>IF($D82="","",IFERROR(INDEX(WBS_CBS!$K$5:$K$16,MATCH($D82,WBS_CBS!$A$5:$A$16,0)),""))</f>
        <v/>
      </c>
      <c r="X82" s="150">
        <f>IF($D82="","",IFERROR(INDEX(WBS_CBS!$F$5:$F$16,MATCH($D82,WBS_CBS!$A$5:$A$16,0)),""))</f>
        <v/>
      </c>
      <c r="Y82" s="149" t="n"/>
      <c r="Z82" s="149" t="n"/>
      <c r="AA82" s="150">
        <f>IF($D82="","",IFERROR(INDEX(WBS_CBS!$L$5:$L$16,MATCH($D82,WBS_CBS!$A$5:$A$16,0)),""))</f>
        <v/>
      </c>
      <c r="AB82" s="149" t="n"/>
    </row>
    <row r="83">
      <c r="A83" s="149" t="n"/>
      <c r="B83" s="149" t="n"/>
      <c r="C83" s="150">
        <f>IF($D83="","",IFERROR(INDEX(WBS_CBS!$E$5:$E$16,MATCH($D83,WBS_CBS!$A$5:$A$16,0)),""))</f>
        <v/>
      </c>
      <c r="D83" s="149" t="n"/>
      <c r="E83" s="150">
        <f>IF($D83="","",IFERROR(INDEX(WBS_CBS!$C$5:$C$16,MATCH($D83,WBS_CBS!$A$5:$A$16,0)),""))</f>
        <v/>
      </c>
      <c r="F83" s="150">
        <f>IF($D83="","",IFERROR(INDEX(WBS_CBS!$J$5:$J$16,MATCH($D83,WBS_CBS!$A$5:$A$16,0)),""))</f>
        <v/>
      </c>
      <c r="G83" s="149" t="n"/>
      <c r="H83" s="151" t="n"/>
      <c r="I83" s="149" t="n"/>
      <c r="J83" s="152" t="n"/>
      <c r="K83" s="149" t="n"/>
      <c r="L83" s="153">
        <f>IF($K83="","",IFERROR(INDEX(FX_Rates!$B$5:$B$14,MATCH($K83,FX_Rates!$A$5:$A$14,0)),""))</f>
        <v/>
      </c>
      <c r="M83" s="153">
        <f>IF(OR($H83="",$J83=""),"",$H83*$J83)</f>
        <v/>
      </c>
      <c r="N83" s="153">
        <f>IF(OR($M83="",$L83=""),"",$M83*$L83)</f>
        <v/>
      </c>
      <c r="O83" s="149" t="n"/>
      <c r="P83" s="154">
        <f>IF($O83="","",IFERROR(INDEX(Basis_of_Estimate!$C$5:$C$9,MATCH($O83,Basis_of_Estimate!$A$5:$A$9,0)),""))</f>
        <v/>
      </c>
      <c r="Q83" s="154">
        <f>IF($O83="","",IFERROR(INDEX(Basis_of_Estimate!$D$5:$D$9,MATCH($O83,Basis_of_Estimate!$A$5:$A$9,0)),""))</f>
        <v/>
      </c>
      <c r="R83" s="153">
        <f>IF($N83="","",$N83*(1+$P83))</f>
        <v/>
      </c>
      <c r="S83" s="153">
        <f>IF($N83="","",$N83)</f>
        <v/>
      </c>
      <c r="T83" s="153">
        <f>IF($N83="","",$N83*(1+$Q83))</f>
        <v/>
      </c>
      <c r="U83" s="150">
        <f>IF($D83="","",IFERROR(INDEX(WBS_CBS!$M$5:$M$16,MATCH($D83,WBS_CBS!$A$5:$A$16,0)),"Yes"))</f>
        <v/>
      </c>
      <c r="V83" s="150">
        <f>IF($D83="","",IFERROR(INDEX(WBS_CBS!$N$5:$N$16,MATCH($D83,WBS_CBS!$A$5:$A$16,0)),"Yes"))</f>
        <v/>
      </c>
      <c r="W83" s="150">
        <f>IF($D83="","",IFERROR(INDEX(WBS_CBS!$K$5:$K$16,MATCH($D83,WBS_CBS!$A$5:$A$16,0)),""))</f>
        <v/>
      </c>
      <c r="X83" s="150">
        <f>IF($D83="","",IFERROR(INDEX(WBS_CBS!$F$5:$F$16,MATCH($D83,WBS_CBS!$A$5:$A$16,0)),""))</f>
        <v/>
      </c>
      <c r="Y83" s="149" t="n"/>
      <c r="Z83" s="149" t="n"/>
      <c r="AA83" s="150">
        <f>IF($D83="","",IFERROR(INDEX(WBS_CBS!$L$5:$L$16,MATCH($D83,WBS_CBS!$A$5:$A$16,0)),""))</f>
        <v/>
      </c>
      <c r="AB83" s="149" t="n"/>
    </row>
    <row r="84">
      <c r="A84" s="149" t="n"/>
      <c r="B84" s="149" t="n"/>
      <c r="C84" s="150">
        <f>IF($D84="","",IFERROR(INDEX(WBS_CBS!$E$5:$E$16,MATCH($D84,WBS_CBS!$A$5:$A$16,0)),""))</f>
        <v/>
      </c>
      <c r="D84" s="149" t="n"/>
      <c r="E84" s="150">
        <f>IF($D84="","",IFERROR(INDEX(WBS_CBS!$C$5:$C$16,MATCH($D84,WBS_CBS!$A$5:$A$16,0)),""))</f>
        <v/>
      </c>
      <c r="F84" s="150">
        <f>IF($D84="","",IFERROR(INDEX(WBS_CBS!$J$5:$J$16,MATCH($D84,WBS_CBS!$A$5:$A$16,0)),""))</f>
        <v/>
      </c>
      <c r="G84" s="149" t="n"/>
      <c r="H84" s="151" t="n"/>
      <c r="I84" s="149" t="n"/>
      <c r="J84" s="152" t="n"/>
      <c r="K84" s="149" t="n"/>
      <c r="L84" s="153">
        <f>IF($K84="","",IFERROR(INDEX(FX_Rates!$B$5:$B$14,MATCH($K84,FX_Rates!$A$5:$A$14,0)),""))</f>
        <v/>
      </c>
      <c r="M84" s="153">
        <f>IF(OR($H84="",$J84=""),"",$H84*$J84)</f>
        <v/>
      </c>
      <c r="N84" s="153">
        <f>IF(OR($M84="",$L84=""),"",$M84*$L84)</f>
        <v/>
      </c>
      <c r="O84" s="149" t="n"/>
      <c r="P84" s="154">
        <f>IF($O84="","",IFERROR(INDEX(Basis_of_Estimate!$C$5:$C$9,MATCH($O84,Basis_of_Estimate!$A$5:$A$9,0)),""))</f>
        <v/>
      </c>
      <c r="Q84" s="154">
        <f>IF($O84="","",IFERROR(INDEX(Basis_of_Estimate!$D$5:$D$9,MATCH($O84,Basis_of_Estimate!$A$5:$A$9,0)),""))</f>
        <v/>
      </c>
      <c r="R84" s="153">
        <f>IF($N84="","",$N84*(1+$P84))</f>
        <v/>
      </c>
      <c r="S84" s="153">
        <f>IF($N84="","",$N84)</f>
        <v/>
      </c>
      <c r="T84" s="153">
        <f>IF($N84="","",$N84*(1+$Q84))</f>
        <v/>
      </c>
      <c r="U84" s="150">
        <f>IF($D84="","",IFERROR(INDEX(WBS_CBS!$M$5:$M$16,MATCH($D84,WBS_CBS!$A$5:$A$16,0)),"Yes"))</f>
        <v/>
      </c>
      <c r="V84" s="150">
        <f>IF($D84="","",IFERROR(INDEX(WBS_CBS!$N$5:$N$16,MATCH($D84,WBS_CBS!$A$5:$A$16,0)),"Yes"))</f>
        <v/>
      </c>
      <c r="W84" s="150">
        <f>IF($D84="","",IFERROR(INDEX(WBS_CBS!$K$5:$K$16,MATCH($D84,WBS_CBS!$A$5:$A$16,0)),""))</f>
        <v/>
      </c>
      <c r="X84" s="150">
        <f>IF($D84="","",IFERROR(INDEX(WBS_CBS!$F$5:$F$16,MATCH($D84,WBS_CBS!$A$5:$A$16,0)),""))</f>
        <v/>
      </c>
      <c r="Y84" s="149" t="n"/>
      <c r="Z84" s="149" t="n"/>
      <c r="AA84" s="150">
        <f>IF($D84="","",IFERROR(INDEX(WBS_CBS!$L$5:$L$16,MATCH($D84,WBS_CBS!$A$5:$A$16,0)),""))</f>
        <v/>
      </c>
      <c r="AB84" s="149" t="n"/>
    </row>
    <row r="85">
      <c r="A85" s="149" t="n"/>
      <c r="B85" s="149" t="n"/>
      <c r="C85" s="150">
        <f>IF($D85="","",IFERROR(INDEX(WBS_CBS!$E$5:$E$16,MATCH($D85,WBS_CBS!$A$5:$A$16,0)),""))</f>
        <v/>
      </c>
      <c r="D85" s="149" t="n"/>
      <c r="E85" s="150">
        <f>IF($D85="","",IFERROR(INDEX(WBS_CBS!$C$5:$C$16,MATCH($D85,WBS_CBS!$A$5:$A$16,0)),""))</f>
        <v/>
      </c>
      <c r="F85" s="150">
        <f>IF($D85="","",IFERROR(INDEX(WBS_CBS!$J$5:$J$16,MATCH($D85,WBS_CBS!$A$5:$A$16,0)),""))</f>
        <v/>
      </c>
      <c r="G85" s="149" t="n"/>
      <c r="H85" s="151" t="n"/>
      <c r="I85" s="149" t="n"/>
      <c r="J85" s="152" t="n"/>
      <c r="K85" s="149" t="n"/>
      <c r="L85" s="153">
        <f>IF($K85="","",IFERROR(INDEX(FX_Rates!$B$5:$B$14,MATCH($K85,FX_Rates!$A$5:$A$14,0)),""))</f>
        <v/>
      </c>
      <c r="M85" s="153">
        <f>IF(OR($H85="",$J85=""),"",$H85*$J85)</f>
        <v/>
      </c>
      <c r="N85" s="153">
        <f>IF(OR($M85="",$L85=""),"",$M85*$L85)</f>
        <v/>
      </c>
      <c r="O85" s="149" t="n"/>
      <c r="P85" s="154">
        <f>IF($O85="","",IFERROR(INDEX(Basis_of_Estimate!$C$5:$C$9,MATCH($O85,Basis_of_Estimate!$A$5:$A$9,0)),""))</f>
        <v/>
      </c>
      <c r="Q85" s="154">
        <f>IF($O85="","",IFERROR(INDEX(Basis_of_Estimate!$D$5:$D$9,MATCH($O85,Basis_of_Estimate!$A$5:$A$9,0)),""))</f>
        <v/>
      </c>
      <c r="R85" s="153">
        <f>IF($N85="","",$N85*(1+$P85))</f>
        <v/>
      </c>
      <c r="S85" s="153">
        <f>IF($N85="","",$N85)</f>
        <v/>
      </c>
      <c r="T85" s="153">
        <f>IF($N85="","",$N85*(1+$Q85))</f>
        <v/>
      </c>
      <c r="U85" s="150">
        <f>IF($D85="","",IFERROR(INDEX(WBS_CBS!$M$5:$M$16,MATCH($D85,WBS_CBS!$A$5:$A$16,0)),"Yes"))</f>
        <v/>
      </c>
      <c r="V85" s="150">
        <f>IF($D85="","",IFERROR(INDEX(WBS_CBS!$N$5:$N$16,MATCH($D85,WBS_CBS!$A$5:$A$16,0)),"Yes"))</f>
        <v/>
      </c>
      <c r="W85" s="150">
        <f>IF($D85="","",IFERROR(INDEX(WBS_CBS!$K$5:$K$16,MATCH($D85,WBS_CBS!$A$5:$A$16,0)),""))</f>
        <v/>
      </c>
      <c r="X85" s="150">
        <f>IF($D85="","",IFERROR(INDEX(WBS_CBS!$F$5:$F$16,MATCH($D85,WBS_CBS!$A$5:$A$16,0)),""))</f>
        <v/>
      </c>
      <c r="Y85" s="149" t="n"/>
      <c r="Z85" s="149" t="n"/>
      <c r="AA85" s="150">
        <f>IF($D85="","",IFERROR(INDEX(WBS_CBS!$L$5:$L$16,MATCH($D85,WBS_CBS!$A$5:$A$16,0)),""))</f>
        <v/>
      </c>
      <c r="AB85" s="149" t="n"/>
    </row>
    <row r="86">
      <c r="A86" s="149" t="n"/>
      <c r="B86" s="149" t="n"/>
      <c r="C86" s="150">
        <f>IF($D86="","",IFERROR(INDEX(WBS_CBS!$E$5:$E$16,MATCH($D86,WBS_CBS!$A$5:$A$16,0)),""))</f>
        <v/>
      </c>
      <c r="D86" s="149" t="n"/>
      <c r="E86" s="150">
        <f>IF($D86="","",IFERROR(INDEX(WBS_CBS!$C$5:$C$16,MATCH($D86,WBS_CBS!$A$5:$A$16,0)),""))</f>
        <v/>
      </c>
      <c r="F86" s="150">
        <f>IF($D86="","",IFERROR(INDEX(WBS_CBS!$J$5:$J$16,MATCH($D86,WBS_CBS!$A$5:$A$16,0)),""))</f>
        <v/>
      </c>
      <c r="G86" s="149" t="n"/>
      <c r="H86" s="151" t="n"/>
      <c r="I86" s="149" t="n"/>
      <c r="J86" s="152" t="n"/>
      <c r="K86" s="149" t="n"/>
      <c r="L86" s="153">
        <f>IF($K86="","",IFERROR(INDEX(FX_Rates!$B$5:$B$14,MATCH($K86,FX_Rates!$A$5:$A$14,0)),""))</f>
        <v/>
      </c>
      <c r="M86" s="153">
        <f>IF(OR($H86="",$J86=""),"",$H86*$J86)</f>
        <v/>
      </c>
      <c r="N86" s="153">
        <f>IF(OR($M86="",$L86=""),"",$M86*$L86)</f>
        <v/>
      </c>
      <c r="O86" s="149" t="n"/>
      <c r="P86" s="154">
        <f>IF($O86="","",IFERROR(INDEX(Basis_of_Estimate!$C$5:$C$9,MATCH($O86,Basis_of_Estimate!$A$5:$A$9,0)),""))</f>
        <v/>
      </c>
      <c r="Q86" s="154">
        <f>IF($O86="","",IFERROR(INDEX(Basis_of_Estimate!$D$5:$D$9,MATCH($O86,Basis_of_Estimate!$A$5:$A$9,0)),""))</f>
        <v/>
      </c>
      <c r="R86" s="153">
        <f>IF($N86="","",$N86*(1+$P86))</f>
        <v/>
      </c>
      <c r="S86" s="153">
        <f>IF($N86="","",$N86)</f>
        <v/>
      </c>
      <c r="T86" s="153">
        <f>IF($N86="","",$N86*(1+$Q86))</f>
        <v/>
      </c>
      <c r="U86" s="150">
        <f>IF($D86="","",IFERROR(INDEX(WBS_CBS!$M$5:$M$16,MATCH($D86,WBS_CBS!$A$5:$A$16,0)),"Yes"))</f>
        <v/>
      </c>
      <c r="V86" s="150">
        <f>IF($D86="","",IFERROR(INDEX(WBS_CBS!$N$5:$N$16,MATCH($D86,WBS_CBS!$A$5:$A$16,0)),"Yes"))</f>
        <v/>
      </c>
      <c r="W86" s="150">
        <f>IF($D86="","",IFERROR(INDEX(WBS_CBS!$K$5:$K$16,MATCH($D86,WBS_CBS!$A$5:$A$16,0)),""))</f>
        <v/>
      </c>
      <c r="X86" s="150">
        <f>IF($D86="","",IFERROR(INDEX(WBS_CBS!$F$5:$F$16,MATCH($D86,WBS_CBS!$A$5:$A$16,0)),""))</f>
        <v/>
      </c>
      <c r="Y86" s="149" t="n"/>
      <c r="Z86" s="149" t="n"/>
      <c r="AA86" s="150">
        <f>IF($D86="","",IFERROR(INDEX(WBS_CBS!$L$5:$L$16,MATCH($D86,WBS_CBS!$A$5:$A$16,0)),""))</f>
        <v/>
      </c>
      <c r="AB86" s="149" t="n"/>
    </row>
    <row r="87">
      <c r="A87" s="149" t="n"/>
      <c r="B87" s="149" t="n"/>
      <c r="C87" s="150">
        <f>IF($D87="","",IFERROR(INDEX(WBS_CBS!$E$5:$E$16,MATCH($D87,WBS_CBS!$A$5:$A$16,0)),""))</f>
        <v/>
      </c>
      <c r="D87" s="149" t="n"/>
      <c r="E87" s="150">
        <f>IF($D87="","",IFERROR(INDEX(WBS_CBS!$C$5:$C$16,MATCH($D87,WBS_CBS!$A$5:$A$16,0)),""))</f>
        <v/>
      </c>
      <c r="F87" s="150">
        <f>IF($D87="","",IFERROR(INDEX(WBS_CBS!$J$5:$J$16,MATCH($D87,WBS_CBS!$A$5:$A$16,0)),""))</f>
        <v/>
      </c>
      <c r="G87" s="149" t="n"/>
      <c r="H87" s="151" t="n"/>
      <c r="I87" s="149" t="n"/>
      <c r="J87" s="152" t="n"/>
      <c r="K87" s="149" t="n"/>
      <c r="L87" s="153">
        <f>IF($K87="","",IFERROR(INDEX(FX_Rates!$B$5:$B$14,MATCH($K87,FX_Rates!$A$5:$A$14,0)),""))</f>
        <v/>
      </c>
      <c r="M87" s="153">
        <f>IF(OR($H87="",$J87=""),"",$H87*$J87)</f>
        <v/>
      </c>
      <c r="N87" s="153">
        <f>IF(OR($M87="",$L87=""),"",$M87*$L87)</f>
        <v/>
      </c>
      <c r="O87" s="149" t="n"/>
      <c r="P87" s="154">
        <f>IF($O87="","",IFERROR(INDEX(Basis_of_Estimate!$C$5:$C$9,MATCH($O87,Basis_of_Estimate!$A$5:$A$9,0)),""))</f>
        <v/>
      </c>
      <c r="Q87" s="154">
        <f>IF($O87="","",IFERROR(INDEX(Basis_of_Estimate!$D$5:$D$9,MATCH($O87,Basis_of_Estimate!$A$5:$A$9,0)),""))</f>
        <v/>
      </c>
      <c r="R87" s="153">
        <f>IF($N87="","",$N87*(1+$P87))</f>
        <v/>
      </c>
      <c r="S87" s="153">
        <f>IF($N87="","",$N87)</f>
        <v/>
      </c>
      <c r="T87" s="153">
        <f>IF($N87="","",$N87*(1+$Q87))</f>
        <v/>
      </c>
      <c r="U87" s="150">
        <f>IF($D87="","",IFERROR(INDEX(WBS_CBS!$M$5:$M$16,MATCH($D87,WBS_CBS!$A$5:$A$16,0)),"Yes"))</f>
        <v/>
      </c>
      <c r="V87" s="150">
        <f>IF($D87="","",IFERROR(INDEX(WBS_CBS!$N$5:$N$16,MATCH($D87,WBS_CBS!$A$5:$A$16,0)),"Yes"))</f>
        <v/>
      </c>
      <c r="W87" s="150">
        <f>IF($D87="","",IFERROR(INDEX(WBS_CBS!$K$5:$K$16,MATCH($D87,WBS_CBS!$A$5:$A$16,0)),""))</f>
        <v/>
      </c>
      <c r="X87" s="150">
        <f>IF($D87="","",IFERROR(INDEX(WBS_CBS!$F$5:$F$16,MATCH($D87,WBS_CBS!$A$5:$A$16,0)),""))</f>
        <v/>
      </c>
      <c r="Y87" s="149" t="n"/>
      <c r="Z87" s="149" t="n"/>
      <c r="AA87" s="150">
        <f>IF($D87="","",IFERROR(INDEX(WBS_CBS!$L$5:$L$16,MATCH($D87,WBS_CBS!$A$5:$A$16,0)),""))</f>
        <v/>
      </c>
      <c r="AB87" s="149" t="n"/>
    </row>
    <row r="88">
      <c r="A88" s="149" t="n"/>
      <c r="B88" s="149" t="n"/>
      <c r="C88" s="150">
        <f>IF($D88="","",IFERROR(INDEX(WBS_CBS!$E$5:$E$16,MATCH($D88,WBS_CBS!$A$5:$A$16,0)),""))</f>
        <v/>
      </c>
      <c r="D88" s="149" t="n"/>
      <c r="E88" s="150">
        <f>IF($D88="","",IFERROR(INDEX(WBS_CBS!$C$5:$C$16,MATCH($D88,WBS_CBS!$A$5:$A$16,0)),""))</f>
        <v/>
      </c>
      <c r="F88" s="150">
        <f>IF($D88="","",IFERROR(INDEX(WBS_CBS!$J$5:$J$16,MATCH($D88,WBS_CBS!$A$5:$A$16,0)),""))</f>
        <v/>
      </c>
      <c r="G88" s="149" t="n"/>
      <c r="H88" s="151" t="n"/>
      <c r="I88" s="149" t="n"/>
      <c r="J88" s="152" t="n"/>
      <c r="K88" s="149" t="n"/>
      <c r="L88" s="153">
        <f>IF($K88="","",IFERROR(INDEX(FX_Rates!$B$5:$B$14,MATCH($K88,FX_Rates!$A$5:$A$14,0)),""))</f>
        <v/>
      </c>
      <c r="M88" s="153">
        <f>IF(OR($H88="",$J88=""),"",$H88*$J88)</f>
        <v/>
      </c>
      <c r="N88" s="153">
        <f>IF(OR($M88="",$L88=""),"",$M88*$L88)</f>
        <v/>
      </c>
      <c r="O88" s="149" t="n"/>
      <c r="P88" s="154">
        <f>IF($O88="","",IFERROR(INDEX(Basis_of_Estimate!$C$5:$C$9,MATCH($O88,Basis_of_Estimate!$A$5:$A$9,0)),""))</f>
        <v/>
      </c>
      <c r="Q88" s="154">
        <f>IF($O88="","",IFERROR(INDEX(Basis_of_Estimate!$D$5:$D$9,MATCH($O88,Basis_of_Estimate!$A$5:$A$9,0)),""))</f>
        <v/>
      </c>
      <c r="R88" s="153">
        <f>IF($N88="","",$N88*(1+$P88))</f>
        <v/>
      </c>
      <c r="S88" s="153">
        <f>IF($N88="","",$N88)</f>
        <v/>
      </c>
      <c r="T88" s="153">
        <f>IF($N88="","",$N88*(1+$Q88))</f>
        <v/>
      </c>
      <c r="U88" s="150">
        <f>IF($D88="","",IFERROR(INDEX(WBS_CBS!$M$5:$M$16,MATCH($D88,WBS_CBS!$A$5:$A$16,0)),"Yes"))</f>
        <v/>
      </c>
      <c r="V88" s="150">
        <f>IF($D88="","",IFERROR(INDEX(WBS_CBS!$N$5:$N$16,MATCH($D88,WBS_CBS!$A$5:$A$16,0)),"Yes"))</f>
        <v/>
      </c>
      <c r="W88" s="150">
        <f>IF($D88="","",IFERROR(INDEX(WBS_CBS!$K$5:$K$16,MATCH($D88,WBS_CBS!$A$5:$A$16,0)),""))</f>
        <v/>
      </c>
      <c r="X88" s="150">
        <f>IF($D88="","",IFERROR(INDEX(WBS_CBS!$F$5:$F$16,MATCH($D88,WBS_CBS!$A$5:$A$16,0)),""))</f>
        <v/>
      </c>
      <c r="Y88" s="149" t="n"/>
      <c r="Z88" s="149" t="n"/>
      <c r="AA88" s="150">
        <f>IF($D88="","",IFERROR(INDEX(WBS_CBS!$L$5:$L$16,MATCH($D88,WBS_CBS!$A$5:$A$16,0)),""))</f>
        <v/>
      </c>
      <c r="AB88" s="149" t="n"/>
    </row>
    <row r="89">
      <c r="A89" s="149" t="n"/>
      <c r="B89" s="149" t="n"/>
      <c r="C89" s="150">
        <f>IF($D89="","",IFERROR(INDEX(WBS_CBS!$E$5:$E$16,MATCH($D89,WBS_CBS!$A$5:$A$16,0)),""))</f>
        <v/>
      </c>
      <c r="D89" s="149" t="n"/>
      <c r="E89" s="150">
        <f>IF($D89="","",IFERROR(INDEX(WBS_CBS!$C$5:$C$16,MATCH($D89,WBS_CBS!$A$5:$A$16,0)),""))</f>
        <v/>
      </c>
      <c r="F89" s="150">
        <f>IF($D89="","",IFERROR(INDEX(WBS_CBS!$J$5:$J$16,MATCH($D89,WBS_CBS!$A$5:$A$16,0)),""))</f>
        <v/>
      </c>
      <c r="G89" s="149" t="n"/>
      <c r="H89" s="151" t="n"/>
      <c r="I89" s="149" t="n"/>
      <c r="J89" s="152" t="n"/>
      <c r="K89" s="149" t="n"/>
      <c r="L89" s="153">
        <f>IF($K89="","",IFERROR(INDEX(FX_Rates!$B$5:$B$14,MATCH($K89,FX_Rates!$A$5:$A$14,0)),""))</f>
        <v/>
      </c>
      <c r="M89" s="153">
        <f>IF(OR($H89="",$J89=""),"",$H89*$J89)</f>
        <v/>
      </c>
      <c r="N89" s="153">
        <f>IF(OR($M89="",$L89=""),"",$M89*$L89)</f>
        <v/>
      </c>
      <c r="O89" s="149" t="n"/>
      <c r="P89" s="154">
        <f>IF($O89="","",IFERROR(INDEX(Basis_of_Estimate!$C$5:$C$9,MATCH($O89,Basis_of_Estimate!$A$5:$A$9,0)),""))</f>
        <v/>
      </c>
      <c r="Q89" s="154">
        <f>IF($O89="","",IFERROR(INDEX(Basis_of_Estimate!$D$5:$D$9,MATCH($O89,Basis_of_Estimate!$A$5:$A$9,0)),""))</f>
        <v/>
      </c>
      <c r="R89" s="153">
        <f>IF($N89="","",$N89*(1+$P89))</f>
        <v/>
      </c>
      <c r="S89" s="153">
        <f>IF($N89="","",$N89)</f>
        <v/>
      </c>
      <c r="T89" s="153">
        <f>IF($N89="","",$N89*(1+$Q89))</f>
        <v/>
      </c>
      <c r="U89" s="150">
        <f>IF($D89="","",IFERROR(INDEX(WBS_CBS!$M$5:$M$16,MATCH($D89,WBS_CBS!$A$5:$A$16,0)),"Yes"))</f>
        <v/>
      </c>
      <c r="V89" s="150">
        <f>IF($D89="","",IFERROR(INDEX(WBS_CBS!$N$5:$N$16,MATCH($D89,WBS_CBS!$A$5:$A$16,0)),"Yes"))</f>
        <v/>
      </c>
      <c r="W89" s="150">
        <f>IF($D89="","",IFERROR(INDEX(WBS_CBS!$K$5:$K$16,MATCH($D89,WBS_CBS!$A$5:$A$16,0)),""))</f>
        <v/>
      </c>
      <c r="X89" s="150">
        <f>IF($D89="","",IFERROR(INDEX(WBS_CBS!$F$5:$F$16,MATCH($D89,WBS_CBS!$A$5:$A$16,0)),""))</f>
        <v/>
      </c>
      <c r="Y89" s="149" t="n"/>
      <c r="Z89" s="149" t="n"/>
      <c r="AA89" s="150">
        <f>IF($D89="","",IFERROR(INDEX(WBS_CBS!$L$5:$L$16,MATCH($D89,WBS_CBS!$A$5:$A$16,0)),""))</f>
        <v/>
      </c>
      <c r="AB89" s="149" t="n"/>
    </row>
    <row r="90">
      <c r="A90" s="149" t="n"/>
      <c r="B90" s="149" t="n"/>
      <c r="C90" s="150">
        <f>IF($D90="","",IFERROR(INDEX(WBS_CBS!$E$5:$E$16,MATCH($D90,WBS_CBS!$A$5:$A$16,0)),""))</f>
        <v/>
      </c>
      <c r="D90" s="149" t="n"/>
      <c r="E90" s="150">
        <f>IF($D90="","",IFERROR(INDEX(WBS_CBS!$C$5:$C$16,MATCH($D90,WBS_CBS!$A$5:$A$16,0)),""))</f>
        <v/>
      </c>
      <c r="F90" s="150">
        <f>IF($D90="","",IFERROR(INDEX(WBS_CBS!$J$5:$J$16,MATCH($D90,WBS_CBS!$A$5:$A$16,0)),""))</f>
        <v/>
      </c>
      <c r="G90" s="149" t="n"/>
      <c r="H90" s="151" t="n"/>
      <c r="I90" s="149" t="n"/>
      <c r="J90" s="152" t="n"/>
      <c r="K90" s="149" t="n"/>
      <c r="L90" s="153">
        <f>IF($K90="","",IFERROR(INDEX(FX_Rates!$B$5:$B$14,MATCH($K90,FX_Rates!$A$5:$A$14,0)),""))</f>
        <v/>
      </c>
      <c r="M90" s="153">
        <f>IF(OR($H90="",$J90=""),"",$H90*$J90)</f>
        <v/>
      </c>
      <c r="N90" s="153">
        <f>IF(OR($M90="",$L90=""),"",$M90*$L90)</f>
        <v/>
      </c>
      <c r="O90" s="149" t="n"/>
      <c r="P90" s="154">
        <f>IF($O90="","",IFERROR(INDEX(Basis_of_Estimate!$C$5:$C$9,MATCH($O90,Basis_of_Estimate!$A$5:$A$9,0)),""))</f>
        <v/>
      </c>
      <c r="Q90" s="154">
        <f>IF($O90="","",IFERROR(INDEX(Basis_of_Estimate!$D$5:$D$9,MATCH($O90,Basis_of_Estimate!$A$5:$A$9,0)),""))</f>
        <v/>
      </c>
      <c r="R90" s="153">
        <f>IF($N90="","",$N90*(1+$P90))</f>
        <v/>
      </c>
      <c r="S90" s="153">
        <f>IF($N90="","",$N90)</f>
        <v/>
      </c>
      <c r="T90" s="153">
        <f>IF($N90="","",$N90*(1+$Q90))</f>
        <v/>
      </c>
      <c r="U90" s="150">
        <f>IF($D90="","",IFERROR(INDEX(WBS_CBS!$M$5:$M$16,MATCH($D90,WBS_CBS!$A$5:$A$16,0)),"Yes"))</f>
        <v/>
      </c>
      <c r="V90" s="150">
        <f>IF($D90="","",IFERROR(INDEX(WBS_CBS!$N$5:$N$16,MATCH($D90,WBS_CBS!$A$5:$A$16,0)),"Yes"))</f>
        <v/>
      </c>
      <c r="W90" s="150">
        <f>IF($D90="","",IFERROR(INDEX(WBS_CBS!$K$5:$K$16,MATCH($D90,WBS_CBS!$A$5:$A$16,0)),""))</f>
        <v/>
      </c>
      <c r="X90" s="150">
        <f>IF($D90="","",IFERROR(INDEX(WBS_CBS!$F$5:$F$16,MATCH($D90,WBS_CBS!$A$5:$A$16,0)),""))</f>
        <v/>
      </c>
      <c r="Y90" s="149" t="n"/>
      <c r="Z90" s="149" t="n"/>
      <c r="AA90" s="150">
        <f>IF($D90="","",IFERROR(INDEX(WBS_CBS!$L$5:$L$16,MATCH($D90,WBS_CBS!$A$5:$A$16,0)),""))</f>
        <v/>
      </c>
      <c r="AB90" s="149" t="n"/>
    </row>
    <row r="91">
      <c r="A91" s="149" t="n"/>
      <c r="B91" s="149" t="n"/>
      <c r="C91" s="150">
        <f>IF($D91="","",IFERROR(INDEX(WBS_CBS!$E$5:$E$16,MATCH($D91,WBS_CBS!$A$5:$A$16,0)),""))</f>
        <v/>
      </c>
      <c r="D91" s="149" t="n"/>
      <c r="E91" s="150">
        <f>IF($D91="","",IFERROR(INDEX(WBS_CBS!$C$5:$C$16,MATCH($D91,WBS_CBS!$A$5:$A$16,0)),""))</f>
        <v/>
      </c>
      <c r="F91" s="150">
        <f>IF($D91="","",IFERROR(INDEX(WBS_CBS!$J$5:$J$16,MATCH($D91,WBS_CBS!$A$5:$A$16,0)),""))</f>
        <v/>
      </c>
      <c r="G91" s="149" t="n"/>
      <c r="H91" s="151" t="n"/>
      <c r="I91" s="149" t="n"/>
      <c r="J91" s="152" t="n"/>
      <c r="K91" s="149" t="n"/>
      <c r="L91" s="153">
        <f>IF($K91="","",IFERROR(INDEX(FX_Rates!$B$5:$B$14,MATCH($K91,FX_Rates!$A$5:$A$14,0)),""))</f>
        <v/>
      </c>
      <c r="M91" s="153">
        <f>IF(OR($H91="",$J91=""),"",$H91*$J91)</f>
        <v/>
      </c>
      <c r="N91" s="153">
        <f>IF(OR($M91="",$L91=""),"",$M91*$L91)</f>
        <v/>
      </c>
      <c r="O91" s="149" t="n"/>
      <c r="P91" s="154">
        <f>IF($O91="","",IFERROR(INDEX(Basis_of_Estimate!$C$5:$C$9,MATCH($O91,Basis_of_Estimate!$A$5:$A$9,0)),""))</f>
        <v/>
      </c>
      <c r="Q91" s="154">
        <f>IF($O91="","",IFERROR(INDEX(Basis_of_Estimate!$D$5:$D$9,MATCH($O91,Basis_of_Estimate!$A$5:$A$9,0)),""))</f>
        <v/>
      </c>
      <c r="R91" s="153">
        <f>IF($N91="","",$N91*(1+$P91))</f>
        <v/>
      </c>
      <c r="S91" s="153">
        <f>IF($N91="","",$N91)</f>
        <v/>
      </c>
      <c r="T91" s="153">
        <f>IF($N91="","",$N91*(1+$Q91))</f>
        <v/>
      </c>
      <c r="U91" s="150">
        <f>IF($D91="","",IFERROR(INDEX(WBS_CBS!$M$5:$M$16,MATCH($D91,WBS_CBS!$A$5:$A$16,0)),"Yes"))</f>
        <v/>
      </c>
      <c r="V91" s="150">
        <f>IF($D91="","",IFERROR(INDEX(WBS_CBS!$N$5:$N$16,MATCH($D91,WBS_CBS!$A$5:$A$16,0)),"Yes"))</f>
        <v/>
      </c>
      <c r="W91" s="150">
        <f>IF($D91="","",IFERROR(INDEX(WBS_CBS!$K$5:$K$16,MATCH($D91,WBS_CBS!$A$5:$A$16,0)),""))</f>
        <v/>
      </c>
      <c r="X91" s="150">
        <f>IF($D91="","",IFERROR(INDEX(WBS_CBS!$F$5:$F$16,MATCH($D91,WBS_CBS!$A$5:$A$16,0)),""))</f>
        <v/>
      </c>
      <c r="Y91" s="149" t="n"/>
      <c r="Z91" s="149" t="n"/>
      <c r="AA91" s="150">
        <f>IF($D91="","",IFERROR(INDEX(WBS_CBS!$L$5:$L$16,MATCH($D91,WBS_CBS!$A$5:$A$16,0)),""))</f>
        <v/>
      </c>
      <c r="AB91" s="149" t="n"/>
    </row>
    <row r="92">
      <c r="A92" s="149" t="n"/>
      <c r="B92" s="149" t="n"/>
      <c r="C92" s="150">
        <f>IF($D92="","",IFERROR(INDEX(WBS_CBS!$E$5:$E$16,MATCH($D92,WBS_CBS!$A$5:$A$16,0)),""))</f>
        <v/>
      </c>
      <c r="D92" s="149" t="n"/>
      <c r="E92" s="150">
        <f>IF($D92="","",IFERROR(INDEX(WBS_CBS!$C$5:$C$16,MATCH($D92,WBS_CBS!$A$5:$A$16,0)),""))</f>
        <v/>
      </c>
      <c r="F92" s="150">
        <f>IF($D92="","",IFERROR(INDEX(WBS_CBS!$J$5:$J$16,MATCH($D92,WBS_CBS!$A$5:$A$16,0)),""))</f>
        <v/>
      </c>
      <c r="G92" s="149" t="n"/>
      <c r="H92" s="151" t="n"/>
      <c r="I92" s="149" t="n"/>
      <c r="J92" s="152" t="n"/>
      <c r="K92" s="149" t="n"/>
      <c r="L92" s="153">
        <f>IF($K92="","",IFERROR(INDEX(FX_Rates!$B$5:$B$14,MATCH($K92,FX_Rates!$A$5:$A$14,0)),""))</f>
        <v/>
      </c>
      <c r="M92" s="153">
        <f>IF(OR($H92="",$J92=""),"",$H92*$J92)</f>
        <v/>
      </c>
      <c r="N92" s="153">
        <f>IF(OR($M92="",$L92=""),"",$M92*$L92)</f>
        <v/>
      </c>
      <c r="O92" s="149" t="n"/>
      <c r="P92" s="154">
        <f>IF($O92="","",IFERROR(INDEX(Basis_of_Estimate!$C$5:$C$9,MATCH($O92,Basis_of_Estimate!$A$5:$A$9,0)),""))</f>
        <v/>
      </c>
      <c r="Q92" s="154">
        <f>IF($O92="","",IFERROR(INDEX(Basis_of_Estimate!$D$5:$D$9,MATCH($O92,Basis_of_Estimate!$A$5:$A$9,0)),""))</f>
        <v/>
      </c>
      <c r="R92" s="153">
        <f>IF($N92="","",$N92*(1+$P92))</f>
        <v/>
      </c>
      <c r="S92" s="153">
        <f>IF($N92="","",$N92)</f>
        <v/>
      </c>
      <c r="T92" s="153">
        <f>IF($N92="","",$N92*(1+$Q92))</f>
        <v/>
      </c>
      <c r="U92" s="150">
        <f>IF($D92="","",IFERROR(INDEX(WBS_CBS!$M$5:$M$16,MATCH($D92,WBS_CBS!$A$5:$A$16,0)),"Yes"))</f>
        <v/>
      </c>
      <c r="V92" s="150">
        <f>IF($D92="","",IFERROR(INDEX(WBS_CBS!$N$5:$N$16,MATCH($D92,WBS_CBS!$A$5:$A$16,0)),"Yes"))</f>
        <v/>
      </c>
      <c r="W92" s="150">
        <f>IF($D92="","",IFERROR(INDEX(WBS_CBS!$K$5:$K$16,MATCH($D92,WBS_CBS!$A$5:$A$16,0)),""))</f>
        <v/>
      </c>
      <c r="X92" s="150">
        <f>IF($D92="","",IFERROR(INDEX(WBS_CBS!$F$5:$F$16,MATCH($D92,WBS_CBS!$A$5:$A$16,0)),""))</f>
        <v/>
      </c>
      <c r="Y92" s="149" t="n"/>
      <c r="Z92" s="149" t="n"/>
      <c r="AA92" s="150">
        <f>IF($D92="","",IFERROR(INDEX(WBS_CBS!$L$5:$L$16,MATCH($D92,WBS_CBS!$A$5:$A$16,0)),""))</f>
        <v/>
      </c>
      <c r="AB92" s="149" t="n"/>
    </row>
    <row r="93">
      <c r="A93" s="149" t="n"/>
      <c r="B93" s="149" t="n"/>
      <c r="C93" s="150">
        <f>IF($D93="","",IFERROR(INDEX(WBS_CBS!$E$5:$E$16,MATCH($D93,WBS_CBS!$A$5:$A$16,0)),""))</f>
        <v/>
      </c>
      <c r="D93" s="149" t="n"/>
      <c r="E93" s="150">
        <f>IF($D93="","",IFERROR(INDEX(WBS_CBS!$C$5:$C$16,MATCH($D93,WBS_CBS!$A$5:$A$16,0)),""))</f>
        <v/>
      </c>
      <c r="F93" s="150">
        <f>IF($D93="","",IFERROR(INDEX(WBS_CBS!$J$5:$J$16,MATCH($D93,WBS_CBS!$A$5:$A$16,0)),""))</f>
        <v/>
      </c>
      <c r="G93" s="149" t="n"/>
      <c r="H93" s="151" t="n"/>
      <c r="I93" s="149" t="n"/>
      <c r="J93" s="152" t="n"/>
      <c r="K93" s="149" t="n"/>
      <c r="L93" s="153">
        <f>IF($K93="","",IFERROR(INDEX(FX_Rates!$B$5:$B$14,MATCH($K93,FX_Rates!$A$5:$A$14,0)),""))</f>
        <v/>
      </c>
      <c r="M93" s="153">
        <f>IF(OR($H93="",$J93=""),"",$H93*$J93)</f>
        <v/>
      </c>
      <c r="N93" s="153">
        <f>IF(OR($M93="",$L93=""),"",$M93*$L93)</f>
        <v/>
      </c>
      <c r="O93" s="149" t="n"/>
      <c r="P93" s="154">
        <f>IF($O93="","",IFERROR(INDEX(Basis_of_Estimate!$C$5:$C$9,MATCH($O93,Basis_of_Estimate!$A$5:$A$9,0)),""))</f>
        <v/>
      </c>
      <c r="Q93" s="154">
        <f>IF($O93="","",IFERROR(INDEX(Basis_of_Estimate!$D$5:$D$9,MATCH($O93,Basis_of_Estimate!$A$5:$A$9,0)),""))</f>
        <v/>
      </c>
      <c r="R93" s="153">
        <f>IF($N93="","",$N93*(1+$P93))</f>
        <v/>
      </c>
      <c r="S93" s="153">
        <f>IF($N93="","",$N93)</f>
        <v/>
      </c>
      <c r="T93" s="153">
        <f>IF($N93="","",$N93*(1+$Q93))</f>
        <v/>
      </c>
      <c r="U93" s="150">
        <f>IF($D93="","",IFERROR(INDEX(WBS_CBS!$M$5:$M$16,MATCH($D93,WBS_CBS!$A$5:$A$16,0)),"Yes"))</f>
        <v/>
      </c>
      <c r="V93" s="150">
        <f>IF($D93="","",IFERROR(INDEX(WBS_CBS!$N$5:$N$16,MATCH($D93,WBS_CBS!$A$5:$A$16,0)),"Yes"))</f>
        <v/>
      </c>
      <c r="W93" s="150">
        <f>IF($D93="","",IFERROR(INDEX(WBS_CBS!$K$5:$K$16,MATCH($D93,WBS_CBS!$A$5:$A$16,0)),""))</f>
        <v/>
      </c>
      <c r="X93" s="150">
        <f>IF($D93="","",IFERROR(INDEX(WBS_CBS!$F$5:$F$16,MATCH($D93,WBS_CBS!$A$5:$A$16,0)),""))</f>
        <v/>
      </c>
      <c r="Y93" s="149" t="n"/>
      <c r="Z93" s="149" t="n"/>
      <c r="AA93" s="150">
        <f>IF($D93="","",IFERROR(INDEX(WBS_CBS!$L$5:$L$16,MATCH($D93,WBS_CBS!$A$5:$A$16,0)),""))</f>
        <v/>
      </c>
      <c r="AB93" s="149" t="n"/>
    </row>
    <row r="94">
      <c r="A94" s="149" t="n"/>
      <c r="B94" s="149" t="n"/>
      <c r="C94" s="150">
        <f>IF($D94="","",IFERROR(INDEX(WBS_CBS!$E$5:$E$16,MATCH($D94,WBS_CBS!$A$5:$A$16,0)),""))</f>
        <v/>
      </c>
      <c r="D94" s="149" t="n"/>
      <c r="E94" s="150">
        <f>IF($D94="","",IFERROR(INDEX(WBS_CBS!$C$5:$C$16,MATCH($D94,WBS_CBS!$A$5:$A$16,0)),""))</f>
        <v/>
      </c>
      <c r="F94" s="150">
        <f>IF($D94="","",IFERROR(INDEX(WBS_CBS!$J$5:$J$16,MATCH($D94,WBS_CBS!$A$5:$A$16,0)),""))</f>
        <v/>
      </c>
      <c r="G94" s="149" t="n"/>
      <c r="H94" s="151" t="n"/>
      <c r="I94" s="149" t="n"/>
      <c r="J94" s="152" t="n"/>
      <c r="K94" s="149" t="n"/>
      <c r="L94" s="153">
        <f>IF($K94="","",IFERROR(INDEX(FX_Rates!$B$5:$B$14,MATCH($K94,FX_Rates!$A$5:$A$14,0)),""))</f>
        <v/>
      </c>
      <c r="M94" s="153">
        <f>IF(OR($H94="",$J94=""),"",$H94*$J94)</f>
        <v/>
      </c>
      <c r="N94" s="153">
        <f>IF(OR($M94="",$L94=""),"",$M94*$L94)</f>
        <v/>
      </c>
      <c r="O94" s="149" t="n"/>
      <c r="P94" s="154">
        <f>IF($O94="","",IFERROR(INDEX(Basis_of_Estimate!$C$5:$C$9,MATCH($O94,Basis_of_Estimate!$A$5:$A$9,0)),""))</f>
        <v/>
      </c>
      <c r="Q94" s="154">
        <f>IF($O94="","",IFERROR(INDEX(Basis_of_Estimate!$D$5:$D$9,MATCH($O94,Basis_of_Estimate!$A$5:$A$9,0)),""))</f>
        <v/>
      </c>
      <c r="R94" s="153">
        <f>IF($N94="","",$N94*(1+$P94))</f>
        <v/>
      </c>
      <c r="S94" s="153">
        <f>IF($N94="","",$N94)</f>
        <v/>
      </c>
      <c r="T94" s="153">
        <f>IF($N94="","",$N94*(1+$Q94))</f>
        <v/>
      </c>
      <c r="U94" s="150">
        <f>IF($D94="","",IFERROR(INDEX(WBS_CBS!$M$5:$M$16,MATCH($D94,WBS_CBS!$A$5:$A$16,0)),"Yes"))</f>
        <v/>
      </c>
      <c r="V94" s="150">
        <f>IF($D94="","",IFERROR(INDEX(WBS_CBS!$N$5:$N$16,MATCH($D94,WBS_CBS!$A$5:$A$16,0)),"Yes"))</f>
        <v/>
      </c>
      <c r="W94" s="150">
        <f>IF($D94="","",IFERROR(INDEX(WBS_CBS!$K$5:$K$16,MATCH($D94,WBS_CBS!$A$5:$A$16,0)),""))</f>
        <v/>
      </c>
      <c r="X94" s="150">
        <f>IF($D94="","",IFERROR(INDEX(WBS_CBS!$F$5:$F$16,MATCH($D94,WBS_CBS!$A$5:$A$16,0)),""))</f>
        <v/>
      </c>
      <c r="Y94" s="149" t="n"/>
      <c r="Z94" s="149" t="n"/>
      <c r="AA94" s="150">
        <f>IF($D94="","",IFERROR(INDEX(WBS_CBS!$L$5:$L$16,MATCH($D94,WBS_CBS!$A$5:$A$16,0)),""))</f>
        <v/>
      </c>
      <c r="AB94" s="149" t="n"/>
    </row>
    <row r="95">
      <c r="A95" s="149" t="n"/>
      <c r="B95" s="149" t="n"/>
      <c r="C95" s="150">
        <f>IF($D95="","",IFERROR(INDEX(WBS_CBS!$E$5:$E$16,MATCH($D95,WBS_CBS!$A$5:$A$16,0)),""))</f>
        <v/>
      </c>
      <c r="D95" s="149" t="n"/>
      <c r="E95" s="150">
        <f>IF($D95="","",IFERROR(INDEX(WBS_CBS!$C$5:$C$16,MATCH($D95,WBS_CBS!$A$5:$A$16,0)),""))</f>
        <v/>
      </c>
      <c r="F95" s="150">
        <f>IF($D95="","",IFERROR(INDEX(WBS_CBS!$J$5:$J$16,MATCH($D95,WBS_CBS!$A$5:$A$16,0)),""))</f>
        <v/>
      </c>
      <c r="G95" s="149" t="n"/>
      <c r="H95" s="151" t="n"/>
      <c r="I95" s="149" t="n"/>
      <c r="J95" s="152" t="n"/>
      <c r="K95" s="149" t="n"/>
      <c r="L95" s="153">
        <f>IF($K95="","",IFERROR(INDEX(FX_Rates!$B$5:$B$14,MATCH($K95,FX_Rates!$A$5:$A$14,0)),""))</f>
        <v/>
      </c>
      <c r="M95" s="153">
        <f>IF(OR($H95="",$J95=""),"",$H95*$J95)</f>
        <v/>
      </c>
      <c r="N95" s="153">
        <f>IF(OR($M95="",$L95=""),"",$M95*$L95)</f>
        <v/>
      </c>
      <c r="O95" s="149" t="n"/>
      <c r="P95" s="154">
        <f>IF($O95="","",IFERROR(INDEX(Basis_of_Estimate!$C$5:$C$9,MATCH($O95,Basis_of_Estimate!$A$5:$A$9,0)),""))</f>
        <v/>
      </c>
      <c r="Q95" s="154">
        <f>IF($O95="","",IFERROR(INDEX(Basis_of_Estimate!$D$5:$D$9,MATCH($O95,Basis_of_Estimate!$A$5:$A$9,0)),""))</f>
        <v/>
      </c>
      <c r="R95" s="153">
        <f>IF($N95="","",$N95*(1+$P95))</f>
        <v/>
      </c>
      <c r="S95" s="153">
        <f>IF($N95="","",$N95)</f>
        <v/>
      </c>
      <c r="T95" s="153">
        <f>IF($N95="","",$N95*(1+$Q95))</f>
        <v/>
      </c>
      <c r="U95" s="150">
        <f>IF($D95="","",IFERROR(INDEX(WBS_CBS!$M$5:$M$16,MATCH($D95,WBS_CBS!$A$5:$A$16,0)),"Yes"))</f>
        <v/>
      </c>
      <c r="V95" s="150">
        <f>IF($D95="","",IFERROR(INDEX(WBS_CBS!$N$5:$N$16,MATCH($D95,WBS_CBS!$A$5:$A$16,0)),"Yes"))</f>
        <v/>
      </c>
      <c r="W95" s="150">
        <f>IF($D95="","",IFERROR(INDEX(WBS_CBS!$K$5:$K$16,MATCH($D95,WBS_CBS!$A$5:$A$16,0)),""))</f>
        <v/>
      </c>
      <c r="X95" s="150">
        <f>IF($D95="","",IFERROR(INDEX(WBS_CBS!$F$5:$F$16,MATCH($D95,WBS_CBS!$A$5:$A$16,0)),""))</f>
        <v/>
      </c>
      <c r="Y95" s="149" t="n"/>
      <c r="Z95" s="149" t="n"/>
      <c r="AA95" s="150">
        <f>IF($D95="","",IFERROR(INDEX(WBS_CBS!$L$5:$L$16,MATCH($D95,WBS_CBS!$A$5:$A$16,0)),""))</f>
        <v/>
      </c>
      <c r="AB95" s="149" t="n"/>
    </row>
    <row r="96">
      <c r="A96" s="149" t="n"/>
      <c r="B96" s="149" t="n"/>
      <c r="C96" s="150">
        <f>IF($D96="","",IFERROR(INDEX(WBS_CBS!$E$5:$E$16,MATCH($D96,WBS_CBS!$A$5:$A$16,0)),""))</f>
        <v/>
      </c>
      <c r="D96" s="149" t="n"/>
      <c r="E96" s="150">
        <f>IF($D96="","",IFERROR(INDEX(WBS_CBS!$C$5:$C$16,MATCH($D96,WBS_CBS!$A$5:$A$16,0)),""))</f>
        <v/>
      </c>
      <c r="F96" s="150">
        <f>IF($D96="","",IFERROR(INDEX(WBS_CBS!$J$5:$J$16,MATCH($D96,WBS_CBS!$A$5:$A$16,0)),""))</f>
        <v/>
      </c>
      <c r="G96" s="149" t="n"/>
      <c r="H96" s="151" t="n"/>
      <c r="I96" s="149" t="n"/>
      <c r="J96" s="152" t="n"/>
      <c r="K96" s="149" t="n"/>
      <c r="L96" s="153">
        <f>IF($K96="","",IFERROR(INDEX(FX_Rates!$B$5:$B$14,MATCH($K96,FX_Rates!$A$5:$A$14,0)),""))</f>
        <v/>
      </c>
      <c r="M96" s="153">
        <f>IF(OR($H96="",$J96=""),"",$H96*$J96)</f>
        <v/>
      </c>
      <c r="N96" s="153">
        <f>IF(OR($M96="",$L96=""),"",$M96*$L96)</f>
        <v/>
      </c>
      <c r="O96" s="149" t="n"/>
      <c r="P96" s="154">
        <f>IF($O96="","",IFERROR(INDEX(Basis_of_Estimate!$C$5:$C$9,MATCH($O96,Basis_of_Estimate!$A$5:$A$9,0)),""))</f>
        <v/>
      </c>
      <c r="Q96" s="154">
        <f>IF($O96="","",IFERROR(INDEX(Basis_of_Estimate!$D$5:$D$9,MATCH($O96,Basis_of_Estimate!$A$5:$A$9,0)),""))</f>
        <v/>
      </c>
      <c r="R96" s="153">
        <f>IF($N96="","",$N96*(1+$P96))</f>
        <v/>
      </c>
      <c r="S96" s="153">
        <f>IF($N96="","",$N96)</f>
        <v/>
      </c>
      <c r="T96" s="153">
        <f>IF($N96="","",$N96*(1+$Q96))</f>
        <v/>
      </c>
      <c r="U96" s="150">
        <f>IF($D96="","",IFERROR(INDEX(WBS_CBS!$M$5:$M$16,MATCH($D96,WBS_CBS!$A$5:$A$16,0)),"Yes"))</f>
        <v/>
      </c>
      <c r="V96" s="150">
        <f>IF($D96="","",IFERROR(INDEX(WBS_CBS!$N$5:$N$16,MATCH($D96,WBS_CBS!$A$5:$A$16,0)),"Yes"))</f>
        <v/>
      </c>
      <c r="W96" s="150">
        <f>IF($D96="","",IFERROR(INDEX(WBS_CBS!$K$5:$K$16,MATCH($D96,WBS_CBS!$A$5:$A$16,0)),""))</f>
        <v/>
      </c>
      <c r="X96" s="150">
        <f>IF($D96="","",IFERROR(INDEX(WBS_CBS!$F$5:$F$16,MATCH($D96,WBS_CBS!$A$5:$A$16,0)),""))</f>
        <v/>
      </c>
      <c r="Y96" s="149" t="n"/>
      <c r="Z96" s="149" t="n"/>
      <c r="AA96" s="150">
        <f>IF($D96="","",IFERROR(INDEX(WBS_CBS!$L$5:$L$16,MATCH($D96,WBS_CBS!$A$5:$A$16,0)),""))</f>
        <v/>
      </c>
      <c r="AB96" s="149" t="n"/>
    </row>
    <row r="97">
      <c r="A97" s="149" t="n"/>
      <c r="B97" s="149" t="n"/>
      <c r="C97" s="150">
        <f>IF($D97="","",IFERROR(INDEX(WBS_CBS!$E$5:$E$16,MATCH($D97,WBS_CBS!$A$5:$A$16,0)),""))</f>
        <v/>
      </c>
      <c r="D97" s="149" t="n"/>
      <c r="E97" s="150">
        <f>IF($D97="","",IFERROR(INDEX(WBS_CBS!$C$5:$C$16,MATCH($D97,WBS_CBS!$A$5:$A$16,0)),""))</f>
        <v/>
      </c>
      <c r="F97" s="150">
        <f>IF($D97="","",IFERROR(INDEX(WBS_CBS!$J$5:$J$16,MATCH($D97,WBS_CBS!$A$5:$A$16,0)),""))</f>
        <v/>
      </c>
      <c r="G97" s="149" t="n"/>
      <c r="H97" s="151" t="n"/>
      <c r="I97" s="149" t="n"/>
      <c r="J97" s="152" t="n"/>
      <c r="K97" s="149" t="n"/>
      <c r="L97" s="153">
        <f>IF($K97="","",IFERROR(INDEX(FX_Rates!$B$5:$B$14,MATCH($K97,FX_Rates!$A$5:$A$14,0)),""))</f>
        <v/>
      </c>
      <c r="M97" s="153">
        <f>IF(OR($H97="",$J97=""),"",$H97*$J97)</f>
        <v/>
      </c>
      <c r="N97" s="153">
        <f>IF(OR($M97="",$L97=""),"",$M97*$L97)</f>
        <v/>
      </c>
      <c r="O97" s="149" t="n"/>
      <c r="P97" s="154">
        <f>IF($O97="","",IFERROR(INDEX(Basis_of_Estimate!$C$5:$C$9,MATCH($O97,Basis_of_Estimate!$A$5:$A$9,0)),""))</f>
        <v/>
      </c>
      <c r="Q97" s="154">
        <f>IF($O97="","",IFERROR(INDEX(Basis_of_Estimate!$D$5:$D$9,MATCH($O97,Basis_of_Estimate!$A$5:$A$9,0)),""))</f>
        <v/>
      </c>
      <c r="R97" s="153">
        <f>IF($N97="","",$N97*(1+$P97))</f>
        <v/>
      </c>
      <c r="S97" s="153">
        <f>IF($N97="","",$N97)</f>
        <v/>
      </c>
      <c r="T97" s="153">
        <f>IF($N97="","",$N97*(1+$Q97))</f>
        <v/>
      </c>
      <c r="U97" s="150">
        <f>IF($D97="","",IFERROR(INDEX(WBS_CBS!$M$5:$M$16,MATCH($D97,WBS_CBS!$A$5:$A$16,0)),"Yes"))</f>
        <v/>
      </c>
      <c r="V97" s="150">
        <f>IF($D97="","",IFERROR(INDEX(WBS_CBS!$N$5:$N$16,MATCH($D97,WBS_CBS!$A$5:$A$16,0)),"Yes"))</f>
        <v/>
      </c>
      <c r="W97" s="150">
        <f>IF($D97="","",IFERROR(INDEX(WBS_CBS!$K$5:$K$16,MATCH($D97,WBS_CBS!$A$5:$A$16,0)),""))</f>
        <v/>
      </c>
      <c r="X97" s="150">
        <f>IF($D97="","",IFERROR(INDEX(WBS_CBS!$F$5:$F$16,MATCH($D97,WBS_CBS!$A$5:$A$16,0)),""))</f>
        <v/>
      </c>
      <c r="Y97" s="149" t="n"/>
      <c r="Z97" s="149" t="n"/>
      <c r="AA97" s="150">
        <f>IF($D97="","",IFERROR(INDEX(WBS_CBS!$L$5:$L$16,MATCH($D97,WBS_CBS!$A$5:$A$16,0)),""))</f>
        <v/>
      </c>
      <c r="AB97" s="149" t="n"/>
    </row>
    <row r="98">
      <c r="A98" s="149" t="n"/>
      <c r="B98" s="149" t="n"/>
      <c r="C98" s="150">
        <f>IF($D98="","",IFERROR(INDEX(WBS_CBS!$E$5:$E$16,MATCH($D98,WBS_CBS!$A$5:$A$16,0)),""))</f>
        <v/>
      </c>
      <c r="D98" s="149" t="n"/>
      <c r="E98" s="150">
        <f>IF($D98="","",IFERROR(INDEX(WBS_CBS!$C$5:$C$16,MATCH($D98,WBS_CBS!$A$5:$A$16,0)),""))</f>
        <v/>
      </c>
      <c r="F98" s="150">
        <f>IF($D98="","",IFERROR(INDEX(WBS_CBS!$J$5:$J$16,MATCH($D98,WBS_CBS!$A$5:$A$16,0)),""))</f>
        <v/>
      </c>
      <c r="G98" s="149" t="n"/>
      <c r="H98" s="151" t="n"/>
      <c r="I98" s="149" t="n"/>
      <c r="J98" s="152" t="n"/>
      <c r="K98" s="149" t="n"/>
      <c r="L98" s="153">
        <f>IF($K98="","",IFERROR(INDEX(FX_Rates!$B$5:$B$14,MATCH($K98,FX_Rates!$A$5:$A$14,0)),""))</f>
        <v/>
      </c>
      <c r="M98" s="153">
        <f>IF(OR($H98="",$J98=""),"",$H98*$J98)</f>
        <v/>
      </c>
      <c r="N98" s="153">
        <f>IF(OR($M98="",$L98=""),"",$M98*$L98)</f>
        <v/>
      </c>
      <c r="O98" s="149" t="n"/>
      <c r="P98" s="154">
        <f>IF($O98="","",IFERROR(INDEX(Basis_of_Estimate!$C$5:$C$9,MATCH($O98,Basis_of_Estimate!$A$5:$A$9,0)),""))</f>
        <v/>
      </c>
      <c r="Q98" s="154">
        <f>IF($O98="","",IFERROR(INDEX(Basis_of_Estimate!$D$5:$D$9,MATCH($O98,Basis_of_Estimate!$A$5:$A$9,0)),""))</f>
        <v/>
      </c>
      <c r="R98" s="153">
        <f>IF($N98="","",$N98*(1+$P98))</f>
        <v/>
      </c>
      <c r="S98" s="153">
        <f>IF($N98="","",$N98)</f>
        <v/>
      </c>
      <c r="T98" s="153">
        <f>IF($N98="","",$N98*(1+$Q98))</f>
        <v/>
      </c>
      <c r="U98" s="150">
        <f>IF($D98="","",IFERROR(INDEX(WBS_CBS!$M$5:$M$16,MATCH($D98,WBS_CBS!$A$5:$A$16,0)),"Yes"))</f>
        <v/>
      </c>
      <c r="V98" s="150">
        <f>IF($D98="","",IFERROR(INDEX(WBS_CBS!$N$5:$N$16,MATCH($D98,WBS_CBS!$A$5:$A$16,0)),"Yes"))</f>
        <v/>
      </c>
      <c r="W98" s="150">
        <f>IF($D98="","",IFERROR(INDEX(WBS_CBS!$K$5:$K$16,MATCH($D98,WBS_CBS!$A$5:$A$16,0)),""))</f>
        <v/>
      </c>
      <c r="X98" s="150">
        <f>IF($D98="","",IFERROR(INDEX(WBS_CBS!$F$5:$F$16,MATCH($D98,WBS_CBS!$A$5:$A$16,0)),""))</f>
        <v/>
      </c>
      <c r="Y98" s="149" t="n"/>
      <c r="Z98" s="149" t="n"/>
      <c r="AA98" s="150">
        <f>IF($D98="","",IFERROR(INDEX(WBS_CBS!$L$5:$L$16,MATCH($D98,WBS_CBS!$A$5:$A$16,0)),""))</f>
        <v/>
      </c>
      <c r="AB98" s="149" t="n"/>
    </row>
    <row r="99">
      <c r="A99" s="149" t="n"/>
      <c r="B99" s="149" t="n"/>
      <c r="C99" s="150">
        <f>IF($D99="","",IFERROR(INDEX(WBS_CBS!$E$5:$E$16,MATCH($D99,WBS_CBS!$A$5:$A$16,0)),""))</f>
        <v/>
      </c>
      <c r="D99" s="149" t="n"/>
      <c r="E99" s="150">
        <f>IF($D99="","",IFERROR(INDEX(WBS_CBS!$C$5:$C$16,MATCH($D99,WBS_CBS!$A$5:$A$16,0)),""))</f>
        <v/>
      </c>
      <c r="F99" s="150">
        <f>IF($D99="","",IFERROR(INDEX(WBS_CBS!$J$5:$J$16,MATCH($D99,WBS_CBS!$A$5:$A$16,0)),""))</f>
        <v/>
      </c>
      <c r="G99" s="149" t="n"/>
      <c r="H99" s="151" t="n"/>
      <c r="I99" s="149" t="n"/>
      <c r="J99" s="152" t="n"/>
      <c r="K99" s="149" t="n"/>
      <c r="L99" s="153">
        <f>IF($K99="","",IFERROR(INDEX(FX_Rates!$B$5:$B$14,MATCH($K99,FX_Rates!$A$5:$A$14,0)),""))</f>
        <v/>
      </c>
      <c r="M99" s="153">
        <f>IF(OR($H99="",$J99=""),"",$H99*$J99)</f>
        <v/>
      </c>
      <c r="N99" s="153">
        <f>IF(OR($M99="",$L99=""),"",$M99*$L99)</f>
        <v/>
      </c>
      <c r="O99" s="149" t="n"/>
      <c r="P99" s="154">
        <f>IF($O99="","",IFERROR(INDEX(Basis_of_Estimate!$C$5:$C$9,MATCH($O99,Basis_of_Estimate!$A$5:$A$9,0)),""))</f>
        <v/>
      </c>
      <c r="Q99" s="154">
        <f>IF($O99="","",IFERROR(INDEX(Basis_of_Estimate!$D$5:$D$9,MATCH($O99,Basis_of_Estimate!$A$5:$A$9,0)),""))</f>
        <v/>
      </c>
      <c r="R99" s="153">
        <f>IF($N99="","",$N99*(1+$P99))</f>
        <v/>
      </c>
      <c r="S99" s="153">
        <f>IF($N99="","",$N99)</f>
        <v/>
      </c>
      <c r="T99" s="153">
        <f>IF($N99="","",$N99*(1+$Q99))</f>
        <v/>
      </c>
      <c r="U99" s="150">
        <f>IF($D99="","",IFERROR(INDEX(WBS_CBS!$M$5:$M$16,MATCH($D99,WBS_CBS!$A$5:$A$16,0)),"Yes"))</f>
        <v/>
      </c>
      <c r="V99" s="150">
        <f>IF($D99="","",IFERROR(INDEX(WBS_CBS!$N$5:$N$16,MATCH($D99,WBS_CBS!$A$5:$A$16,0)),"Yes"))</f>
        <v/>
      </c>
      <c r="W99" s="150">
        <f>IF($D99="","",IFERROR(INDEX(WBS_CBS!$K$5:$K$16,MATCH($D99,WBS_CBS!$A$5:$A$16,0)),""))</f>
        <v/>
      </c>
      <c r="X99" s="150">
        <f>IF($D99="","",IFERROR(INDEX(WBS_CBS!$F$5:$F$16,MATCH($D99,WBS_CBS!$A$5:$A$16,0)),""))</f>
        <v/>
      </c>
      <c r="Y99" s="149" t="n"/>
      <c r="Z99" s="149" t="n"/>
      <c r="AA99" s="150">
        <f>IF($D99="","",IFERROR(INDEX(WBS_CBS!$L$5:$L$16,MATCH($D99,WBS_CBS!$A$5:$A$16,0)),""))</f>
        <v/>
      </c>
      <c r="AB99" s="149" t="n"/>
    </row>
    <row r="100">
      <c r="A100" s="149" t="n"/>
      <c r="B100" s="149" t="n"/>
      <c r="C100" s="150">
        <f>IF($D100="","",IFERROR(INDEX(WBS_CBS!$E$5:$E$16,MATCH($D100,WBS_CBS!$A$5:$A$16,0)),""))</f>
        <v/>
      </c>
      <c r="D100" s="149" t="n"/>
      <c r="E100" s="150">
        <f>IF($D100="","",IFERROR(INDEX(WBS_CBS!$C$5:$C$16,MATCH($D100,WBS_CBS!$A$5:$A$16,0)),""))</f>
        <v/>
      </c>
      <c r="F100" s="150">
        <f>IF($D100="","",IFERROR(INDEX(WBS_CBS!$J$5:$J$16,MATCH($D100,WBS_CBS!$A$5:$A$16,0)),""))</f>
        <v/>
      </c>
      <c r="G100" s="149" t="n"/>
      <c r="H100" s="151" t="n"/>
      <c r="I100" s="149" t="n"/>
      <c r="J100" s="152" t="n"/>
      <c r="K100" s="149" t="n"/>
      <c r="L100" s="153">
        <f>IF($K100="","",IFERROR(INDEX(FX_Rates!$B$5:$B$14,MATCH($K100,FX_Rates!$A$5:$A$14,0)),""))</f>
        <v/>
      </c>
      <c r="M100" s="153">
        <f>IF(OR($H100="",$J100=""),"",$H100*$J100)</f>
        <v/>
      </c>
      <c r="N100" s="153">
        <f>IF(OR($M100="",$L100=""),"",$M100*$L100)</f>
        <v/>
      </c>
      <c r="O100" s="149" t="n"/>
      <c r="P100" s="154">
        <f>IF($O100="","",IFERROR(INDEX(Basis_of_Estimate!$C$5:$C$9,MATCH($O100,Basis_of_Estimate!$A$5:$A$9,0)),""))</f>
        <v/>
      </c>
      <c r="Q100" s="154">
        <f>IF($O100="","",IFERROR(INDEX(Basis_of_Estimate!$D$5:$D$9,MATCH($O100,Basis_of_Estimate!$A$5:$A$9,0)),""))</f>
        <v/>
      </c>
      <c r="R100" s="153">
        <f>IF($N100="","",$N100*(1+$P100))</f>
        <v/>
      </c>
      <c r="S100" s="153">
        <f>IF($N100="","",$N100)</f>
        <v/>
      </c>
      <c r="T100" s="153">
        <f>IF($N100="","",$N100*(1+$Q100))</f>
        <v/>
      </c>
      <c r="U100" s="150">
        <f>IF($D100="","",IFERROR(INDEX(WBS_CBS!$M$5:$M$16,MATCH($D100,WBS_CBS!$A$5:$A$16,0)),"Yes"))</f>
        <v/>
      </c>
      <c r="V100" s="150">
        <f>IF($D100="","",IFERROR(INDEX(WBS_CBS!$N$5:$N$16,MATCH($D100,WBS_CBS!$A$5:$A$16,0)),"Yes"))</f>
        <v/>
      </c>
      <c r="W100" s="150">
        <f>IF($D100="","",IFERROR(INDEX(WBS_CBS!$K$5:$K$16,MATCH($D100,WBS_CBS!$A$5:$A$16,0)),""))</f>
        <v/>
      </c>
      <c r="X100" s="150">
        <f>IF($D100="","",IFERROR(INDEX(WBS_CBS!$F$5:$F$16,MATCH($D100,WBS_CBS!$A$5:$A$16,0)),""))</f>
        <v/>
      </c>
      <c r="Y100" s="149" t="n"/>
      <c r="Z100" s="149" t="n"/>
      <c r="AA100" s="150">
        <f>IF($D100="","",IFERROR(INDEX(WBS_CBS!$L$5:$L$16,MATCH($D100,WBS_CBS!$A$5:$A$16,0)),""))</f>
        <v/>
      </c>
      <c r="AB100" s="149" t="n"/>
    </row>
    <row r="101">
      <c r="A101" s="149" t="n"/>
      <c r="B101" s="149" t="n"/>
      <c r="C101" s="150">
        <f>IF($D101="","",IFERROR(INDEX(WBS_CBS!$E$5:$E$16,MATCH($D101,WBS_CBS!$A$5:$A$16,0)),""))</f>
        <v/>
      </c>
      <c r="D101" s="149" t="n"/>
      <c r="E101" s="150">
        <f>IF($D101="","",IFERROR(INDEX(WBS_CBS!$C$5:$C$16,MATCH($D101,WBS_CBS!$A$5:$A$16,0)),""))</f>
        <v/>
      </c>
      <c r="F101" s="150">
        <f>IF($D101="","",IFERROR(INDEX(WBS_CBS!$J$5:$J$16,MATCH($D101,WBS_CBS!$A$5:$A$16,0)),""))</f>
        <v/>
      </c>
      <c r="G101" s="149" t="n"/>
      <c r="H101" s="151" t="n"/>
      <c r="I101" s="149" t="n"/>
      <c r="J101" s="152" t="n"/>
      <c r="K101" s="149" t="n"/>
      <c r="L101" s="153">
        <f>IF($K101="","",IFERROR(INDEX(FX_Rates!$B$5:$B$14,MATCH($K101,FX_Rates!$A$5:$A$14,0)),""))</f>
        <v/>
      </c>
      <c r="M101" s="153">
        <f>IF(OR($H101="",$J101=""),"",$H101*$J101)</f>
        <v/>
      </c>
      <c r="N101" s="153">
        <f>IF(OR($M101="",$L101=""),"",$M101*$L101)</f>
        <v/>
      </c>
      <c r="O101" s="149" t="n"/>
      <c r="P101" s="154">
        <f>IF($O101="","",IFERROR(INDEX(Basis_of_Estimate!$C$5:$C$9,MATCH($O101,Basis_of_Estimate!$A$5:$A$9,0)),""))</f>
        <v/>
      </c>
      <c r="Q101" s="154">
        <f>IF($O101="","",IFERROR(INDEX(Basis_of_Estimate!$D$5:$D$9,MATCH($O101,Basis_of_Estimate!$A$5:$A$9,0)),""))</f>
        <v/>
      </c>
      <c r="R101" s="153">
        <f>IF($N101="","",$N101*(1+$P101))</f>
        <v/>
      </c>
      <c r="S101" s="153">
        <f>IF($N101="","",$N101)</f>
        <v/>
      </c>
      <c r="T101" s="153">
        <f>IF($N101="","",$N101*(1+$Q101))</f>
        <v/>
      </c>
      <c r="U101" s="150">
        <f>IF($D101="","",IFERROR(INDEX(WBS_CBS!$M$5:$M$16,MATCH($D101,WBS_CBS!$A$5:$A$16,0)),"Yes"))</f>
        <v/>
      </c>
      <c r="V101" s="150">
        <f>IF($D101="","",IFERROR(INDEX(WBS_CBS!$N$5:$N$16,MATCH($D101,WBS_CBS!$A$5:$A$16,0)),"Yes"))</f>
        <v/>
      </c>
      <c r="W101" s="150">
        <f>IF($D101="","",IFERROR(INDEX(WBS_CBS!$K$5:$K$16,MATCH($D101,WBS_CBS!$A$5:$A$16,0)),""))</f>
        <v/>
      </c>
      <c r="X101" s="150">
        <f>IF($D101="","",IFERROR(INDEX(WBS_CBS!$F$5:$F$16,MATCH($D101,WBS_CBS!$A$5:$A$16,0)),""))</f>
        <v/>
      </c>
      <c r="Y101" s="149" t="n"/>
      <c r="Z101" s="149" t="n"/>
      <c r="AA101" s="150">
        <f>IF($D101="","",IFERROR(INDEX(WBS_CBS!$L$5:$L$16,MATCH($D101,WBS_CBS!$A$5:$A$16,0)),""))</f>
        <v/>
      </c>
      <c r="AB101" s="149" t="n"/>
    </row>
    <row r="102">
      <c r="A102" s="149" t="n"/>
      <c r="B102" s="149" t="n"/>
      <c r="C102" s="150">
        <f>IF($D102="","",IFERROR(INDEX(WBS_CBS!$E$5:$E$16,MATCH($D102,WBS_CBS!$A$5:$A$16,0)),""))</f>
        <v/>
      </c>
      <c r="D102" s="149" t="n"/>
      <c r="E102" s="150">
        <f>IF($D102="","",IFERROR(INDEX(WBS_CBS!$C$5:$C$16,MATCH($D102,WBS_CBS!$A$5:$A$16,0)),""))</f>
        <v/>
      </c>
      <c r="F102" s="150">
        <f>IF($D102="","",IFERROR(INDEX(WBS_CBS!$J$5:$J$16,MATCH($D102,WBS_CBS!$A$5:$A$16,0)),""))</f>
        <v/>
      </c>
      <c r="G102" s="149" t="n"/>
      <c r="H102" s="151" t="n"/>
      <c r="I102" s="149" t="n"/>
      <c r="J102" s="152" t="n"/>
      <c r="K102" s="149" t="n"/>
      <c r="L102" s="153">
        <f>IF($K102="","",IFERROR(INDEX(FX_Rates!$B$5:$B$14,MATCH($K102,FX_Rates!$A$5:$A$14,0)),""))</f>
        <v/>
      </c>
      <c r="M102" s="153">
        <f>IF(OR($H102="",$J102=""),"",$H102*$J102)</f>
        <v/>
      </c>
      <c r="N102" s="153">
        <f>IF(OR($M102="",$L102=""),"",$M102*$L102)</f>
        <v/>
      </c>
      <c r="O102" s="149" t="n"/>
      <c r="P102" s="154">
        <f>IF($O102="","",IFERROR(INDEX(Basis_of_Estimate!$C$5:$C$9,MATCH($O102,Basis_of_Estimate!$A$5:$A$9,0)),""))</f>
        <v/>
      </c>
      <c r="Q102" s="154">
        <f>IF($O102="","",IFERROR(INDEX(Basis_of_Estimate!$D$5:$D$9,MATCH($O102,Basis_of_Estimate!$A$5:$A$9,0)),""))</f>
        <v/>
      </c>
      <c r="R102" s="153">
        <f>IF($N102="","",$N102*(1+$P102))</f>
        <v/>
      </c>
      <c r="S102" s="153">
        <f>IF($N102="","",$N102)</f>
        <v/>
      </c>
      <c r="T102" s="153">
        <f>IF($N102="","",$N102*(1+$Q102))</f>
        <v/>
      </c>
      <c r="U102" s="150">
        <f>IF($D102="","",IFERROR(INDEX(WBS_CBS!$M$5:$M$16,MATCH($D102,WBS_CBS!$A$5:$A$16,0)),"Yes"))</f>
        <v/>
      </c>
      <c r="V102" s="150">
        <f>IF($D102="","",IFERROR(INDEX(WBS_CBS!$N$5:$N$16,MATCH($D102,WBS_CBS!$A$5:$A$16,0)),"Yes"))</f>
        <v/>
      </c>
      <c r="W102" s="150">
        <f>IF($D102="","",IFERROR(INDEX(WBS_CBS!$K$5:$K$16,MATCH($D102,WBS_CBS!$A$5:$A$16,0)),""))</f>
        <v/>
      </c>
      <c r="X102" s="150">
        <f>IF($D102="","",IFERROR(INDEX(WBS_CBS!$F$5:$F$16,MATCH($D102,WBS_CBS!$A$5:$A$16,0)),""))</f>
        <v/>
      </c>
      <c r="Y102" s="149" t="n"/>
      <c r="Z102" s="149" t="n"/>
      <c r="AA102" s="150">
        <f>IF($D102="","",IFERROR(INDEX(WBS_CBS!$L$5:$L$16,MATCH($D102,WBS_CBS!$A$5:$A$16,0)),""))</f>
        <v/>
      </c>
      <c r="AB102" s="149" t="n"/>
    </row>
    <row r="103">
      <c r="A103" s="149" t="n"/>
      <c r="B103" s="149" t="n"/>
      <c r="C103" s="150">
        <f>IF($D103="","",IFERROR(INDEX(WBS_CBS!$E$5:$E$16,MATCH($D103,WBS_CBS!$A$5:$A$16,0)),""))</f>
        <v/>
      </c>
      <c r="D103" s="149" t="n"/>
      <c r="E103" s="150">
        <f>IF($D103="","",IFERROR(INDEX(WBS_CBS!$C$5:$C$16,MATCH($D103,WBS_CBS!$A$5:$A$16,0)),""))</f>
        <v/>
      </c>
      <c r="F103" s="150">
        <f>IF($D103="","",IFERROR(INDEX(WBS_CBS!$J$5:$J$16,MATCH($D103,WBS_CBS!$A$5:$A$16,0)),""))</f>
        <v/>
      </c>
      <c r="G103" s="149" t="n"/>
      <c r="H103" s="151" t="n"/>
      <c r="I103" s="149" t="n"/>
      <c r="J103" s="152" t="n"/>
      <c r="K103" s="149" t="n"/>
      <c r="L103" s="153">
        <f>IF($K103="","",IFERROR(INDEX(FX_Rates!$B$5:$B$14,MATCH($K103,FX_Rates!$A$5:$A$14,0)),""))</f>
        <v/>
      </c>
      <c r="M103" s="153">
        <f>IF(OR($H103="",$J103=""),"",$H103*$J103)</f>
        <v/>
      </c>
      <c r="N103" s="153">
        <f>IF(OR($M103="",$L103=""),"",$M103*$L103)</f>
        <v/>
      </c>
      <c r="O103" s="149" t="n"/>
      <c r="P103" s="154">
        <f>IF($O103="","",IFERROR(INDEX(Basis_of_Estimate!$C$5:$C$9,MATCH($O103,Basis_of_Estimate!$A$5:$A$9,0)),""))</f>
        <v/>
      </c>
      <c r="Q103" s="154">
        <f>IF($O103="","",IFERROR(INDEX(Basis_of_Estimate!$D$5:$D$9,MATCH($O103,Basis_of_Estimate!$A$5:$A$9,0)),""))</f>
        <v/>
      </c>
      <c r="R103" s="153">
        <f>IF($N103="","",$N103*(1+$P103))</f>
        <v/>
      </c>
      <c r="S103" s="153">
        <f>IF($N103="","",$N103)</f>
        <v/>
      </c>
      <c r="T103" s="153">
        <f>IF($N103="","",$N103*(1+$Q103))</f>
        <v/>
      </c>
      <c r="U103" s="150">
        <f>IF($D103="","",IFERROR(INDEX(WBS_CBS!$M$5:$M$16,MATCH($D103,WBS_CBS!$A$5:$A$16,0)),"Yes"))</f>
        <v/>
      </c>
      <c r="V103" s="150">
        <f>IF($D103="","",IFERROR(INDEX(WBS_CBS!$N$5:$N$16,MATCH($D103,WBS_CBS!$A$5:$A$16,0)),"Yes"))</f>
        <v/>
      </c>
      <c r="W103" s="150">
        <f>IF($D103="","",IFERROR(INDEX(WBS_CBS!$K$5:$K$16,MATCH($D103,WBS_CBS!$A$5:$A$16,0)),""))</f>
        <v/>
      </c>
      <c r="X103" s="150">
        <f>IF($D103="","",IFERROR(INDEX(WBS_CBS!$F$5:$F$16,MATCH($D103,WBS_CBS!$A$5:$A$16,0)),""))</f>
        <v/>
      </c>
      <c r="Y103" s="149" t="n"/>
      <c r="Z103" s="149" t="n"/>
      <c r="AA103" s="150">
        <f>IF($D103="","",IFERROR(INDEX(WBS_CBS!$L$5:$L$16,MATCH($D103,WBS_CBS!$A$5:$A$16,0)),""))</f>
        <v/>
      </c>
      <c r="AB103" s="149" t="n"/>
    </row>
    <row r="104">
      <c r="A104" s="149" t="n"/>
      <c r="B104" s="149" t="n"/>
      <c r="C104" s="150">
        <f>IF($D104="","",IFERROR(INDEX(WBS_CBS!$E$5:$E$16,MATCH($D104,WBS_CBS!$A$5:$A$16,0)),""))</f>
        <v/>
      </c>
      <c r="D104" s="149" t="n"/>
      <c r="E104" s="150">
        <f>IF($D104="","",IFERROR(INDEX(WBS_CBS!$C$5:$C$16,MATCH($D104,WBS_CBS!$A$5:$A$16,0)),""))</f>
        <v/>
      </c>
      <c r="F104" s="150">
        <f>IF($D104="","",IFERROR(INDEX(WBS_CBS!$J$5:$J$16,MATCH($D104,WBS_CBS!$A$5:$A$16,0)),""))</f>
        <v/>
      </c>
      <c r="G104" s="149" t="n"/>
      <c r="H104" s="151" t="n"/>
      <c r="I104" s="149" t="n"/>
      <c r="J104" s="152" t="n"/>
      <c r="K104" s="149" t="n"/>
      <c r="L104" s="153">
        <f>IF($K104="","",IFERROR(INDEX(FX_Rates!$B$5:$B$14,MATCH($K104,FX_Rates!$A$5:$A$14,0)),""))</f>
        <v/>
      </c>
      <c r="M104" s="153">
        <f>IF(OR($H104="",$J104=""),"",$H104*$J104)</f>
        <v/>
      </c>
      <c r="N104" s="153">
        <f>IF(OR($M104="",$L104=""),"",$M104*$L104)</f>
        <v/>
      </c>
      <c r="O104" s="149" t="n"/>
      <c r="P104" s="154">
        <f>IF($O104="","",IFERROR(INDEX(Basis_of_Estimate!$C$5:$C$9,MATCH($O104,Basis_of_Estimate!$A$5:$A$9,0)),""))</f>
        <v/>
      </c>
      <c r="Q104" s="154">
        <f>IF($O104="","",IFERROR(INDEX(Basis_of_Estimate!$D$5:$D$9,MATCH($O104,Basis_of_Estimate!$A$5:$A$9,0)),""))</f>
        <v/>
      </c>
      <c r="R104" s="153">
        <f>IF($N104="","",$N104*(1+$P104))</f>
        <v/>
      </c>
      <c r="S104" s="153">
        <f>IF($N104="","",$N104)</f>
        <v/>
      </c>
      <c r="T104" s="153">
        <f>IF($N104="","",$N104*(1+$Q104))</f>
        <v/>
      </c>
      <c r="U104" s="150">
        <f>IF($D104="","",IFERROR(INDEX(WBS_CBS!$M$5:$M$16,MATCH($D104,WBS_CBS!$A$5:$A$16,0)),"Yes"))</f>
        <v/>
      </c>
      <c r="V104" s="150">
        <f>IF($D104="","",IFERROR(INDEX(WBS_CBS!$N$5:$N$16,MATCH($D104,WBS_CBS!$A$5:$A$16,0)),"Yes"))</f>
        <v/>
      </c>
      <c r="W104" s="150">
        <f>IF($D104="","",IFERROR(INDEX(WBS_CBS!$K$5:$K$16,MATCH($D104,WBS_CBS!$A$5:$A$16,0)),""))</f>
        <v/>
      </c>
      <c r="X104" s="150">
        <f>IF($D104="","",IFERROR(INDEX(WBS_CBS!$F$5:$F$16,MATCH($D104,WBS_CBS!$A$5:$A$16,0)),""))</f>
        <v/>
      </c>
      <c r="Y104" s="149" t="n"/>
      <c r="Z104" s="149" t="n"/>
      <c r="AA104" s="150">
        <f>IF($D104="","",IFERROR(INDEX(WBS_CBS!$L$5:$L$16,MATCH($D104,WBS_CBS!$A$5:$A$16,0)),""))</f>
        <v/>
      </c>
      <c r="AB104" s="149" t="n"/>
    </row>
  </sheetData>
  <mergeCells count="2">
    <mergeCell ref="A2:AB2"/>
    <mergeCell ref="A1:AB1"/>
  </mergeCells>
  <dataValidations count="19">
    <dataValidation sqref="C5:C104" showDropDown="0" showInputMessage="0" showErrorMessage="0" allowBlank="0" type="list">
      <formula1>"Process,Mechanical,Piping,Civil,Electrical,Instrumentation,Automation,Construction,Project Management,Procurement,HSE,Commissioning,Owner,Other"</formula1>
    </dataValidation>
    <dataValidation sqref="D5:D104" showDropDown="0" showInputMessage="0" showErrorMessage="0" allowBlank="0" type="list">
      <formula1>"1.0,2.0,3.0,4.0,5.0,6.0,7.0,8.0,9.0,10.0,11.0,12.0"</formula1>
    </dataValidation>
    <dataValidation sqref="E5:E104" showDropDown="0" showInputMessage="0" showErrorMessage="0" allowBlank="0" type="list">
      <formula1>"PM,ENG,PROC,EQP,BULK,CIV,ELE,I&amp;A,CON,COM,OWN,OTH"</formula1>
    </dataValidation>
    <dataValidation sqref="F5:F104" showDropDown="0" showInputMessage="0" showErrorMessage="0" allowBlank="0" type="list">
      <formula1>"Direct Cost,Indirect Cost,Owner Cost,Manpower Cost,Other Cost"</formula1>
    </dataValidation>
    <dataValidation sqref="G5:G104" showDropDown="0" showInputMessage="0" showErrorMessage="0" allowBlank="0" type="list">
      <formula1>"Equipment,Bulk Material,Construction,Engineering,EPCM,Owner,Labour,Freight,Spares,Other"</formula1>
    </dataValidation>
    <dataValidation sqref="I5:I104" showDropDown="0" showInputMessage="0" showErrorMessage="0" allowBlank="0" type="list">
      <formula1>"lot,each,m,m2,m3,kg,ton,h,month,FTE-month"</formula1>
    </dataValidation>
    <dataValidation sqref="K5:K104" showDropDown="0" showInputMessage="0" showErrorMessage="0" allowBlank="0" type="list">
      <formula1>"EUR,USD,GBP,CHF,DKK,SEK,NOK,PLN,TRY,MAD"</formula1>
    </dataValidation>
    <dataValidation sqref="O5:O104" showDropDown="0" showInputMessage="0" showErrorMessage="0" allowBlank="0" type="list">
      <formula1>"Class 5,Class 4,Class 3,Class 2,Class 1"</formula1>
    </dataValidation>
    <dataValidation sqref="U5:V104" showDropDown="0" showInputMessage="0" showErrorMessage="0" allowBlank="0" type="list">
      <formula1>"Yes,No"</formula1>
    </dataValidation>
    <dataValidation sqref="W5:X104" showDropDown="0" showInputMessage="0" showErrorMessage="0" allowBlank="0" type="list">
      <formula1>"Engineering,Procurement,Construction,Commissioning,Other"</formula1>
    </dataValidation>
    <dataValidation sqref="AA5:AA104" showDropDown="0" showInputMessage="0" showErrorMessage="0" allowBlank="0" type="list">
      <formula1>"Linear,Front Loaded,Back Loaded,Bell Curve,Manual"</formula1>
    </dataValidation>
    <dataValidation sqref="D5:D104" showDropDown="0" showInputMessage="0" showErrorMessage="0" allowBlank="1" errorTitle="Invalid selection" error="Select a value from the list." type="list">
      <formula1>WBS_CBS!$A$5:$A$16</formula1>
    </dataValidation>
    <dataValidation sqref="K5:K104" showDropDown="0" showInputMessage="0" showErrorMessage="0" allowBlank="1" errorTitle="Invalid selection" error="Select a value from the list." type="list">
      <formula1>FX_Rates!$A$5:$A$14</formula1>
    </dataValidation>
    <dataValidation sqref="O5:O104" showDropDown="0" showInputMessage="0" showErrorMessage="0" allowBlank="1" errorTitle="Invalid selection" error="Select a value from the list." type="list">
      <formula1>Basis_of_Estimate!$A$5:$A$9</formula1>
    </dataValidation>
    <dataValidation sqref="U5:U104" showDropDown="0" showInputMessage="0" showErrorMessage="0" allowBlank="1" errorTitle="Invalid selection" error="Select a value from the list." type="list">
      <formula1>Lists_Config!$E$5:$E$6</formula1>
    </dataValidation>
    <dataValidation sqref="V5:V104" showDropDown="0" showInputMessage="0" showErrorMessage="0" allowBlank="1" errorTitle="Invalid selection" error="Select a value from the list." type="list">
      <formula1>Lists_Config!$E$5:$E$6</formula1>
    </dataValidation>
    <dataValidation sqref="AA5:AA104" showDropDown="0" showInputMessage="0" showErrorMessage="0" allowBlank="1" errorTitle="Invalid selection" error="Select a value from the list." type="list">
      <formula1>Lists_Config!$I$5:$I$8</formula1>
    </dataValidation>
    <dataValidation sqref="I5:I104" showDropDown="0" showInputMessage="0" showErrorMessage="0" allowBlank="1" errorTitle="Invalid selection" error="Select a value from the list." type="list">
      <formula1>Lists_Config!$J$5:$J$14</formula1>
    </dataValidation>
    <dataValidation sqref="G5:G104" showDropDown="0" showInputMessage="0" showErrorMessage="0" allowBlank="1" errorTitle="Invalid selection" error="Select a value from the list." type="list">
      <formula1>Lists_Config!$C$5:$C$13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4.25"/>
  <cols>
    <col width="28" customWidth="1" style="70" min="1" max="1"/>
    <col width="18" customWidth="1" style="70" min="2" max="4"/>
    <col width="16" customWidth="1" style="70" min="5" max="9"/>
    <col width="28" customWidth="1" style="70" min="10" max="10"/>
  </cols>
  <sheetData>
    <row r="1" ht="27.95000076293945" customHeight="1" s="70">
      <c r="A1" s="66" t="inlineStr">
        <is>
          <t>Resource Rates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Hourly rate based resource database. Monthly rate = hourly rate × hours/month.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</row>
    <row r="4" ht="24" customHeight="1" s="70">
      <c r="A4" s="71" t="inlineStr">
        <is>
          <t>Role</t>
        </is>
      </c>
      <c r="B4" s="71" t="inlineStr">
        <is>
          <t>Discipline</t>
        </is>
      </c>
      <c r="C4" s="71" t="inlineStr">
        <is>
          <t>Location</t>
        </is>
      </c>
      <c r="D4" s="71" t="inlineStr">
        <is>
          <t>Currency</t>
        </is>
      </c>
      <c r="E4" s="71" t="inlineStr">
        <is>
          <t>Hourly Rate</t>
        </is>
      </c>
      <c r="F4" s="71" t="inlineStr">
        <is>
          <t>Hours per Month</t>
        </is>
      </c>
      <c r="G4" s="71" t="inlineStr">
        <is>
          <t>Monthly Rate</t>
        </is>
      </c>
      <c r="H4" s="71" t="inlineStr">
        <is>
          <t>FX Rate</t>
        </is>
      </c>
      <c r="I4" s="71" t="inlineStr">
        <is>
          <t>Monthly Rate EUR</t>
        </is>
      </c>
      <c r="J4" s="71" t="inlineStr">
        <is>
          <t>Notes</t>
        </is>
      </c>
    </row>
    <row r="5">
      <c r="A5" s="75" t="inlineStr">
        <is>
          <t>Project Manager</t>
        </is>
      </c>
      <c r="B5" s="75" t="inlineStr">
        <is>
          <t>Project Management</t>
        </is>
      </c>
      <c r="C5" s="75" t="inlineStr">
        <is>
          <t>Spain</t>
        </is>
      </c>
      <c r="D5" s="75" t="inlineStr">
        <is>
          <t>EUR</t>
        </is>
      </c>
      <c r="E5" s="85" t="n">
        <v>130</v>
      </c>
      <c r="F5" s="85" t="n">
        <v>160</v>
      </c>
      <c r="G5" s="87">
        <f>E5*F5</f>
        <v/>
      </c>
      <c r="H5" s="87">
        <f>IFERROR(VLOOKUP(D5,FX_Rates!$A$5:$B$20,2,FALSE),1)</f>
        <v/>
      </c>
      <c r="I5" s="87">
        <f>G5*H5</f>
        <v/>
      </c>
      <c r="J5" t="inlineStr">
        <is>
          <t>Demo rate</t>
        </is>
      </c>
    </row>
    <row r="6">
      <c r="A6" s="75" t="inlineStr">
        <is>
          <t>Engineering Manager</t>
        </is>
      </c>
      <c r="B6" s="75" t="inlineStr">
        <is>
          <t>Project Management</t>
        </is>
      </c>
      <c r="C6" s="75" t="inlineStr">
        <is>
          <t>Spain</t>
        </is>
      </c>
      <c r="D6" s="75" t="inlineStr">
        <is>
          <t>EUR</t>
        </is>
      </c>
      <c r="E6" s="85" t="n">
        <v>120</v>
      </c>
      <c r="F6" s="85" t="n">
        <v>160</v>
      </c>
      <c r="G6" s="87">
        <f>E6*F6</f>
        <v/>
      </c>
      <c r="H6" s="87">
        <f>IFERROR(VLOOKUP(D6,FX_Rates!$A$5:$B$20,2,FALSE),1)</f>
        <v/>
      </c>
      <c r="I6" s="87">
        <f>G6*H6</f>
        <v/>
      </c>
      <c r="J6" t="inlineStr">
        <is>
          <t>Demo rate</t>
        </is>
      </c>
    </row>
    <row r="7">
      <c r="A7" s="75" t="inlineStr">
        <is>
          <t>Project Controls Lead</t>
        </is>
      </c>
      <c r="B7" s="75" t="inlineStr">
        <is>
          <t>Project Management</t>
        </is>
      </c>
      <c r="C7" s="75" t="inlineStr">
        <is>
          <t>Spain</t>
        </is>
      </c>
      <c r="D7" s="75" t="inlineStr">
        <is>
          <t>EUR</t>
        </is>
      </c>
      <c r="E7" s="85" t="n">
        <v>95</v>
      </c>
      <c r="F7" s="85" t="n">
        <v>160</v>
      </c>
      <c r="G7" s="87">
        <f>E7*F7</f>
        <v/>
      </c>
      <c r="H7" s="87">
        <f>IFERROR(VLOOKUP(D7,FX_Rates!$A$5:$B$20,2,FALSE),1)</f>
        <v/>
      </c>
      <c r="I7" s="87">
        <f>G7*H7</f>
        <v/>
      </c>
      <c r="J7" t="inlineStr">
        <is>
          <t>Demo rate</t>
        </is>
      </c>
    </row>
    <row r="8">
      <c r="A8" s="75" t="inlineStr">
        <is>
          <t>Cost Estimator</t>
        </is>
      </c>
      <c r="B8" s="75" t="inlineStr">
        <is>
          <t>Project Management</t>
        </is>
      </c>
      <c r="C8" s="75" t="inlineStr">
        <is>
          <t>Remote</t>
        </is>
      </c>
      <c r="D8" s="75" t="inlineStr">
        <is>
          <t>EUR</t>
        </is>
      </c>
      <c r="E8" s="85" t="n">
        <v>90</v>
      </c>
      <c r="F8" s="85" t="n">
        <v>160</v>
      </c>
      <c r="G8" s="87">
        <f>E8*F8</f>
        <v/>
      </c>
      <c r="H8" s="87">
        <f>IFERROR(VLOOKUP(D8,FX_Rates!$A$5:$B$20,2,FALSE),1)</f>
        <v/>
      </c>
      <c r="I8" s="87">
        <f>G8*H8</f>
        <v/>
      </c>
      <c r="J8" t="inlineStr">
        <is>
          <t>Demo rate</t>
        </is>
      </c>
    </row>
    <row r="9">
      <c r="A9" s="75" t="inlineStr">
        <is>
          <t>Planner / Scheduler</t>
        </is>
      </c>
      <c r="B9" s="75" t="inlineStr">
        <is>
          <t>Project Management</t>
        </is>
      </c>
      <c r="C9" s="75" t="inlineStr">
        <is>
          <t>Remote</t>
        </is>
      </c>
      <c r="D9" s="75" t="inlineStr">
        <is>
          <t>EUR</t>
        </is>
      </c>
      <c r="E9" s="85" t="n">
        <v>85</v>
      </c>
      <c r="F9" s="85" t="n">
        <v>160</v>
      </c>
      <c r="G9" s="87">
        <f>E9*F9</f>
        <v/>
      </c>
      <c r="H9" s="87">
        <f>IFERROR(VLOOKUP(D9,FX_Rates!$A$5:$B$20,2,FALSE),1)</f>
        <v/>
      </c>
      <c r="I9" s="87">
        <f>G9*H9</f>
        <v/>
      </c>
      <c r="J9" t="inlineStr">
        <is>
          <t>Demo rate</t>
        </is>
      </c>
    </row>
    <row r="10">
      <c r="A10" s="75" t="inlineStr">
        <is>
          <t>Process Engineer</t>
        </is>
      </c>
      <c r="B10" s="75" t="inlineStr">
        <is>
          <t>Process</t>
        </is>
      </c>
      <c r="C10" s="75" t="inlineStr">
        <is>
          <t>Remote</t>
        </is>
      </c>
      <c r="D10" s="75" t="inlineStr">
        <is>
          <t>EUR</t>
        </is>
      </c>
      <c r="E10" s="85" t="n">
        <v>90</v>
      </c>
      <c r="F10" s="85" t="n">
        <v>160</v>
      </c>
      <c r="G10" s="87">
        <f>E10*F10</f>
        <v/>
      </c>
      <c r="H10" s="87">
        <f>IFERROR(VLOOKUP(D10,FX_Rates!$A$5:$B$20,2,FALSE),1)</f>
        <v/>
      </c>
      <c r="I10" s="87">
        <f>G10*H10</f>
        <v/>
      </c>
      <c r="J10" t="inlineStr">
        <is>
          <t>Demo rate</t>
        </is>
      </c>
    </row>
    <row r="11">
      <c r="A11" s="75" t="inlineStr">
        <is>
          <t>Procurement Lead</t>
        </is>
      </c>
      <c r="B11" s="75" t="inlineStr">
        <is>
          <t>Procurement</t>
        </is>
      </c>
      <c r="C11" s="75" t="inlineStr">
        <is>
          <t>Spain</t>
        </is>
      </c>
      <c r="D11" s="75" t="inlineStr">
        <is>
          <t>EUR</t>
        </is>
      </c>
      <c r="E11" s="85" t="n">
        <v>90</v>
      </c>
      <c r="F11" s="85" t="n">
        <v>160</v>
      </c>
      <c r="G11" s="87">
        <f>E11*F11</f>
        <v/>
      </c>
      <c r="H11" s="87">
        <f>IFERROR(VLOOKUP(D11,FX_Rates!$A$5:$B$20,2,FALSE),1)</f>
        <v/>
      </c>
      <c r="I11" s="87">
        <f>G11*H11</f>
        <v/>
      </c>
      <c r="J11" t="inlineStr">
        <is>
          <t>Demo rate</t>
        </is>
      </c>
    </row>
    <row r="12">
      <c r="A12" s="75" t="inlineStr">
        <is>
          <t>Construction Manager</t>
        </is>
      </c>
      <c r="B12" s="75" t="inlineStr">
        <is>
          <t>Construction</t>
        </is>
      </c>
      <c r="C12" s="75" t="inlineStr">
        <is>
          <t>Spain</t>
        </is>
      </c>
      <c r="D12" s="75" t="inlineStr">
        <is>
          <t>EUR</t>
        </is>
      </c>
      <c r="E12" s="85" t="n">
        <v>115</v>
      </c>
      <c r="F12" s="85" t="n">
        <v>160</v>
      </c>
      <c r="G12" s="87">
        <f>E12*F12</f>
        <v/>
      </c>
      <c r="H12" s="87">
        <f>IFERROR(VLOOKUP(D12,FX_Rates!$A$5:$B$20,2,FALSE),1)</f>
        <v/>
      </c>
      <c r="I12" s="87">
        <f>G12*H12</f>
        <v/>
      </c>
      <c r="J12" t="inlineStr">
        <is>
          <t>Demo rate</t>
        </is>
      </c>
    </row>
    <row r="13">
      <c r="A13" s="75" t="inlineStr">
        <is>
          <t>HSE Manager</t>
        </is>
      </c>
      <c r="B13" s="75" t="inlineStr">
        <is>
          <t>HSE</t>
        </is>
      </c>
      <c r="C13" s="75" t="inlineStr">
        <is>
          <t>Spain</t>
        </is>
      </c>
      <c r="D13" s="75" t="inlineStr">
        <is>
          <t>EUR</t>
        </is>
      </c>
      <c r="E13" s="85" t="n">
        <v>85</v>
      </c>
      <c r="F13" s="85" t="n">
        <v>160</v>
      </c>
      <c r="G13" s="87">
        <f>E13*F13</f>
        <v/>
      </c>
      <c r="H13" s="87">
        <f>IFERROR(VLOOKUP(D13,FX_Rates!$A$5:$B$20,2,FALSE),1)</f>
        <v/>
      </c>
      <c r="I13" s="87">
        <f>G13*H13</f>
        <v/>
      </c>
      <c r="J13" t="inlineStr">
        <is>
          <t>Demo rate</t>
        </is>
      </c>
    </row>
    <row r="14">
      <c r="A14" s="75" t="inlineStr">
        <is>
          <t>Commissioning Lead</t>
        </is>
      </c>
      <c r="B14" s="75" t="inlineStr">
        <is>
          <t>Commissioning</t>
        </is>
      </c>
      <c r="C14" s="75" t="inlineStr">
        <is>
          <t>Spain</t>
        </is>
      </c>
      <c r="D14" s="75" t="inlineStr">
        <is>
          <t>EUR</t>
        </is>
      </c>
      <c r="E14" s="85" t="n">
        <v>110</v>
      </c>
      <c r="F14" s="85" t="n">
        <v>160</v>
      </c>
      <c r="G14" s="87">
        <f>E14*F14</f>
        <v/>
      </c>
      <c r="H14" s="87">
        <f>IFERROR(VLOOKUP(D14,FX_Rates!$A$5:$B$20,2,FALSE),1)</f>
        <v/>
      </c>
      <c r="I14" s="87">
        <f>G14*H14</f>
        <v/>
      </c>
      <c r="J14" t="inlineStr">
        <is>
          <t>Demo rate</t>
        </is>
      </c>
    </row>
    <row r="15">
      <c r="A15" s="75" t="inlineStr">
        <is>
          <t>Document Controller</t>
        </is>
      </c>
      <c r="B15" s="75" t="inlineStr">
        <is>
          <t>Project Management</t>
        </is>
      </c>
      <c r="C15" s="75" t="inlineStr">
        <is>
          <t>Remote</t>
        </is>
      </c>
      <c r="D15" s="75" t="inlineStr">
        <is>
          <t>EUR</t>
        </is>
      </c>
      <c r="E15" s="85" t="n">
        <v>60</v>
      </c>
      <c r="F15" s="85" t="n">
        <v>160</v>
      </c>
      <c r="G15" s="87">
        <f>E15*F15</f>
        <v/>
      </c>
      <c r="H15" s="87">
        <f>IFERROR(VLOOKUP(D15,FX_Rates!$A$5:$B$20,2,FALSE),1)</f>
        <v/>
      </c>
      <c r="I15" s="87">
        <f>G15*H15</f>
        <v/>
      </c>
      <c r="J15" t="inlineStr">
        <is>
          <t>Demo rate</t>
        </is>
      </c>
    </row>
    <row r="16">
      <c r="A16" s="75" t="n"/>
      <c r="B16" s="75" t="n"/>
      <c r="C16" s="75" t="n"/>
      <c r="D16" s="75" t="n"/>
      <c r="E16" s="85" t="n"/>
      <c r="F16" s="85" t="n"/>
      <c r="G16" s="87" t="n"/>
      <c r="H16" s="87" t="n"/>
      <c r="I16" s="87" t="n"/>
    </row>
    <row r="17">
      <c r="A17" s="75" t="n"/>
      <c r="B17" s="75" t="n"/>
      <c r="C17" s="75" t="n"/>
      <c r="D17" s="75" t="n"/>
      <c r="E17" s="85" t="n"/>
      <c r="F17" s="85" t="n"/>
      <c r="G17" s="87" t="n"/>
      <c r="H17" s="87" t="n"/>
      <c r="I17" s="87" t="n"/>
    </row>
    <row r="18">
      <c r="A18" s="75" t="n"/>
      <c r="B18" s="75" t="n"/>
      <c r="C18" s="75" t="n"/>
      <c r="D18" s="75" t="n"/>
      <c r="E18" s="85" t="n"/>
      <c r="F18" s="85" t="n"/>
      <c r="G18" s="87" t="n"/>
      <c r="H18" s="87" t="n"/>
      <c r="I18" s="87" t="n"/>
    </row>
    <row r="19">
      <c r="A19" s="75" t="n"/>
      <c r="B19" s="75" t="n"/>
      <c r="C19" s="75" t="n"/>
      <c r="D19" s="75" t="n"/>
      <c r="E19" s="85" t="n"/>
      <c r="F19" s="85" t="n"/>
      <c r="G19" s="87" t="n"/>
      <c r="H19" s="87" t="n"/>
      <c r="I19" s="87" t="n"/>
    </row>
    <row r="20">
      <c r="A20" s="75" t="n"/>
      <c r="B20" s="75" t="n"/>
      <c r="C20" s="75" t="n"/>
      <c r="D20" s="75" t="n"/>
      <c r="E20" s="85" t="n"/>
      <c r="F20" s="85" t="n"/>
      <c r="G20" s="87" t="n"/>
      <c r="H20" s="87" t="n"/>
      <c r="I20" s="87" t="n"/>
    </row>
    <row r="21">
      <c r="A21" s="75" t="n"/>
      <c r="B21" s="75" t="n"/>
      <c r="C21" s="75" t="n"/>
      <c r="D21" s="75" t="n"/>
      <c r="E21" s="85" t="n"/>
      <c r="F21" s="85" t="n"/>
      <c r="G21" s="87" t="n"/>
      <c r="H21" s="87" t="n"/>
      <c r="I21" s="87" t="n"/>
    </row>
    <row r="22">
      <c r="A22" s="75" t="n"/>
      <c r="B22" s="75" t="n"/>
      <c r="C22" s="75" t="n"/>
      <c r="D22" s="75" t="n"/>
      <c r="E22" s="85" t="n"/>
      <c r="F22" s="85" t="n"/>
      <c r="G22" s="87" t="n"/>
      <c r="H22" s="87" t="n"/>
      <c r="I22" s="87" t="n"/>
    </row>
    <row r="23">
      <c r="A23" s="75" t="n"/>
      <c r="B23" s="75" t="n"/>
      <c r="C23" s="75" t="n"/>
      <c r="D23" s="75" t="n"/>
      <c r="E23" s="85" t="n"/>
      <c r="F23" s="85" t="n"/>
      <c r="G23" s="87" t="n"/>
      <c r="H23" s="87" t="n"/>
      <c r="I23" s="87" t="n"/>
    </row>
    <row r="24">
      <c r="A24" s="75" t="n"/>
      <c r="B24" s="75" t="n"/>
      <c r="C24" s="75" t="n"/>
      <c r="D24" s="75" t="n"/>
      <c r="E24" s="85" t="n"/>
      <c r="F24" s="85" t="n"/>
      <c r="G24" s="87" t="n"/>
      <c r="H24" s="87" t="n"/>
      <c r="I24" s="87" t="n"/>
    </row>
    <row r="25">
      <c r="A25" s="75" t="n"/>
      <c r="B25" s="75" t="n"/>
      <c r="C25" s="75" t="n"/>
      <c r="D25" s="75" t="n"/>
      <c r="E25" s="85" t="n"/>
      <c r="F25" s="85" t="n"/>
      <c r="G25" s="87" t="n"/>
      <c r="H25" s="87" t="n"/>
      <c r="I25" s="87" t="n"/>
    </row>
    <row r="26">
      <c r="A26" s="75" t="n"/>
      <c r="B26" s="75" t="n"/>
      <c r="C26" s="75" t="n"/>
      <c r="D26" s="75" t="n"/>
      <c r="E26" s="85" t="n"/>
      <c r="F26" s="85" t="n"/>
      <c r="G26" s="87" t="n"/>
      <c r="H26" s="87" t="n"/>
      <c r="I26" s="87" t="n"/>
    </row>
    <row r="27">
      <c r="A27" s="75" t="n"/>
      <c r="B27" s="75" t="n"/>
      <c r="C27" s="75" t="n"/>
      <c r="D27" s="75" t="n"/>
      <c r="E27" s="85" t="n"/>
      <c r="F27" s="85" t="n"/>
      <c r="G27" s="87" t="n"/>
      <c r="H27" s="87" t="n"/>
      <c r="I27" s="87" t="n"/>
    </row>
    <row r="28">
      <c r="A28" s="75" t="n"/>
      <c r="B28" s="75" t="n"/>
      <c r="C28" s="75" t="n"/>
      <c r="D28" s="75" t="n"/>
      <c r="E28" s="85" t="n"/>
      <c r="F28" s="85" t="n"/>
      <c r="G28" s="87" t="n"/>
      <c r="H28" s="87" t="n"/>
      <c r="I28" s="87" t="n"/>
    </row>
    <row r="29">
      <c r="A29" s="75" t="n"/>
      <c r="B29" s="75" t="n"/>
      <c r="C29" s="75" t="n"/>
      <c r="D29" s="75" t="n"/>
      <c r="E29" s="85" t="n"/>
      <c r="F29" s="85" t="n"/>
      <c r="G29" s="87" t="n"/>
      <c r="H29" s="87" t="n"/>
      <c r="I29" s="87" t="n"/>
    </row>
    <row r="30">
      <c r="A30" s="75" t="n"/>
      <c r="B30" s="75" t="n"/>
      <c r="C30" s="75" t="n"/>
      <c r="D30" s="75" t="n"/>
      <c r="E30" s="85" t="n"/>
      <c r="F30" s="85" t="n"/>
      <c r="G30" s="87" t="n"/>
      <c r="H30" s="87" t="n"/>
      <c r="I30" s="87" t="n"/>
    </row>
    <row r="31">
      <c r="A31" s="75" t="n"/>
      <c r="B31" s="75" t="n"/>
      <c r="C31" s="75" t="n"/>
      <c r="D31" s="75" t="n"/>
      <c r="E31" s="85" t="n"/>
      <c r="F31" s="85" t="n"/>
      <c r="G31" s="87" t="n"/>
      <c r="H31" s="87" t="n"/>
      <c r="I31" s="87" t="n"/>
    </row>
    <row r="32">
      <c r="A32" s="75" t="n"/>
      <c r="B32" s="75" t="n"/>
      <c r="C32" s="75" t="n"/>
      <c r="D32" s="75" t="n"/>
      <c r="E32" s="85" t="n"/>
      <c r="F32" s="85" t="n"/>
      <c r="G32" s="87" t="n"/>
      <c r="H32" s="87" t="n"/>
      <c r="I32" s="87" t="n"/>
    </row>
    <row r="33">
      <c r="A33" s="75" t="n"/>
      <c r="B33" s="75" t="n"/>
      <c r="C33" s="75" t="n"/>
      <c r="D33" s="75" t="n"/>
      <c r="E33" s="85" t="n"/>
      <c r="F33" s="85" t="n"/>
      <c r="G33" s="87" t="n"/>
      <c r="H33" s="87" t="n"/>
      <c r="I33" s="87" t="n"/>
    </row>
    <row r="34">
      <c r="A34" s="75" t="n"/>
      <c r="B34" s="75" t="n"/>
      <c r="C34" s="75" t="n"/>
      <c r="D34" s="75" t="n"/>
      <c r="E34" s="85" t="n"/>
      <c r="F34" s="85" t="n"/>
      <c r="G34" s="87" t="n"/>
      <c r="H34" s="87" t="n"/>
      <c r="I34" s="87" t="n"/>
    </row>
    <row r="35">
      <c r="A35" s="75" t="n"/>
      <c r="B35" s="75" t="n"/>
      <c r="C35" s="75" t="n"/>
      <c r="D35" s="75" t="n"/>
      <c r="E35" s="85" t="n"/>
      <c r="F35" s="85" t="n"/>
      <c r="G35" s="87" t="n"/>
      <c r="H35" s="87" t="n"/>
      <c r="I35" s="87" t="n"/>
    </row>
    <row r="36">
      <c r="A36" s="75" t="n"/>
      <c r="B36" s="75" t="n"/>
      <c r="C36" s="75" t="n"/>
      <c r="D36" s="75" t="n"/>
      <c r="E36" s="85" t="n"/>
      <c r="F36" s="85" t="n"/>
      <c r="G36" s="87" t="n"/>
      <c r="H36" s="87" t="n"/>
      <c r="I36" s="87" t="n"/>
    </row>
    <row r="37">
      <c r="A37" s="75" t="n"/>
      <c r="B37" s="75" t="n"/>
      <c r="C37" s="75" t="n"/>
      <c r="D37" s="75" t="n"/>
      <c r="E37" s="85" t="n"/>
      <c r="F37" s="85" t="n"/>
      <c r="G37" s="87" t="n"/>
      <c r="H37" s="87" t="n"/>
      <c r="I37" s="87" t="n"/>
    </row>
    <row r="38">
      <c r="A38" s="75" t="n"/>
      <c r="B38" s="75" t="n"/>
      <c r="C38" s="75" t="n"/>
      <c r="D38" s="75" t="n"/>
      <c r="E38" s="85" t="n"/>
      <c r="F38" s="85" t="n"/>
      <c r="G38" s="87" t="n"/>
      <c r="H38" s="87" t="n"/>
      <c r="I38" s="87" t="n"/>
    </row>
    <row r="39">
      <c r="A39" s="75" t="n"/>
      <c r="B39" s="75" t="n"/>
      <c r="C39" s="75" t="n"/>
      <c r="D39" s="75" t="n"/>
      <c r="E39" s="85" t="n"/>
      <c r="F39" s="85" t="n"/>
      <c r="G39" s="87" t="n"/>
      <c r="H39" s="87" t="n"/>
      <c r="I39" s="87" t="n"/>
    </row>
    <row r="40">
      <c r="A40" s="75" t="n"/>
      <c r="B40" s="75" t="n"/>
      <c r="C40" s="75" t="n"/>
      <c r="D40" s="75" t="n"/>
      <c r="E40" s="85" t="n"/>
      <c r="F40" s="85" t="n"/>
      <c r="G40" s="87" t="n"/>
      <c r="H40" s="87" t="n"/>
      <c r="I40" s="87" t="n"/>
    </row>
    <row r="41">
      <c r="A41" s="75" t="n"/>
      <c r="B41" s="75" t="n"/>
      <c r="C41" s="75" t="n"/>
      <c r="D41" s="75" t="n"/>
      <c r="E41" s="85" t="n"/>
      <c r="F41" s="85" t="n"/>
      <c r="G41" s="87" t="n"/>
      <c r="H41" s="87" t="n"/>
      <c r="I41" s="87" t="n"/>
    </row>
    <row r="42">
      <c r="A42" s="75" t="n"/>
      <c r="B42" s="75" t="n"/>
      <c r="C42" s="75" t="n"/>
      <c r="D42" s="75" t="n"/>
      <c r="E42" s="85" t="n"/>
      <c r="F42" s="85" t="n"/>
      <c r="G42" s="87" t="n"/>
      <c r="H42" s="87" t="n"/>
      <c r="I42" s="87" t="n"/>
    </row>
    <row r="43">
      <c r="A43" s="75" t="n"/>
      <c r="B43" s="75" t="n"/>
      <c r="C43" s="75" t="n"/>
      <c r="D43" s="75" t="n"/>
      <c r="E43" s="85" t="n"/>
      <c r="F43" s="85" t="n"/>
      <c r="G43" s="87" t="n"/>
      <c r="H43" s="87" t="n"/>
      <c r="I43" s="87" t="n"/>
    </row>
    <row r="44">
      <c r="A44" s="75" t="n"/>
      <c r="B44" s="75" t="n"/>
      <c r="C44" s="75" t="n"/>
      <c r="D44" s="75" t="n"/>
      <c r="E44" s="85" t="n"/>
      <c r="F44" s="85" t="n"/>
      <c r="G44" s="87" t="n"/>
      <c r="H44" s="87" t="n"/>
      <c r="I44" s="87" t="n"/>
    </row>
    <row r="45">
      <c r="A45" s="75" t="n"/>
      <c r="B45" s="75" t="n"/>
      <c r="C45" s="75" t="n"/>
      <c r="D45" s="75" t="n"/>
      <c r="E45" s="85" t="n"/>
      <c r="F45" s="85" t="n"/>
      <c r="G45" s="87" t="n"/>
      <c r="H45" s="87" t="n"/>
      <c r="I45" s="87" t="n"/>
    </row>
    <row r="46">
      <c r="A46" s="75" t="n"/>
      <c r="B46" s="75" t="n"/>
      <c r="C46" s="75" t="n"/>
      <c r="D46" s="75" t="n"/>
      <c r="E46" s="85" t="n"/>
      <c r="F46" s="85" t="n"/>
      <c r="G46" s="87" t="n"/>
      <c r="H46" s="87" t="n"/>
      <c r="I46" s="87" t="n"/>
    </row>
    <row r="47">
      <c r="A47" s="75" t="n"/>
      <c r="B47" s="75" t="n"/>
      <c r="C47" s="75" t="n"/>
      <c r="D47" s="75" t="n"/>
      <c r="E47" s="85" t="n"/>
      <c r="F47" s="85" t="n"/>
      <c r="G47" s="87" t="n"/>
      <c r="H47" s="87" t="n"/>
      <c r="I47" s="87" t="n"/>
    </row>
    <row r="48">
      <c r="A48" s="75" t="n"/>
      <c r="B48" s="75" t="n"/>
      <c r="C48" s="75" t="n"/>
      <c r="D48" s="75" t="n"/>
      <c r="E48" s="85" t="n"/>
      <c r="F48" s="85" t="n"/>
      <c r="G48" s="87" t="n"/>
      <c r="H48" s="87" t="n"/>
      <c r="I48" s="87" t="n"/>
    </row>
    <row r="49">
      <c r="A49" s="75" t="n"/>
      <c r="B49" s="75" t="n"/>
      <c r="C49" s="75" t="n"/>
      <c r="D49" s="75" t="n"/>
      <c r="E49" s="85" t="n"/>
      <c r="F49" s="85" t="n"/>
      <c r="G49" s="87" t="n"/>
      <c r="H49" s="87" t="n"/>
      <c r="I49" s="87" t="n"/>
    </row>
    <row r="50">
      <c r="A50" s="75" t="n"/>
      <c r="B50" s="75" t="n"/>
      <c r="C50" s="75" t="n"/>
      <c r="D50" s="75" t="n"/>
      <c r="E50" s="85" t="n"/>
      <c r="F50" s="85" t="n"/>
      <c r="G50" s="87" t="n"/>
      <c r="H50" s="87" t="n"/>
      <c r="I50" s="87" t="n"/>
    </row>
  </sheetData>
  <mergeCells count="2">
    <mergeCell ref="A1:J1"/>
    <mergeCell ref="A2:J2"/>
  </mergeCells>
  <dataValidations count="3">
    <dataValidation sqref="B5:B50" showDropDown="0" showInputMessage="0" showErrorMessage="0" allowBlank="0" type="list">
      <formula1>"Process,Mechanical,Piping,Civil,Electrical,Instrumentation,Automation,Construction,Project Management,Procurement,HSE,Commissioning,Owner,Other"</formula1>
    </dataValidation>
    <dataValidation sqref="C5:C50" showDropDown="0" showInputMessage="0" showErrorMessage="0" allowBlank="0" type="list">
      <formula1>"Spain,France,Germany,Italy,Netherlands,Belgium,UK,Poland,Remote"</formula1>
    </dataValidation>
    <dataValidation sqref="D5:D50" showDropDown="0" showInputMessage="0" showErrorMessage="0" allowBlank="0" type="list">
      <formula1>"EUR,USD,GBP,CHF,DKK,SEK,NOK,PLN,TRY,MAD"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4.25"/>
  <cols>
    <col width="28" customWidth="1" style="70" min="1" max="1"/>
    <col width="20" customWidth="1" style="70" min="2" max="2"/>
    <col width="16" customWidth="1" style="70" min="3" max="5"/>
    <col width="10" customWidth="1" style="70" min="6" max="41"/>
  </cols>
  <sheetData>
    <row r="1" ht="27.95000076293945" customHeight="1" s="70">
      <c r="A1" s="66" t="inlineStr">
        <is>
          <t>Manpower Plan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</row>
    <row r="2" ht="21.95000076293945" customHeight="1" s="70">
      <c r="A2" s="67" t="inlineStr">
        <is>
          <t>Dynamic 36-month FTE plan linked to Resource_Rates. Macro can regenerate months from Project_Setup.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35" t="n"/>
      <c r="AR2" s="35" t="n"/>
      <c r="AS2" s="35" t="n"/>
    </row>
    <row r="4" ht="24" customHeight="1" s="70">
      <c r="A4" s="71" t="inlineStr">
        <is>
          <t>Role</t>
        </is>
      </c>
      <c r="B4" s="71" t="inlineStr">
        <is>
          <t>Discipline</t>
        </is>
      </c>
      <c r="C4" s="71" t="inlineStr">
        <is>
          <t>Monthly Rate EUR</t>
        </is>
      </c>
      <c r="D4" s="71" t="inlineStr">
        <is>
          <t>Total FTE-Months</t>
        </is>
      </c>
      <c r="E4" s="71" t="inlineStr">
        <is>
          <t>Total Cost EUR</t>
        </is>
      </c>
      <c r="F4" s="155">
        <f>IF(COLUMN()-5&lt;='Project_Setup'!$B$12,DATE(YEAR('Project_Setup'!$B$10),MONTH('Project_Setup'!$B$10)+COLUMN()-6,DAY('Project_Setup'!$B$10)),"")</f>
        <v/>
      </c>
      <c r="G4" s="155">
        <f>IF(COLUMN()-5&lt;='Project_Setup'!$B$12,DATE(YEAR('Project_Setup'!$B$10),MONTH('Project_Setup'!$B$10)+COLUMN()-6,DAY('Project_Setup'!$B$10)),"")</f>
        <v/>
      </c>
      <c r="H4" s="155">
        <f>IF(COLUMN()-5&lt;='Project_Setup'!$B$12,DATE(YEAR('Project_Setup'!$B$10),MONTH('Project_Setup'!$B$10)+COLUMN()-6,DAY('Project_Setup'!$B$10)),"")</f>
        <v/>
      </c>
      <c r="I4" s="155">
        <f>IF(COLUMN()-5&lt;='Project_Setup'!$B$12,DATE(YEAR('Project_Setup'!$B$10),MONTH('Project_Setup'!$B$10)+COLUMN()-6,DAY('Project_Setup'!$B$10)),"")</f>
        <v/>
      </c>
      <c r="J4" s="155">
        <f>IF(COLUMN()-5&lt;='Project_Setup'!$B$12,DATE(YEAR('Project_Setup'!$B$10),MONTH('Project_Setup'!$B$10)+COLUMN()-6,DAY('Project_Setup'!$B$10)),"")</f>
        <v/>
      </c>
      <c r="K4" s="155">
        <f>IF(COLUMN()-5&lt;='Project_Setup'!$B$12,DATE(YEAR('Project_Setup'!$B$10),MONTH('Project_Setup'!$B$10)+COLUMN()-6,DAY('Project_Setup'!$B$10)),"")</f>
        <v/>
      </c>
      <c r="L4" s="155">
        <f>IF(COLUMN()-5&lt;='Project_Setup'!$B$12,DATE(YEAR('Project_Setup'!$B$10),MONTH('Project_Setup'!$B$10)+COLUMN()-6,DAY('Project_Setup'!$B$10)),"")</f>
        <v/>
      </c>
      <c r="M4" s="155">
        <f>IF(COLUMN()-5&lt;='Project_Setup'!$B$12,DATE(YEAR('Project_Setup'!$B$10),MONTH('Project_Setup'!$B$10)+COLUMN()-6,DAY('Project_Setup'!$B$10)),"")</f>
        <v/>
      </c>
      <c r="N4" s="155">
        <f>IF(COLUMN()-5&lt;='Project_Setup'!$B$12,DATE(YEAR('Project_Setup'!$B$10),MONTH('Project_Setup'!$B$10)+COLUMN()-6,DAY('Project_Setup'!$B$10)),"")</f>
        <v/>
      </c>
      <c r="O4" s="155">
        <f>IF(COLUMN()-5&lt;='Project_Setup'!$B$12,DATE(YEAR('Project_Setup'!$B$10),MONTH('Project_Setup'!$B$10)+COLUMN()-6,DAY('Project_Setup'!$B$10)),"")</f>
        <v/>
      </c>
      <c r="P4" s="155">
        <f>IF(COLUMN()-5&lt;='Project_Setup'!$B$12,DATE(YEAR('Project_Setup'!$B$10),MONTH('Project_Setup'!$B$10)+COLUMN()-6,DAY('Project_Setup'!$B$10)),"")</f>
        <v/>
      </c>
      <c r="Q4" s="155">
        <f>IF(COLUMN()-5&lt;='Project_Setup'!$B$12,DATE(YEAR('Project_Setup'!$B$10),MONTH('Project_Setup'!$B$10)+COLUMN()-6,DAY('Project_Setup'!$B$10)),"")</f>
        <v/>
      </c>
      <c r="R4" s="155">
        <f>IF(COLUMN()-5&lt;='Project_Setup'!$B$12,DATE(YEAR('Project_Setup'!$B$10),MONTH('Project_Setup'!$B$10)+COLUMN()-6,DAY('Project_Setup'!$B$10)),"")</f>
        <v/>
      </c>
      <c r="S4" s="155">
        <f>IF(COLUMN()-5&lt;='Project_Setup'!$B$12,DATE(YEAR('Project_Setup'!$B$10),MONTH('Project_Setup'!$B$10)+COLUMN()-6,DAY('Project_Setup'!$B$10)),"")</f>
        <v/>
      </c>
      <c r="T4" s="155">
        <f>IF(COLUMN()-5&lt;='Project_Setup'!$B$12,DATE(YEAR('Project_Setup'!$B$10),MONTH('Project_Setup'!$B$10)+COLUMN()-6,DAY('Project_Setup'!$B$10)),"")</f>
        <v/>
      </c>
      <c r="U4" s="155">
        <f>IF(COLUMN()-5&lt;='Project_Setup'!$B$12,DATE(YEAR('Project_Setup'!$B$10),MONTH('Project_Setup'!$B$10)+COLUMN()-6,DAY('Project_Setup'!$B$10)),"")</f>
        <v/>
      </c>
      <c r="V4" s="155">
        <f>IF(COLUMN()-5&lt;='Project_Setup'!$B$12,DATE(YEAR('Project_Setup'!$B$10),MONTH('Project_Setup'!$B$10)+COLUMN()-6,DAY('Project_Setup'!$B$10)),"")</f>
        <v/>
      </c>
      <c r="W4" s="155">
        <f>IF(COLUMN()-5&lt;='Project_Setup'!$B$12,DATE(YEAR('Project_Setup'!$B$10),MONTH('Project_Setup'!$B$10)+COLUMN()-6,DAY('Project_Setup'!$B$10)),"")</f>
        <v/>
      </c>
      <c r="X4" s="155">
        <f>IF(COLUMN()-5&lt;='Project_Setup'!$B$12,DATE(YEAR('Project_Setup'!$B$10),MONTH('Project_Setup'!$B$10)+COLUMN()-6,DAY('Project_Setup'!$B$10)),"")</f>
        <v/>
      </c>
      <c r="Y4" s="155">
        <f>IF(COLUMN()-5&lt;='Project_Setup'!$B$12,DATE(YEAR('Project_Setup'!$B$10),MONTH('Project_Setup'!$B$10)+COLUMN()-6,DAY('Project_Setup'!$B$10)),"")</f>
        <v/>
      </c>
      <c r="Z4" s="155">
        <f>IF(COLUMN()-5&lt;='Project_Setup'!$B$12,DATE(YEAR('Project_Setup'!$B$10),MONTH('Project_Setup'!$B$10)+COLUMN()-6,DAY('Project_Setup'!$B$10)),"")</f>
        <v/>
      </c>
      <c r="AA4" s="155">
        <f>IF(COLUMN()-5&lt;='Project_Setup'!$B$12,DATE(YEAR('Project_Setup'!$B$10),MONTH('Project_Setup'!$B$10)+COLUMN()-6,DAY('Project_Setup'!$B$10)),"")</f>
        <v/>
      </c>
      <c r="AB4" s="155">
        <f>IF(COLUMN()-5&lt;='Project_Setup'!$B$12,DATE(YEAR('Project_Setup'!$B$10),MONTH('Project_Setup'!$B$10)+COLUMN()-6,DAY('Project_Setup'!$B$10)),"")</f>
        <v/>
      </c>
      <c r="AC4" s="155">
        <f>IF(COLUMN()-5&lt;='Project_Setup'!$B$12,DATE(YEAR('Project_Setup'!$B$10),MONTH('Project_Setup'!$B$10)+COLUMN()-6,DAY('Project_Setup'!$B$10)),"")</f>
        <v/>
      </c>
      <c r="AD4" s="155">
        <f>IF(COLUMN()-5&lt;='Project_Setup'!$B$12,DATE(YEAR('Project_Setup'!$B$10),MONTH('Project_Setup'!$B$10)+COLUMN()-6,DAY('Project_Setup'!$B$10)),"")</f>
        <v/>
      </c>
      <c r="AE4" s="155">
        <f>IF(COLUMN()-5&lt;='Project_Setup'!$B$12,DATE(YEAR('Project_Setup'!$B$10),MONTH('Project_Setup'!$B$10)+COLUMN()-6,DAY('Project_Setup'!$B$10)),"")</f>
        <v/>
      </c>
      <c r="AF4" s="155">
        <f>IF(COLUMN()-5&lt;='Project_Setup'!$B$12,DATE(YEAR('Project_Setup'!$B$10),MONTH('Project_Setup'!$B$10)+COLUMN()-6,DAY('Project_Setup'!$B$10)),"")</f>
        <v/>
      </c>
      <c r="AG4" s="155">
        <f>IF(COLUMN()-5&lt;='Project_Setup'!$B$12,DATE(YEAR('Project_Setup'!$B$10),MONTH('Project_Setup'!$B$10)+COLUMN()-6,DAY('Project_Setup'!$B$10)),"")</f>
        <v/>
      </c>
      <c r="AH4" s="155">
        <f>IF(COLUMN()-5&lt;='Project_Setup'!$B$12,DATE(YEAR('Project_Setup'!$B$10),MONTH('Project_Setup'!$B$10)+COLUMN()-6,DAY('Project_Setup'!$B$10)),"")</f>
        <v/>
      </c>
      <c r="AI4" s="155">
        <f>IF(COLUMN()-5&lt;='Project_Setup'!$B$12,DATE(YEAR('Project_Setup'!$B$10),MONTH('Project_Setup'!$B$10)+COLUMN()-6,DAY('Project_Setup'!$B$10)),"")</f>
        <v/>
      </c>
      <c r="AJ4" s="155">
        <f>IF(COLUMN()-5&lt;='Project_Setup'!$B$12,DATE(YEAR('Project_Setup'!$B$10),MONTH('Project_Setup'!$B$10)+COLUMN()-6,DAY('Project_Setup'!$B$10)),"")</f>
        <v/>
      </c>
      <c r="AK4" s="155">
        <f>IF(COLUMN()-5&lt;='Project_Setup'!$B$12,DATE(YEAR('Project_Setup'!$B$10),MONTH('Project_Setup'!$B$10)+COLUMN()-6,DAY('Project_Setup'!$B$10)),"")</f>
        <v/>
      </c>
      <c r="AL4" s="155">
        <f>IF(COLUMN()-5&lt;='Project_Setup'!$B$12,DATE(YEAR('Project_Setup'!$B$10),MONTH('Project_Setup'!$B$10)+COLUMN()-6,DAY('Project_Setup'!$B$10)),"")</f>
        <v/>
      </c>
      <c r="AM4" s="155">
        <f>IF(COLUMN()-5&lt;='Project_Setup'!$B$12,DATE(YEAR('Project_Setup'!$B$10),MONTH('Project_Setup'!$B$10)+COLUMN()-6,DAY('Project_Setup'!$B$10)),"")</f>
        <v/>
      </c>
      <c r="AN4" s="155">
        <f>IF(COLUMN()-5&lt;='Project_Setup'!$B$12,DATE(YEAR('Project_Setup'!$B$10),MONTH('Project_Setup'!$B$10)+COLUMN()-6,DAY('Project_Setup'!$B$10)),"")</f>
        <v/>
      </c>
      <c r="AO4" s="155">
        <f>IF(COLUMN()-5&lt;='Project_Setup'!$B$12,DATE(YEAR('Project_Setup'!$B$10),MONTH('Project_Setup'!$B$10)+COLUMN()-6,DAY('Project_Setup'!$B$10)),"")</f>
        <v/>
      </c>
      <c r="AP4" s="95">
        <f>IF(COLUMN()-5&lt;='Project_Setup'!$B$12,DATE(YEAR('Project_Setup'!$B$10),MONTH('Project_Setup'!$B$10)+COLUMN()-6,DAY('Project_Setup'!$B$10)),"")</f>
        <v/>
      </c>
      <c r="AQ4" s="95">
        <f>IF(COLUMN()-5&lt;='Project_Setup'!$B$12,DATE(YEAR('Project_Setup'!$B$10),MONTH('Project_Setup'!$B$10)+COLUMN()-6,DAY('Project_Setup'!$B$10)),"")</f>
        <v/>
      </c>
      <c r="AR4" s="95">
        <f>IF(COLUMN()-5&lt;='Project_Setup'!$B$12,DATE(YEAR('Project_Setup'!$B$10),MONTH('Project_Setup'!$B$10)+COLUMN()-6,DAY('Project_Setup'!$B$10)),"")</f>
        <v/>
      </c>
      <c r="AS4" s="95">
        <f>IF(COLUMN()-5&lt;='Project_Setup'!$B$12,DATE(YEAR('Project_Setup'!$B$10),MONTH('Project_Setup'!$B$10)+COLUMN()-6,DAY('Project_Setup'!$B$10)),"")</f>
        <v/>
      </c>
      <c r="AT4" s="95">
        <f>IF(COLUMN()-5&lt;='Project_Setup'!$B$12,DATE(YEAR('Project_Setup'!$B$10),MONTH('Project_Setup'!$B$10)+COLUMN()-6,DAY('Project_Setup'!$B$10)),"")</f>
        <v/>
      </c>
      <c r="AU4" s="95">
        <f>IF(COLUMN()-5&lt;='Project_Setup'!$B$12,DATE(YEAR('Project_Setup'!$B$10),MONTH('Project_Setup'!$B$10)+COLUMN()-6,DAY('Project_Setup'!$B$10)),"")</f>
        <v/>
      </c>
      <c r="AV4" s="95">
        <f>IF(COLUMN()-5&lt;='Project_Setup'!$B$12,DATE(YEAR('Project_Setup'!$B$10),MONTH('Project_Setup'!$B$10)+COLUMN()-6,DAY('Project_Setup'!$B$10)),"")</f>
        <v/>
      </c>
      <c r="AW4" s="95">
        <f>IF(COLUMN()-5&lt;='Project_Setup'!$B$12,DATE(YEAR('Project_Setup'!$B$10),MONTH('Project_Setup'!$B$10)+COLUMN()-6,DAY('Project_Setup'!$B$10)),"")</f>
        <v/>
      </c>
      <c r="AX4" s="95">
        <f>IF(COLUMN()-5&lt;='Project_Setup'!$B$12,DATE(YEAR('Project_Setup'!$B$10),MONTH('Project_Setup'!$B$10)+COLUMN()-6,DAY('Project_Setup'!$B$10)),"")</f>
        <v/>
      </c>
      <c r="AY4" s="95">
        <f>IF(COLUMN()-5&lt;='Project_Setup'!$B$12,DATE(YEAR('Project_Setup'!$B$10),MONTH('Project_Setup'!$B$10)+COLUMN()-6,DAY('Project_Setup'!$B$10)),"")</f>
        <v/>
      </c>
      <c r="AZ4" s="95">
        <f>IF(COLUMN()-5&lt;='Project_Setup'!$B$12,DATE(YEAR('Project_Setup'!$B$10),MONTH('Project_Setup'!$B$10)+COLUMN()-6,DAY('Project_Setup'!$B$10)),"")</f>
        <v/>
      </c>
      <c r="BA4" s="95">
        <f>IF(COLUMN()-5&lt;='Project_Setup'!$B$12,DATE(YEAR('Project_Setup'!$B$10),MONTH('Project_Setup'!$B$10)+COLUMN()-6,DAY('Project_Setup'!$B$10)),"")</f>
        <v/>
      </c>
      <c r="BB4" s="95">
        <f>IF(COLUMN()-5&lt;='Project_Setup'!$B$12,DATE(YEAR('Project_Setup'!$B$10),MONTH('Project_Setup'!$B$10)+COLUMN()-6,DAY('Project_Setup'!$B$10)),"")</f>
        <v/>
      </c>
      <c r="BC4" s="95">
        <f>IF(COLUMN()-5&lt;='Project_Setup'!$B$12,DATE(YEAR('Project_Setup'!$B$10),MONTH('Project_Setup'!$B$10)+COLUMN()-6,DAY('Project_Setup'!$B$10)),"")</f>
        <v/>
      </c>
      <c r="BD4" s="95">
        <f>IF(COLUMN()-5&lt;='Project_Setup'!$B$12,DATE(YEAR('Project_Setup'!$B$10),MONTH('Project_Setup'!$B$10)+COLUMN()-6,DAY('Project_Setup'!$B$10)),"")</f>
        <v/>
      </c>
      <c r="BE4" s="95">
        <f>IF(COLUMN()-5&lt;='Project_Setup'!$B$12,DATE(YEAR('Project_Setup'!$B$10),MONTH('Project_Setup'!$B$10)+COLUMN()-6,DAY('Project_Setup'!$B$10)),"")</f>
        <v/>
      </c>
      <c r="BF4" s="95">
        <f>IF(COLUMN()-5&lt;='Project_Setup'!$B$12,DATE(YEAR('Project_Setup'!$B$10),MONTH('Project_Setup'!$B$10)+COLUMN()-6,DAY('Project_Setup'!$B$10)),"")</f>
        <v/>
      </c>
      <c r="BG4" s="95">
        <f>IF(COLUMN()-5&lt;='Project_Setup'!$B$12,DATE(YEAR('Project_Setup'!$B$10),MONTH('Project_Setup'!$B$10)+COLUMN()-6,DAY('Project_Setup'!$B$10)),"")</f>
        <v/>
      </c>
      <c r="BH4" s="95">
        <f>IF(COLUMN()-5&lt;='Project_Setup'!$B$12,DATE(YEAR('Project_Setup'!$B$10),MONTH('Project_Setup'!$B$10)+COLUMN()-6,DAY('Project_Setup'!$B$10)),"")</f>
        <v/>
      </c>
      <c r="BI4" s="95">
        <f>IF(COLUMN()-5&lt;='Project_Setup'!$B$12,DATE(YEAR('Project_Setup'!$B$10),MONTH('Project_Setup'!$B$10)+COLUMN()-6,DAY('Project_Setup'!$B$10)),"")</f>
        <v/>
      </c>
      <c r="BJ4" s="95">
        <f>IF(COLUMN()-5&lt;='Project_Setup'!$B$12,DATE(YEAR('Project_Setup'!$B$10),MONTH('Project_Setup'!$B$10)+COLUMN()-6,DAY('Project_Setup'!$B$10)),"")</f>
        <v/>
      </c>
      <c r="BK4" s="95">
        <f>IF(COLUMN()-5&lt;='Project_Setup'!$B$12,DATE(YEAR('Project_Setup'!$B$10),MONTH('Project_Setup'!$B$10)+COLUMN()-6,DAY('Project_Setup'!$B$10)),"")</f>
        <v/>
      </c>
      <c r="BL4" s="95">
        <f>IF(COLUMN()-5&lt;='Project_Setup'!$B$12,DATE(YEAR('Project_Setup'!$B$10),MONTH('Project_Setup'!$B$10)+COLUMN()-6,DAY('Project_Setup'!$B$10)),"")</f>
        <v/>
      </c>
      <c r="BM4" s="95">
        <f>IF(COLUMN()-5&lt;='Project_Setup'!$B$12,DATE(YEAR('Project_Setup'!$B$10),MONTH('Project_Setup'!$B$10)+COLUMN()-6,DAY('Project_Setup'!$B$10)),"")</f>
        <v/>
      </c>
    </row>
    <row r="5">
      <c r="A5" s="75" t="inlineStr">
        <is>
          <t>Project Manager</t>
        </is>
      </c>
      <c r="B5" s="75" t="inlineStr">
        <is>
          <t>Project Management</t>
        </is>
      </c>
      <c r="C5" s="89">
        <f>IFERROR(INDEX(Resource_Rates!$I$5:$I$100,MATCH(A5,Resource_Rates!$A$5:$A$100,0)),0)</f>
        <v/>
      </c>
      <c r="D5" s="89">
        <f>SUM(F5:BM5)</f>
        <v/>
      </c>
      <c r="E5" s="89">
        <f>C5*D5</f>
        <v/>
      </c>
      <c r="F5" s="92" t="n">
        <v>0.863</v>
      </c>
      <c r="G5" s="92" t="n">
        <v>0.863</v>
      </c>
      <c r="H5" s="92" t="n">
        <v>0.863</v>
      </c>
      <c r="I5" s="92" t="n">
        <v>0.863</v>
      </c>
      <c r="J5" s="92" t="n">
        <v>0.863</v>
      </c>
      <c r="K5" s="92" t="n">
        <v>0.863</v>
      </c>
      <c r="L5" s="92" t="n">
        <v>0.863</v>
      </c>
      <c r="M5" s="92" t="n">
        <v>0.863</v>
      </c>
      <c r="N5" s="92" t="n">
        <v>0.863</v>
      </c>
      <c r="O5" s="92" t="n">
        <v>0.863</v>
      </c>
      <c r="P5" s="92" t="n">
        <v>0.863</v>
      </c>
      <c r="Q5" s="92" t="n">
        <v>0.863</v>
      </c>
      <c r="R5" s="92" t="n">
        <v>0.863</v>
      </c>
      <c r="S5" s="92" t="n">
        <v>0.863</v>
      </c>
      <c r="T5" s="92" t="n">
        <v>0.863</v>
      </c>
      <c r="U5" s="92" t="n">
        <v>0.863</v>
      </c>
      <c r="V5" s="92" t="n">
        <v>0.863</v>
      </c>
      <c r="W5" s="92" t="n">
        <v>0.863</v>
      </c>
      <c r="X5" s="92" t="n">
        <v>0.863</v>
      </c>
      <c r="Y5" s="92" t="n">
        <v>0.863</v>
      </c>
      <c r="Z5" s="92" t="n">
        <v>0.863</v>
      </c>
      <c r="AA5" s="92" t="n">
        <v>0.863</v>
      </c>
      <c r="AB5" s="92" t="n">
        <v>0.863</v>
      </c>
      <c r="AC5" s="92" t="n">
        <v>0.863</v>
      </c>
      <c r="AD5" s="92" t="n">
        <v>0.863</v>
      </c>
      <c r="AE5" s="92" t="n">
        <v>0.863</v>
      </c>
      <c r="AF5" s="92" t="n">
        <v>0.863</v>
      </c>
      <c r="AG5" s="92" t="n">
        <v>0.863</v>
      </c>
      <c r="AH5" s="92" t="n">
        <v>0.863</v>
      </c>
      <c r="AI5" s="92" t="n">
        <v>0.863</v>
      </c>
      <c r="AJ5" s="92" t="n">
        <v>0.863</v>
      </c>
      <c r="AK5" s="92" t="n">
        <v>0.863</v>
      </c>
      <c r="AL5" s="92" t="n">
        <v>0.863</v>
      </c>
      <c r="AM5" s="92" t="n">
        <v>0.863</v>
      </c>
      <c r="AN5" s="92" t="n">
        <v>0.863</v>
      </c>
      <c r="AO5" s="92" t="n">
        <v>0.863</v>
      </c>
    </row>
    <row r="6">
      <c r="A6" s="75" t="inlineStr">
        <is>
          <t>Engineering Manager</t>
        </is>
      </c>
      <c r="B6" s="75" t="inlineStr">
        <is>
          <t>Project Management</t>
        </is>
      </c>
      <c r="C6" s="89">
        <f>IFERROR(INDEX(Resource_Rates!$I$5:$I$100,MATCH(A6,Resource_Rates!$A$5:$A$100,0)),0)</f>
        <v/>
      </c>
      <c r="D6" s="89">
        <f>SUM(F6:BM6)</f>
        <v/>
      </c>
      <c r="E6" s="89">
        <f>C6*D6</f>
        <v/>
      </c>
      <c r="F6" s="92" t="n">
        <v>0.863</v>
      </c>
      <c r="G6" s="92" t="n">
        <v>0.863</v>
      </c>
      <c r="H6" s="92" t="n">
        <v>0.863</v>
      </c>
      <c r="I6" s="92" t="n">
        <v>0.863</v>
      </c>
      <c r="J6" s="92" t="n">
        <v>0.863</v>
      </c>
      <c r="K6" s="92" t="n">
        <v>0.863</v>
      </c>
      <c r="L6" s="92" t="n">
        <v>0.863</v>
      </c>
      <c r="M6" s="92" t="n">
        <v>0.863</v>
      </c>
      <c r="N6" s="92" t="n">
        <v>0.863</v>
      </c>
      <c r="O6" s="92" t="n">
        <v>0.863</v>
      </c>
      <c r="P6" s="92" t="n">
        <v>0.863</v>
      </c>
      <c r="Q6" s="92" t="n">
        <v>0.863</v>
      </c>
      <c r="R6" s="92" t="n">
        <v>0.863</v>
      </c>
      <c r="S6" s="92" t="n">
        <v>0.863</v>
      </c>
      <c r="T6" s="92" t="n">
        <v>0.863</v>
      </c>
      <c r="U6" s="92" t="n">
        <v>0.863</v>
      </c>
      <c r="V6" s="92" t="n">
        <v>0.863</v>
      </c>
      <c r="W6" s="92" t="n">
        <v>0.863</v>
      </c>
      <c r="X6" s="92" t="n">
        <v>0.431</v>
      </c>
      <c r="Y6" s="92" t="n">
        <v>0.431</v>
      </c>
      <c r="Z6" s="92" t="n">
        <v>0.431</v>
      </c>
      <c r="AA6" s="92" t="n">
        <v>0.431</v>
      </c>
      <c r="AB6" s="92" t="n">
        <v>0.431</v>
      </c>
      <c r="AC6" s="92" t="n">
        <v>0.431</v>
      </c>
      <c r="AD6" s="92" t="n">
        <v>0.431</v>
      </c>
      <c r="AE6" s="92" t="n">
        <v>0.431</v>
      </c>
      <c r="AF6" s="92" t="n">
        <v>0.431</v>
      </c>
      <c r="AG6" s="92" t="n">
        <v>0.431</v>
      </c>
      <c r="AH6" s="92" t="n">
        <v>0.431</v>
      </c>
      <c r="AI6" s="92" t="n">
        <v>0.431</v>
      </c>
      <c r="AJ6" s="92" t="n">
        <v>0.173</v>
      </c>
      <c r="AK6" s="92" t="n">
        <v>0.173</v>
      </c>
      <c r="AL6" s="92" t="n">
        <v>0.173</v>
      </c>
      <c r="AM6" s="92" t="n">
        <v>0.173</v>
      </c>
      <c r="AN6" s="92" t="n">
        <v>0.173</v>
      </c>
      <c r="AO6" s="92" t="n">
        <v>0.173</v>
      </c>
    </row>
    <row r="7">
      <c r="A7" s="75" t="inlineStr">
        <is>
          <t>Project Controls Lead</t>
        </is>
      </c>
      <c r="B7" s="75" t="inlineStr">
        <is>
          <t>Project Management</t>
        </is>
      </c>
      <c r="C7" s="89">
        <f>IFERROR(INDEX(Resource_Rates!$I$5:$I$100,MATCH(A7,Resource_Rates!$A$5:$A$100,0)),0)</f>
        <v/>
      </c>
      <c r="D7" s="89">
        <f>SUM(F7:BM7)</f>
        <v/>
      </c>
      <c r="E7" s="89">
        <f>C7*D7</f>
        <v/>
      </c>
      <c r="F7" s="92" t="n">
        <v>0.863</v>
      </c>
      <c r="G7" s="92" t="n">
        <v>0.863</v>
      </c>
      <c r="H7" s="92" t="n">
        <v>0.863</v>
      </c>
      <c r="I7" s="92" t="n">
        <v>0.863</v>
      </c>
      <c r="J7" s="92" t="n">
        <v>0.863</v>
      </c>
      <c r="K7" s="92" t="n">
        <v>0.863</v>
      </c>
      <c r="L7" s="92" t="n">
        <v>0.863</v>
      </c>
      <c r="M7" s="92" t="n">
        <v>0.863</v>
      </c>
      <c r="N7" s="92" t="n">
        <v>0.863</v>
      </c>
      <c r="O7" s="92" t="n">
        <v>0.863</v>
      </c>
      <c r="P7" s="92" t="n">
        <v>0.863</v>
      </c>
      <c r="Q7" s="92" t="n">
        <v>0.863</v>
      </c>
      <c r="R7" s="92" t="n">
        <v>0.863</v>
      </c>
      <c r="S7" s="92" t="n">
        <v>0.863</v>
      </c>
      <c r="T7" s="92" t="n">
        <v>0.863</v>
      </c>
      <c r="U7" s="92" t="n">
        <v>0.863</v>
      </c>
      <c r="V7" s="92" t="n">
        <v>0.863</v>
      </c>
      <c r="W7" s="92" t="n">
        <v>0.863</v>
      </c>
      <c r="X7" s="92" t="n">
        <v>0.863</v>
      </c>
      <c r="Y7" s="92" t="n">
        <v>0.863</v>
      </c>
      <c r="Z7" s="92" t="n">
        <v>0.863</v>
      </c>
      <c r="AA7" s="92" t="n">
        <v>0.863</v>
      </c>
      <c r="AB7" s="92" t="n">
        <v>0.863</v>
      </c>
      <c r="AC7" s="92" t="n">
        <v>0.863</v>
      </c>
      <c r="AD7" s="92" t="n">
        <v>0.863</v>
      </c>
      <c r="AE7" s="92" t="n">
        <v>0.863</v>
      </c>
      <c r="AF7" s="92" t="n">
        <v>0.863</v>
      </c>
      <c r="AG7" s="92" t="n">
        <v>0.863</v>
      </c>
      <c r="AH7" s="92" t="n">
        <v>0.863</v>
      </c>
      <c r="AI7" s="92" t="n">
        <v>0.863</v>
      </c>
      <c r="AJ7" s="92" t="n">
        <v>0.863</v>
      </c>
      <c r="AK7" s="92" t="n">
        <v>0.863</v>
      </c>
      <c r="AL7" s="92" t="n">
        <v>0.863</v>
      </c>
      <c r="AM7" s="92" t="n">
        <v>0.863</v>
      </c>
      <c r="AN7" s="92" t="n">
        <v>0.863</v>
      </c>
      <c r="AO7" s="92" t="n">
        <v>0.863</v>
      </c>
    </row>
    <row r="8">
      <c r="A8" s="75" t="inlineStr">
        <is>
          <t>Cost Estimator</t>
        </is>
      </c>
      <c r="B8" s="75" t="inlineStr">
        <is>
          <t>Project Management</t>
        </is>
      </c>
      <c r="C8" s="89">
        <f>IFERROR(INDEX(Resource_Rates!$I$5:$I$100,MATCH(A8,Resource_Rates!$A$5:$A$100,0)),0)</f>
        <v/>
      </c>
      <c r="D8" s="89">
        <f>SUM(F8:BM8)</f>
        <v/>
      </c>
      <c r="E8" s="89">
        <f>C8*D8</f>
        <v/>
      </c>
      <c r="F8" s="92" t="n">
        <v>0.6899999999999999</v>
      </c>
      <c r="G8" s="92" t="n">
        <v>0.6899999999999999</v>
      </c>
      <c r="H8" s="92" t="n">
        <v>0.6899999999999999</v>
      </c>
      <c r="I8" s="92" t="n">
        <v>0.6899999999999999</v>
      </c>
      <c r="J8" s="92" t="n">
        <v>0.6899999999999999</v>
      </c>
      <c r="K8" s="92" t="n">
        <v>0.6899999999999999</v>
      </c>
      <c r="L8" s="92" t="n">
        <v>0.6899999999999999</v>
      </c>
      <c r="M8" s="92" t="n">
        <v>0.6899999999999999</v>
      </c>
      <c r="N8" s="92" t="n">
        <v>0.345</v>
      </c>
      <c r="O8" s="92" t="n">
        <v>0.345</v>
      </c>
      <c r="P8" s="92" t="n">
        <v>0.345</v>
      </c>
      <c r="Q8" s="92" t="n">
        <v>0.345</v>
      </c>
      <c r="R8" s="92" t="n">
        <v>0.345</v>
      </c>
      <c r="S8" s="92" t="n">
        <v>0.345</v>
      </c>
      <c r="T8" s="92" t="n">
        <v>0.345</v>
      </c>
      <c r="U8" s="92" t="n">
        <v>0.345</v>
      </c>
      <c r="V8" s="92" t="n">
        <v>0.345</v>
      </c>
      <c r="W8" s="92" t="n">
        <v>0.345</v>
      </c>
      <c r="X8" s="92" t="n">
        <v>0.173</v>
      </c>
      <c r="Y8" s="92" t="n">
        <v>0.173</v>
      </c>
      <c r="Z8" s="92" t="n">
        <v>0.173</v>
      </c>
      <c r="AA8" s="92" t="n">
        <v>0.173</v>
      </c>
      <c r="AB8" s="92" t="n">
        <v>0.173</v>
      </c>
      <c r="AC8" s="92" t="n">
        <v>0.173</v>
      </c>
      <c r="AD8" s="92" t="n">
        <v>0.173</v>
      </c>
      <c r="AE8" s="92" t="n">
        <v>0.173</v>
      </c>
      <c r="AF8" s="92" t="n">
        <v>0.173</v>
      </c>
      <c r="AG8" s="92" t="n">
        <v>0.173</v>
      </c>
      <c r="AH8" s="92" t="n">
        <v>0.173</v>
      </c>
      <c r="AI8" s="92" t="n">
        <v>0.173</v>
      </c>
      <c r="AJ8" s="92" t="n">
        <v>0.173</v>
      </c>
      <c r="AK8" s="92" t="n">
        <v>0.173</v>
      </c>
      <c r="AL8" s="92" t="n">
        <v>0.173</v>
      </c>
      <c r="AM8" s="92" t="n">
        <v>0.173</v>
      </c>
      <c r="AN8" s="92" t="n">
        <v>0.173</v>
      </c>
      <c r="AO8" s="92" t="n">
        <v>0.173</v>
      </c>
    </row>
    <row r="9">
      <c r="A9" s="75" t="inlineStr">
        <is>
          <t>Planner / Scheduler</t>
        </is>
      </c>
      <c r="B9" s="75" t="inlineStr">
        <is>
          <t>Project Management</t>
        </is>
      </c>
      <c r="C9" s="89">
        <f>IFERROR(INDEX(Resource_Rates!$I$5:$I$100,MATCH(A9,Resource_Rates!$A$5:$A$100,0)),0)</f>
        <v/>
      </c>
      <c r="D9" s="89">
        <f>SUM(F9:BM9)</f>
        <v/>
      </c>
      <c r="E9" s="89">
        <f>C9*D9</f>
        <v/>
      </c>
      <c r="F9" s="92" t="n">
        <v>0.431</v>
      </c>
      <c r="G9" s="92" t="n">
        <v>0.431</v>
      </c>
      <c r="H9" s="92" t="n">
        <v>0.431</v>
      </c>
      <c r="I9" s="92" t="n">
        <v>0.431</v>
      </c>
      <c r="J9" s="92" t="n">
        <v>0.431</v>
      </c>
      <c r="K9" s="92" t="n">
        <v>0.431</v>
      </c>
      <c r="L9" s="92" t="n">
        <v>0.431</v>
      </c>
      <c r="M9" s="92" t="n">
        <v>0.431</v>
      </c>
      <c r="N9" s="92" t="n">
        <v>0.431</v>
      </c>
      <c r="O9" s="92" t="n">
        <v>0.431</v>
      </c>
      <c r="P9" s="92" t="n">
        <v>0.431</v>
      </c>
      <c r="Q9" s="92" t="n">
        <v>0.431</v>
      </c>
      <c r="R9" s="92" t="n">
        <v>0.863</v>
      </c>
      <c r="S9" s="92" t="n">
        <v>0.863</v>
      </c>
      <c r="T9" s="92" t="n">
        <v>0.863</v>
      </c>
      <c r="U9" s="92" t="n">
        <v>0.863</v>
      </c>
      <c r="V9" s="92" t="n">
        <v>0.863</v>
      </c>
      <c r="W9" s="92" t="n">
        <v>0.863</v>
      </c>
      <c r="X9" s="92" t="n">
        <v>0.863</v>
      </c>
      <c r="Y9" s="92" t="n">
        <v>0.863</v>
      </c>
      <c r="Z9" s="92" t="n">
        <v>0.863</v>
      </c>
      <c r="AA9" s="92" t="n">
        <v>0.863</v>
      </c>
      <c r="AB9" s="92" t="n">
        <v>0.863</v>
      </c>
      <c r="AC9" s="92" t="n">
        <v>0.863</v>
      </c>
      <c r="AD9" s="92" t="n">
        <v>0.863</v>
      </c>
      <c r="AE9" s="92" t="n">
        <v>0.863</v>
      </c>
      <c r="AF9" s="92" t="n">
        <v>0.863</v>
      </c>
      <c r="AG9" s="92" t="n">
        <v>0.863</v>
      </c>
      <c r="AH9" s="92" t="n">
        <v>0.863</v>
      </c>
      <c r="AI9" s="92" t="n">
        <v>0.863</v>
      </c>
      <c r="AJ9" s="92" t="n">
        <v>0.6899999999999999</v>
      </c>
      <c r="AK9" s="92" t="n">
        <v>0.6899999999999999</v>
      </c>
      <c r="AL9" s="92" t="n">
        <v>0.6899999999999999</v>
      </c>
      <c r="AM9" s="92" t="n">
        <v>0.6899999999999999</v>
      </c>
      <c r="AN9" s="92" t="n">
        <v>0.6899999999999999</v>
      </c>
      <c r="AO9" s="92" t="n">
        <v>0.6899999999999999</v>
      </c>
    </row>
    <row r="10">
      <c r="A10" s="75" t="inlineStr">
        <is>
          <t>Process Engineer</t>
        </is>
      </c>
      <c r="B10" s="75" t="inlineStr">
        <is>
          <t>Process</t>
        </is>
      </c>
      <c r="C10" s="89">
        <f>IFERROR(INDEX(Resource_Rates!$I$5:$I$100,MATCH(A10,Resource_Rates!$A$5:$A$100,0)),0)</f>
        <v/>
      </c>
      <c r="D10" s="89">
        <f>SUM(F10:BM10)</f>
        <v/>
      </c>
      <c r="E10" s="89">
        <f>C10*D10</f>
        <v/>
      </c>
      <c r="F10" s="92" t="n">
        <v>2.588</v>
      </c>
      <c r="G10" s="92" t="n">
        <v>2.588</v>
      </c>
      <c r="H10" s="92" t="n">
        <v>2.588</v>
      </c>
      <c r="I10" s="92" t="n">
        <v>2.588</v>
      </c>
      <c r="J10" s="92" t="n">
        <v>2.588</v>
      </c>
      <c r="K10" s="92" t="n">
        <v>2.588</v>
      </c>
      <c r="L10" s="92" t="n">
        <v>2.588</v>
      </c>
      <c r="M10" s="92" t="n">
        <v>2.588</v>
      </c>
      <c r="N10" s="92" t="n">
        <v>2.588</v>
      </c>
      <c r="O10" s="92" t="n">
        <v>2.588</v>
      </c>
      <c r="P10" s="92" t="n">
        <v>2.588</v>
      </c>
      <c r="Q10" s="92" t="n">
        <v>2.588</v>
      </c>
      <c r="R10" s="92" t="n">
        <v>1.725</v>
      </c>
      <c r="S10" s="92" t="n">
        <v>1.725</v>
      </c>
      <c r="T10" s="92" t="n">
        <v>1.725</v>
      </c>
      <c r="U10" s="92" t="n">
        <v>1.725</v>
      </c>
      <c r="V10" s="92" t="n">
        <v>1.725</v>
      </c>
      <c r="W10" s="92" t="n">
        <v>1.725</v>
      </c>
      <c r="X10" s="92" t="n">
        <v>1.725</v>
      </c>
      <c r="Y10" s="92" t="n">
        <v>1.725</v>
      </c>
      <c r="Z10" s="92" t="n">
        <v>1.725</v>
      </c>
      <c r="AA10" s="92" t="n">
        <v>1.725</v>
      </c>
      <c r="AB10" s="92" t="n">
        <v>0.431</v>
      </c>
      <c r="AC10" s="92" t="n">
        <v>0.431</v>
      </c>
      <c r="AD10" s="92" t="n">
        <v>0.431</v>
      </c>
      <c r="AE10" s="92" t="n">
        <v>0.431</v>
      </c>
      <c r="AF10" s="92" t="n">
        <v>0.431</v>
      </c>
      <c r="AG10" s="92" t="n">
        <v>0.431</v>
      </c>
      <c r="AH10" s="92" t="n">
        <v>0.431</v>
      </c>
      <c r="AI10" s="92" t="n">
        <v>0.431</v>
      </c>
      <c r="AJ10" s="92" t="n">
        <v>0.431</v>
      </c>
      <c r="AK10" s="92" t="n">
        <v>0.431</v>
      </c>
      <c r="AL10" s="92" t="n">
        <v>0.431</v>
      </c>
      <c r="AM10" s="92" t="n">
        <v>0.431</v>
      </c>
      <c r="AN10" s="92" t="n">
        <v>0.431</v>
      </c>
      <c r="AO10" s="92" t="n">
        <v>0.431</v>
      </c>
    </row>
    <row r="11">
      <c r="A11" s="75" t="inlineStr">
        <is>
          <t>Procurement Lead</t>
        </is>
      </c>
      <c r="B11" s="75" t="inlineStr">
        <is>
          <t>Procurement</t>
        </is>
      </c>
      <c r="C11" s="89">
        <f>IFERROR(INDEX(Resource_Rates!$I$5:$I$100,MATCH(A11,Resource_Rates!$A$5:$A$100,0)),0)</f>
        <v/>
      </c>
      <c r="D11" s="89">
        <f>SUM(F11:BM11)</f>
        <v/>
      </c>
      <c r="E11" s="89">
        <f>C11*D11</f>
        <v/>
      </c>
      <c r="F11" s="92" t="n">
        <v>0.259</v>
      </c>
      <c r="G11" s="92" t="n">
        <v>0.259</v>
      </c>
      <c r="H11" s="92" t="n">
        <v>0.259</v>
      </c>
      <c r="I11" s="92" t="n">
        <v>0.259</v>
      </c>
      <c r="J11" s="92" t="n">
        <v>0.259</v>
      </c>
      <c r="K11" s="92" t="n">
        <v>0.259</v>
      </c>
      <c r="L11" s="92" t="n">
        <v>0.863</v>
      </c>
      <c r="M11" s="92" t="n">
        <v>0.863</v>
      </c>
      <c r="N11" s="92" t="n">
        <v>0.863</v>
      </c>
      <c r="O11" s="92" t="n">
        <v>0.863</v>
      </c>
      <c r="P11" s="92" t="n">
        <v>0.863</v>
      </c>
      <c r="Q11" s="92" t="n">
        <v>0.863</v>
      </c>
      <c r="R11" s="92" t="n">
        <v>0.863</v>
      </c>
      <c r="S11" s="92" t="n">
        <v>0.863</v>
      </c>
      <c r="T11" s="92" t="n">
        <v>0.863</v>
      </c>
      <c r="U11" s="92" t="n">
        <v>0.863</v>
      </c>
      <c r="V11" s="92" t="n">
        <v>0.863</v>
      </c>
      <c r="W11" s="92" t="n">
        <v>0.863</v>
      </c>
      <c r="X11" s="92" t="n">
        <v>0.863</v>
      </c>
      <c r="Y11" s="92" t="n">
        <v>0.863</v>
      </c>
      <c r="Z11" s="92" t="n">
        <v>0.863</v>
      </c>
      <c r="AA11" s="92" t="n">
        <v>0.863</v>
      </c>
      <c r="AB11" s="92" t="n">
        <v>0.863</v>
      </c>
      <c r="AC11" s="92" t="n">
        <v>0.863</v>
      </c>
      <c r="AD11" s="92" t="n">
        <v>0.431</v>
      </c>
      <c r="AE11" s="92" t="n">
        <v>0.431</v>
      </c>
      <c r="AF11" s="92" t="n">
        <v>0.431</v>
      </c>
      <c r="AG11" s="92" t="n">
        <v>0.431</v>
      </c>
      <c r="AH11" s="92" t="n">
        <v>0.431</v>
      </c>
      <c r="AI11" s="92" t="n">
        <v>0.431</v>
      </c>
      <c r="AJ11" s="92" t="n">
        <v>0.431</v>
      </c>
      <c r="AK11" s="92" t="n">
        <v>0.431</v>
      </c>
      <c r="AL11" s="92" t="n">
        <v>0.173</v>
      </c>
      <c r="AM11" s="92" t="n">
        <v>0.173</v>
      </c>
      <c r="AN11" s="92" t="n">
        <v>0.173</v>
      </c>
      <c r="AO11" s="92" t="n">
        <v>0.173</v>
      </c>
    </row>
    <row r="12">
      <c r="A12" s="75" t="inlineStr">
        <is>
          <t>Construction Manager</t>
        </is>
      </c>
      <c r="B12" s="75" t="inlineStr">
        <is>
          <t>Construction</t>
        </is>
      </c>
      <c r="C12" s="89">
        <f>IFERROR(INDEX(Resource_Rates!$I$5:$I$100,MATCH(A12,Resource_Rates!$A$5:$A$100,0)),0)</f>
        <v/>
      </c>
      <c r="D12" s="89">
        <f>SUM(F12:BM12)</f>
        <v/>
      </c>
      <c r="E12" s="89">
        <f>C12*D12</f>
        <v/>
      </c>
      <c r="F12" s="92" t="n">
        <v>0</v>
      </c>
      <c r="G12" s="92" t="n">
        <v>0</v>
      </c>
      <c r="H12" s="92" t="n">
        <v>0</v>
      </c>
      <c r="I12" s="92" t="n">
        <v>0</v>
      </c>
      <c r="J12" s="92" t="n">
        <v>0</v>
      </c>
      <c r="K12" s="92" t="n">
        <v>0</v>
      </c>
      <c r="L12" s="92" t="n">
        <v>0</v>
      </c>
      <c r="M12" s="92" t="n">
        <v>0</v>
      </c>
      <c r="N12" s="92" t="n">
        <v>0</v>
      </c>
      <c r="O12" s="92" t="n">
        <v>0</v>
      </c>
      <c r="P12" s="92" t="n">
        <v>0</v>
      </c>
      <c r="Q12" s="92" t="n">
        <v>0</v>
      </c>
      <c r="R12" s="92" t="n">
        <v>0.431</v>
      </c>
      <c r="S12" s="92" t="n">
        <v>0.431</v>
      </c>
      <c r="T12" s="92" t="n">
        <v>0.431</v>
      </c>
      <c r="U12" s="92" t="n">
        <v>0.431</v>
      </c>
      <c r="V12" s="92" t="n">
        <v>0.863</v>
      </c>
      <c r="W12" s="92" t="n">
        <v>0.863</v>
      </c>
      <c r="X12" s="92" t="n">
        <v>0.863</v>
      </c>
      <c r="Y12" s="92" t="n">
        <v>0.863</v>
      </c>
      <c r="Z12" s="92" t="n">
        <v>0.863</v>
      </c>
      <c r="AA12" s="92" t="n">
        <v>0.863</v>
      </c>
      <c r="AB12" s="92" t="n">
        <v>0.863</v>
      </c>
      <c r="AC12" s="92" t="n">
        <v>0.863</v>
      </c>
      <c r="AD12" s="92" t="n">
        <v>0.863</v>
      </c>
      <c r="AE12" s="92" t="n">
        <v>0.863</v>
      </c>
      <c r="AF12" s="92" t="n">
        <v>0.863</v>
      </c>
      <c r="AG12" s="92" t="n">
        <v>0.863</v>
      </c>
      <c r="AH12" s="92" t="n">
        <v>0.863</v>
      </c>
      <c r="AI12" s="92" t="n">
        <v>0.863</v>
      </c>
      <c r="AJ12" s="92" t="n">
        <v>0.863</v>
      </c>
      <c r="AK12" s="92" t="n">
        <v>0.863</v>
      </c>
      <c r="AL12" s="92" t="n">
        <v>0.431</v>
      </c>
      <c r="AM12" s="92" t="n">
        <v>0.431</v>
      </c>
      <c r="AN12" s="92" t="n">
        <v>0.431</v>
      </c>
      <c r="AO12" s="92" t="n">
        <v>0.431</v>
      </c>
    </row>
    <row r="13">
      <c r="A13" s="75" t="inlineStr">
        <is>
          <t>HSE Manager</t>
        </is>
      </c>
      <c r="B13" s="75" t="inlineStr">
        <is>
          <t>HSE</t>
        </is>
      </c>
      <c r="C13" s="89">
        <f>IFERROR(INDEX(Resource_Rates!$I$5:$I$100,MATCH(A13,Resource_Rates!$A$5:$A$100,0)),0)</f>
        <v/>
      </c>
      <c r="D13" s="89">
        <f>SUM(F13:BM13)</f>
        <v/>
      </c>
      <c r="E13" s="89">
        <f>C13*D13</f>
        <v/>
      </c>
      <c r="F13" s="92" t="n">
        <v>0</v>
      </c>
      <c r="G13" s="92" t="n">
        <v>0</v>
      </c>
      <c r="H13" s="92" t="n">
        <v>0</v>
      </c>
      <c r="I13" s="92" t="n">
        <v>0</v>
      </c>
      <c r="J13" s="92" t="n">
        <v>0</v>
      </c>
      <c r="K13" s="92" t="n">
        <v>0</v>
      </c>
      <c r="L13" s="92" t="n">
        <v>0</v>
      </c>
      <c r="M13" s="92" t="n">
        <v>0</v>
      </c>
      <c r="N13" s="92" t="n">
        <v>0</v>
      </c>
      <c r="O13" s="92" t="n">
        <v>0</v>
      </c>
      <c r="P13" s="92" t="n">
        <v>0</v>
      </c>
      <c r="Q13" s="92" t="n">
        <v>0</v>
      </c>
      <c r="R13" s="92" t="n">
        <v>0</v>
      </c>
      <c r="S13" s="92" t="n">
        <v>0</v>
      </c>
      <c r="T13" s="92" t="n">
        <v>0.604</v>
      </c>
      <c r="U13" s="92" t="n">
        <v>0.604</v>
      </c>
      <c r="V13" s="92" t="n">
        <v>0.604</v>
      </c>
      <c r="W13" s="92" t="n">
        <v>0.604</v>
      </c>
      <c r="X13" s="92" t="n">
        <v>0.863</v>
      </c>
      <c r="Y13" s="92" t="n">
        <v>0.863</v>
      </c>
      <c r="Z13" s="92" t="n">
        <v>0.863</v>
      </c>
      <c r="AA13" s="92" t="n">
        <v>0.863</v>
      </c>
      <c r="AB13" s="92" t="n">
        <v>0.863</v>
      </c>
      <c r="AC13" s="92" t="n">
        <v>0.863</v>
      </c>
      <c r="AD13" s="92" t="n">
        <v>0.863</v>
      </c>
      <c r="AE13" s="92" t="n">
        <v>0.863</v>
      </c>
      <c r="AF13" s="92" t="n">
        <v>0.863</v>
      </c>
      <c r="AG13" s="92" t="n">
        <v>0.863</v>
      </c>
      <c r="AH13" s="92" t="n">
        <v>0.863</v>
      </c>
      <c r="AI13" s="92" t="n">
        <v>0.863</v>
      </c>
      <c r="AJ13" s="92" t="n">
        <v>0.863</v>
      </c>
      <c r="AK13" s="92" t="n">
        <v>0.863</v>
      </c>
      <c r="AL13" s="92" t="n">
        <v>0.345</v>
      </c>
      <c r="AM13" s="92" t="n">
        <v>0.345</v>
      </c>
      <c r="AN13" s="92" t="n">
        <v>0.345</v>
      </c>
      <c r="AO13" s="92" t="n">
        <v>0.345</v>
      </c>
    </row>
    <row r="14">
      <c r="A14" s="75" t="inlineStr">
        <is>
          <t>Commissioning Lead</t>
        </is>
      </c>
      <c r="B14" s="75" t="inlineStr">
        <is>
          <t>Commissioning</t>
        </is>
      </c>
      <c r="C14" s="89">
        <f>IFERROR(INDEX(Resource_Rates!$I$5:$I$100,MATCH(A14,Resource_Rates!$A$5:$A$100,0)),0)</f>
        <v/>
      </c>
      <c r="D14" s="89">
        <f>SUM(F14:BM14)</f>
        <v/>
      </c>
      <c r="E14" s="89">
        <f>C14*D14</f>
        <v/>
      </c>
      <c r="F14" s="92" t="n">
        <v>0</v>
      </c>
      <c r="G14" s="92" t="n">
        <v>0</v>
      </c>
      <c r="H14" s="92" t="n">
        <v>0</v>
      </c>
      <c r="I14" s="92" t="n">
        <v>0</v>
      </c>
      <c r="J14" s="92" t="n">
        <v>0</v>
      </c>
      <c r="K14" s="92" t="n">
        <v>0</v>
      </c>
      <c r="L14" s="92" t="n">
        <v>0</v>
      </c>
      <c r="M14" s="92" t="n">
        <v>0</v>
      </c>
      <c r="N14" s="92" t="n">
        <v>0</v>
      </c>
      <c r="O14" s="92" t="n">
        <v>0</v>
      </c>
      <c r="P14" s="92" t="n">
        <v>0</v>
      </c>
      <c r="Q14" s="92" t="n">
        <v>0</v>
      </c>
      <c r="R14" s="92" t="n">
        <v>0</v>
      </c>
      <c r="S14" s="92" t="n">
        <v>0</v>
      </c>
      <c r="T14" s="92" t="n">
        <v>0</v>
      </c>
      <c r="U14" s="92" t="n">
        <v>0</v>
      </c>
      <c r="V14" s="92" t="n">
        <v>0</v>
      </c>
      <c r="W14" s="92" t="n">
        <v>0</v>
      </c>
      <c r="X14" s="92" t="n">
        <v>0</v>
      </c>
      <c r="Y14" s="92" t="n">
        <v>0</v>
      </c>
      <c r="Z14" s="92" t="n">
        <v>0</v>
      </c>
      <c r="AA14" s="92" t="n">
        <v>0</v>
      </c>
      <c r="AB14" s="92" t="n">
        <v>0</v>
      </c>
      <c r="AC14" s="92" t="n">
        <v>0</v>
      </c>
      <c r="AD14" s="92" t="n">
        <v>0</v>
      </c>
      <c r="AE14" s="92" t="n">
        <v>0</v>
      </c>
      <c r="AF14" s="92" t="n">
        <v>0</v>
      </c>
      <c r="AG14" s="92" t="n">
        <v>0</v>
      </c>
      <c r="AH14" s="92" t="n">
        <v>1.294</v>
      </c>
      <c r="AI14" s="92" t="n">
        <v>1.294</v>
      </c>
      <c r="AJ14" s="92" t="n">
        <v>1.294</v>
      </c>
      <c r="AK14" s="92" t="n">
        <v>1.294</v>
      </c>
      <c r="AL14" s="92" t="n">
        <v>1.294</v>
      </c>
      <c r="AM14" s="92" t="n">
        <v>1.294</v>
      </c>
      <c r="AN14" s="92" t="n">
        <v>1.294</v>
      </c>
      <c r="AO14" s="92" t="n">
        <v>1.294</v>
      </c>
    </row>
    <row r="15">
      <c r="A15" s="75" t="inlineStr">
        <is>
          <t>Document Controller</t>
        </is>
      </c>
      <c r="B15" s="75" t="inlineStr">
        <is>
          <t>Project Management</t>
        </is>
      </c>
      <c r="C15" s="89">
        <f>IFERROR(INDEX(Resource_Rates!$I$5:$I$100,MATCH(A15,Resource_Rates!$A$5:$A$100,0)),0)</f>
        <v/>
      </c>
      <c r="D15" s="89">
        <f>SUM(F15:BM15)</f>
        <v/>
      </c>
      <c r="E15" s="89">
        <f>C15*D15</f>
        <v/>
      </c>
      <c r="F15" s="92" t="n">
        <v>0.431</v>
      </c>
      <c r="G15" s="92" t="n">
        <v>0.431</v>
      </c>
      <c r="H15" s="92" t="n">
        <v>0.431</v>
      </c>
      <c r="I15" s="92" t="n">
        <v>0.431</v>
      </c>
      <c r="J15" s="92" t="n">
        <v>0.431</v>
      </c>
      <c r="K15" s="92" t="n">
        <v>0.431</v>
      </c>
      <c r="L15" s="92" t="n">
        <v>0.431</v>
      </c>
      <c r="M15" s="92" t="n">
        <v>0.431</v>
      </c>
      <c r="N15" s="92" t="n">
        <v>0.431</v>
      </c>
      <c r="O15" s="92" t="n">
        <v>0.431</v>
      </c>
      <c r="P15" s="92" t="n">
        <v>0.431</v>
      </c>
      <c r="Q15" s="92" t="n">
        <v>0.431</v>
      </c>
      <c r="R15" s="92" t="n">
        <v>0.431</v>
      </c>
      <c r="S15" s="92" t="n">
        <v>0.431</v>
      </c>
      <c r="T15" s="92" t="n">
        <v>0.431</v>
      </c>
      <c r="U15" s="92" t="n">
        <v>0.431</v>
      </c>
      <c r="V15" s="92" t="n">
        <v>0.431</v>
      </c>
      <c r="W15" s="92" t="n">
        <v>0.431</v>
      </c>
      <c r="X15" s="92" t="n">
        <v>0.431</v>
      </c>
      <c r="Y15" s="92" t="n">
        <v>0.431</v>
      </c>
      <c r="Z15" s="92" t="n">
        <v>0.431</v>
      </c>
      <c r="AA15" s="92" t="n">
        <v>0.431</v>
      </c>
      <c r="AB15" s="92" t="n">
        <v>0.431</v>
      </c>
      <c r="AC15" s="92" t="n">
        <v>0.431</v>
      </c>
      <c r="AD15" s="92" t="n">
        <v>0.431</v>
      </c>
      <c r="AE15" s="92" t="n">
        <v>0.431</v>
      </c>
      <c r="AF15" s="92" t="n">
        <v>0.431</v>
      </c>
      <c r="AG15" s="92" t="n">
        <v>0.431</v>
      </c>
      <c r="AH15" s="92" t="n">
        <v>0.431</v>
      </c>
      <c r="AI15" s="92" t="n">
        <v>0.431</v>
      </c>
      <c r="AJ15" s="92" t="n">
        <v>0.431</v>
      </c>
      <c r="AK15" s="92" t="n">
        <v>0.431</v>
      </c>
      <c r="AL15" s="92" t="n">
        <v>0.431</v>
      </c>
      <c r="AM15" s="92" t="n">
        <v>0.431</v>
      </c>
      <c r="AN15" s="92" t="n">
        <v>0.431</v>
      </c>
      <c r="AO15" s="92" t="n">
        <v>0.431</v>
      </c>
    </row>
    <row r="16">
      <c r="A16" s="75" t="n"/>
      <c r="B16" s="75" t="n"/>
      <c r="C16" s="84" t="n"/>
      <c r="D16" s="84" t="n"/>
      <c r="E16" s="84" t="n"/>
    </row>
    <row r="17">
      <c r="A17" s="75" t="n"/>
      <c r="B17" s="75" t="n"/>
      <c r="C17" s="84" t="n"/>
      <c r="D17" s="84" t="n"/>
      <c r="E17" s="84" t="n"/>
    </row>
    <row r="18">
      <c r="A18" s="75" t="n"/>
      <c r="B18" s="75" t="n"/>
      <c r="C18" s="84" t="n"/>
      <c r="D18" s="84" t="n"/>
      <c r="E18" s="84" t="n"/>
    </row>
    <row r="19">
      <c r="A19" s="75" t="n"/>
      <c r="B19" s="75" t="n"/>
      <c r="C19" s="84" t="n"/>
      <c r="D19" s="84" t="n"/>
      <c r="E19" s="84" t="n"/>
    </row>
    <row r="20">
      <c r="A20" s="75" t="n"/>
      <c r="B20" s="75" t="n"/>
      <c r="C20" s="84" t="n"/>
      <c r="D20" s="84" t="n"/>
      <c r="E20" s="84" t="n"/>
    </row>
    <row r="21">
      <c r="A21" s="75" t="n"/>
      <c r="B21" s="75" t="n"/>
      <c r="C21" s="84" t="n"/>
      <c r="D21" s="84" t="n"/>
      <c r="E21" s="84" t="n"/>
    </row>
    <row r="22">
      <c r="A22" s="75" t="n"/>
      <c r="B22" s="75" t="n"/>
      <c r="C22" s="84" t="n"/>
      <c r="D22" s="84" t="n"/>
      <c r="E22" s="84" t="n"/>
    </row>
    <row r="23">
      <c r="A23" s="75" t="n"/>
      <c r="B23" s="75" t="n"/>
      <c r="C23" s="84" t="n"/>
      <c r="D23" s="84" t="n"/>
      <c r="E23" s="84" t="n"/>
    </row>
    <row r="24">
      <c r="A24" s="75" t="n"/>
      <c r="B24" s="75" t="n"/>
      <c r="C24" s="84" t="n"/>
      <c r="D24" s="84" t="n"/>
      <c r="E24" s="84" t="n"/>
    </row>
    <row r="25">
      <c r="A25" s="75" t="n"/>
      <c r="B25" s="75" t="n"/>
      <c r="C25" s="84" t="n"/>
      <c r="D25" s="84" t="n"/>
      <c r="E25" s="84" t="n"/>
    </row>
    <row r="26">
      <c r="A26" s="75" t="n"/>
      <c r="B26" s="75" t="n"/>
      <c r="C26" s="84" t="n"/>
      <c r="D26" s="84" t="n"/>
      <c r="E26" s="84" t="n"/>
    </row>
    <row r="27">
      <c r="A27" s="75" t="n"/>
      <c r="B27" s="75" t="n"/>
      <c r="C27" s="84" t="n"/>
      <c r="D27" s="84" t="n"/>
      <c r="E27" s="84" t="n"/>
    </row>
    <row r="28">
      <c r="A28" s="75" t="n"/>
      <c r="B28" s="75" t="n"/>
      <c r="C28" s="84" t="n"/>
      <c r="D28" s="84" t="n"/>
      <c r="E28" s="84" t="n"/>
    </row>
    <row r="29">
      <c r="A29" s="75" t="n"/>
      <c r="B29" s="75" t="n"/>
      <c r="C29" s="84" t="n"/>
      <c r="D29" s="84" t="n"/>
      <c r="E29" s="84" t="n"/>
    </row>
    <row r="30">
      <c r="A30" s="75" t="n"/>
      <c r="B30" s="75" t="n"/>
      <c r="C30" s="84" t="n"/>
      <c r="D30" s="84" t="n"/>
      <c r="E30" s="84" t="n"/>
    </row>
    <row r="31">
      <c r="A31" s="75" t="n"/>
      <c r="B31" s="75" t="n"/>
      <c r="C31" s="84" t="n"/>
      <c r="D31" s="84" t="n"/>
      <c r="E31" s="84" t="n"/>
    </row>
    <row r="32">
      <c r="A32" s="75" t="n"/>
      <c r="B32" s="75" t="n"/>
      <c r="C32" s="84" t="n"/>
      <c r="D32" s="84" t="n"/>
      <c r="E32" s="84" t="n"/>
    </row>
    <row r="33">
      <c r="A33" s="75" t="n"/>
      <c r="B33" s="75" t="n"/>
      <c r="C33" s="84" t="n"/>
      <c r="D33" s="84" t="n"/>
      <c r="E33" s="84" t="n"/>
    </row>
    <row r="34">
      <c r="A34" s="75" t="n"/>
      <c r="B34" s="75" t="n"/>
      <c r="C34" s="84" t="n"/>
      <c r="D34" s="84" t="n"/>
      <c r="E34" s="84" t="n"/>
    </row>
    <row r="35">
      <c r="A35" s="75" t="n"/>
      <c r="B35" s="75" t="n"/>
      <c r="C35" s="84" t="n"/>
      <c r="D35" s="84" t="n"/>
      <c r="E35" s="84" t="n"/>
    </row>
    <row r="36">
      <c r="A36" s="75" t="n"/>
      <c r="B36" s="75" t="n"/>
      <c r="C36" s="84" t="n"/>
      <c r="D36" s="84" t="n"/>
      <c r="E36" s="84" t="n"/>
    </row>
    <row r="37">
      <c r="A37" s="75" t="n"/>
      <c r="B37" s="75" t="n"/>
      <c r="C37" s="84" t="n"/>
      <c r="D37" s="84" t="n"/>
      <c r="E37" s="84" t="n"/>
    </row>
    <row r="38">
      <c r="A38" s="75" t="n"/>
      <c r="B38" s="75" t="n"/>
      <c r="C38" s="84" t="n"/>
      <c r="D38" s="84" t="n"/>
      <c r="E38" s="84" t="n"/>
    </row>
    <row r="39">
      <c r="A39" s="75" t="n"/>
      <c r="B39" s="75" t="n"/>
      <c r="C39" s="84" t="n"/>
      <c r="D39" s="84" t="n"/>
      <c r="E39" s="84" t="n"/>
    </row>
    <row r="40">
      <c r="A40" s="75" t="n"/>
      <c r="B40" s="75" t="n"/>
      <c r="C40" s="84" t="n"/>
      <c r="D40" s="84" t="n"/>
      <c r="E40" s="84" t="n"/>
    </row>
    <row r="41">
      <c r="A41" s="75" t="n"/>
      <c r="B41" s="75" t="n"/>
      <c r="C41" s="84" t="n"/>
      <c r="D41" s="84" t="n"/>
      <c r="E41" s="84" t="n"/>
    </row>
    <row r="42">
      <c r="A42" s="75" t="n"/>
      <c r="B42" s="75" t="n"/>
      <c r="C42" s="84" t="n"/>
      <c r="D42" s="84" t="n"/>
      <c r="E42" s="84" t="n"/>
    </row>
    <row r="43">
      <c r="A43" s="75" t="n"/>
      <c r="B43" s="75" t="n"/>
      <c r="C43" s="84" t="n"/>
      <c r="D43" s="84" t="n"/>
      <c r="E43" s="84" t="n"/>
    </row>
    <row r="44">
      <c r="A44" s="75" t="n"/>
      <c r="B44" s="75" t="n"/>
      <c r="C44" s="84" t="n"/>
      <c r="D44" s="84" t="n"/>
      <c r="E44" s="84" t="n"/>
    </row>
    <row r="45">
      <c r="A45" s="75" t="n"/>
      <c r="B45" s="75" t="n"/>
      <c r="C45" s="84" t="n"/>
      <c r="D45" s="84" t="n"/>
      <c r="E45" s="84" t="n"/>
    </row>
    <row r="46">
      <c r="A46" s="75" t="n"/>
      <c r="B46" s="75" t="n"/>
      <c r="C46" s="84" t="n"/>
      <c r="D46" s="84" t="n"/>
      <c r="E46" s="84" t="n"/>
    </row>
    <row r="47">
      <c r="A47" s="75" t="n"/>
      <c r="B47" s="75" t="n"/>
      <c r="C47" s="84" t="n"/>
      <c r="D47" s="84" t="n"/>
      <c r="E47" s="84" t="n"/>
    </row>
    <row r="48">
      <c r="A48" s="75" t="n"/>
      <c r="B48" s="75" t="n"/>
      <c r="C48" s="84" t="n"/>
      <c r="D48" s="84" t="n"/>
      <c r="E48" s="84" t="n"/>
    </row>
    <row r="49">
      <c r="A49" s="75" t="n"/>
      <c r="B49" s="75" t="n"/>
      <c r="C49" s="84" t="n"/>
      <c r="D49" s="84" t="n"/>
      <c r="E49" s="84" t="n"/>
    </row>
    <row r="50">
      <c r="A50" s="75" t="n"/>
      <c r="B50" s="75" t="n"/>
      <c r="C50" s="84" t="n"/>
      <c r="D50" s="84" t="n"/>
      <c r="E50" s="84" t="n"/>
    </row>
  </sheetData>
  <mergeCells count="2">
    <mergeCell ref="A2:AS2"/>
    <mergeCell ref="A1:A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0070AD47"/>
    <outlinePr summaryBelow="1" summaryRight="1"/>
    <pageSetUpPr/>
  </sheetPr>
  <dimension ref="A1:AD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25"/>
  <cols>
    <col width="12" customWidth="1" style="70" min="1" max="1"/>
    <col width="32" customWidth="1" style="70" min="2" max="2"/>
    <col width="16" customWidth="1" style="70" min="3" max="7"/>
    <col width="10" customWidth="1" style="70" min="4" max="4"/>
    <col width="12" customWidth="1" style="70" min="5" max="5"/>
    <col width="16" customWidth="1" style="70" min="6" max="6"/>
    <col width="14" customWidth="1" style="70" min="7" max="7"/>
    <col width="10" customWidth="1" style="70" min="8" max="8"/>
    <col width="10" customWidth="1" style="70" min="9" max="9"/>
    <col width="14" customWidth="1" style="70" min="10" max="14"/>
    <col width="12" customWidth="1" style="70" min="11" max="11"/>
    <col width="12" customWidth="1" style="70" min="12" max="12"/>
    <col width="14" customWidth="1" style="70" min="13" max="13"/>
    <col width="14" customWidth="1" style="70" min="14" max="14"/>
    <col width="14" customWidth="1" style="70" min="15" max="20"/>
    <col width="12" customWidth="1" style="70" min="16" max="16"/>
    <col width="12" customWidth="1" style="70" min="17" max="17"/>
    <col width="14" customWidth="1" style="70" min="18" max="18"/>
    <col width="14" customWidth="1" style="70" min="19" max="19"/>
    <col width="14" customWidth="1" style="70" min="20" max="20"/>
    <col width="12" customWidth="1" style="70" min="21" max="27"/>
    <col width="12" customWidth="1" style="70" min="22" max="22"/>
    <col width="14" customWidth="1" style="70" min="23" max="23"/>
    <col width="14" customWidth="1" style="70" min="24" max="24"/>
    <col width="12" customWidth="1" style="70" min="25" max="25"/>
    <col width="12" customWidth="1" style="70" min="26" max="26"/>
    <col width="14" customWidth="1" style="70" min="27" max="27"/>
    <col width="24" customWidth="1" style="70" min="28" max="28"/>
  </cols>
  <sheetData>
    <row r="1" ht="24" customHeight="1" s="70">
      <c r="A1" s="144" t="inlineStr">
        <is>
          <t>Indirect Owner Costs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100" t="n"/>
      <c r="AD1" s="100" t="n"/>
    </row>
    <row r="2" ht="21.95000076293945" customHeight="1" s="70">
      <c r="A2" s="67" t="inlineStr">
        <is>
          <t>User input layer. Cost_Register must be rebuilt from these sheets via BuildCostRegister.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</row>
    <row r="4" ht="28" customHeight="1" s="70">
      <c r="A4" s="148" t="inlineStr">
        <is>
          <t>Item ID</t>
        </is>
      </c>
      <c r="B4" s="148" t="inlineStr">
        <is>
          <t>Description</t>
        </is>
      </c>
      <c r="C4" s="148" t="inlineStr">
        <is>
          <t>Discipline</t>
        </is>
      </c>
      <c r="D4" s="148" t="inlineStr">
        <is>
          <t>WBS</t>
        </is>
      </c>
      <c r="E4" s="148" t="inlineStr">
        <is>
          <t>CBS</t>
        </is>
      </c>
      <c r="F4" s="148" t="inlineStr">
        <is>
          <t>Cost Category</t>
        </is>
      </c>
      <c r="G4" s="148" t="inlineStr">
        <is>
          <t>Cost Type</t>
        </is>
      </c>
      <c r="H4" s="148" t="inlineStr">
        <is>
          <t>Quantity</t>
        </is>
      </c>
      <c r="I4" s="148" t="inlineStr">
        <is>
          <t>Unit</t>
        </is>
      </c>
      <c r="J4" s="148" t="inlineStr">
        <is>
          <t>Unit Rate</t>
        </is>
      </c>
      <c r="K4" s="148" t="inlineStr">
        <is>
          <t>Currency</t>
        </is>
      </c>
      <c r="L4" s="148" t="inlineStr">
        <is>
          <t>FX Rate</t>
        </is>
      </c>
      <c r="M4" s="148" t="inlineStr">
        <is>
          <t>Base Cost</t>
        </is>
      </c>
      <c r="N4" s="148" t="inlineStr">
        <is>
          <t>Base Cost EUR</t>
        </is>
      </c>
      <c r="O4" s="148" t="inlineStr">
        <is>
          <t>Estimate Basis</t>
        </is>
      </c>
      <c r="P4" s="148" t="inlineStr">
        <is>
          <t>Accuracy Low %</t>
        </is>
      </c>
      <c r="Q4" s="148" t="inlineStr">
        <is>
          <t>Accuracy High %</t>
        </is>
      </c>
      <c r="R4" s="148" t="inlineStr">
        <is>
          <t>Low Cost</t>
        </is>
      </c>
      <c r="S4" s="148" t="inlineStr">
        <is>
          <t>Most Likely Cost</t>
        </is>
      </c>
      <c r="T4" s="148" t="inlineStr">
        <is>
          <t>High Cost</t>
        </is>
      </c>
      <c r="U4" s="148" t="inlineStr">
        <is>
          <t>Contingency Eligible</t>
        </is>
      </c>
      <c r="V4" s="148" t="inlineStr">
        <is>
          <t>Escalation Eligible</t>
        </is>
      </c>
      <c r="W4" s="148" t="inlineStr">
        <is>
          <t>Spend Category</t>
        </is>
      </c>
      <c r="X4" s="148" t="inlineStr">
        <is>
          <t>Phase</t>
        </is>
      </c>
      <c r="Y4" s="148" t="inlineStr">
        <is>
          <t>Start Month</t>
        </is>
      </c>
      <c r="Z4" s="148" t="inlineStr">
        <is>
          <t>End Month</t>
        </is>
      </c>
      <c r="AA4" s="148" t="inlineStr">
        <is>
          <t>Spend Curve</t>
        </is>
      </c>
      <c r="AB4" s="148" t="inlineStr">
        <is>
          <t>Notes</t>
        </is>
      </c>
    </row>
    <row r="5">
      <c r="A5" s="149" t="inlineStr">
        <is>
          <t>IO-001</t>
        </is>
      </c>
      <c r="B5" s="149" t="inlineStr">
        <is>
          <t>EPCM engineering services</t>
        </is>
      </c>
      <c r="C5" s="150">
        <f>IF($D5="","",IFERROR(INDEX(WBS_CBS!$E$5:$E$16,MATCH($D5,WBS_CBS!$A$5:$A$16,0)),""))</f>
        <v/>
      </c>
      <c r="D5" s="149" t="inlineStr">
        <is>
          <t>2.0</t>
        </is>
      </c>
      <c r="E5" s="150">
        <f>IF($D5="","",IFERROR(INDEX(WBS_CBS!$C$5:$C$16,MATCH($D5,WBS_CBS!$A$5:$A$16,0)),""))</f>
        <v/>
      </c>
      <c r="F5" s="150">
        <f>IF($D5="","",IFERROR(INDEX(WBS_CBS!$J$5:$J$16,MATCH($D5,WBS_CBS!$A$5:$A$16,0)),""))</f>
        <v/>
      </c>
      <c r="G5" s="149" t="inlineStr">
        <is>
          <t>EPCM</t>
        </is>
      </c>
      <c r="H5" s="151" t="n">
        <v>1</v>
      </c>
      <c r="I5" s="149" t="inlineStr">
        <is>
          <t>lot</t>
        </is>
      </c>
      <c r="J5" s="152" t="n">
        <v>2200000</v>
      </c>
      <c r="K5" s="149" t="inlineStr">
        <is>
          <t>EUR</t>
        </is>
      </c>
      <c r="L5" s="153">
        <f>IF($K5="","",IFERROR(INDEX(FX_Rates!$B$5:$B$14,MATCH($K5,FX_Rates!$A$5:$A$14,0)),""))</f>
        <v/>
      </c>
      <c r="M5" s="153">
        <f>IF(OR($H5="",$J5=""),"",$H5*$J5)</f>
        <v/>
      </c>
      <c r="N5" s="153">
        <f>IF(OR($M5="",$L5=""),"",$M5*$L5)</f>
        <v/>
      </c>
      <c r="O5" s="149" t="inlineStr">
        <is>
          <t>Class 3</t>
        </is>
      </c>
      <c r="P5" s="154">
        <f>IF($O5="","",IFERROR(INDEX(Basis_of_Estimate!$C$5:$C$9,MATCH($O5,Basis_of_Estimate!$A$5:$A$9,0)),""))</f>
        <v/>
      </c>
      <c r="Q5" s="154">
        <f>IF($O5="","",IFERROR(INDEX(Basis_of_Estimate!$D$5:$D$9,MATCH($O5,Basis_of_Estimate!$A$5:$A$9,0)),""))</f>
        <v/>
      </c>
      <c r="R5" s="153">
        <f>IF($N5="","",$N5*(1+$P5))</f>
        <v/>
      </c>
      <c r="S5" s="153">
        <f>IF($N5="","",$N5)</f>
        <v/>
      </c>
      <c r="T5" s="153">
        <f>IF($N5="","",$N5*(1+$Q5))</f>
        <v/>
      </c>
      <c r="U5" s="150">
        <f>IF($D5="","",IFERROR(INDEX(WBS_CBS!$M$5:$M$16,MATCH($D5,WBS_CBS!$A$5:$A$16,0)),"Yes"))</f>
        <v/>
      </c>
      <c r="V5" s="150">
        <f>IF($D5="","",IFERROR(INDEX(WBS_CBS!$N$5:$N$16,MATCH($D5,WBS_CBS!$A$5:$A$16,0)),"Yes"))</f>
        <v/>
      </c>
      <c r="W5" s="150">
        <f>IF($D5="","",IFERROR(INDEX(WBS_CBS!$K$5:$K$16,MATCH($D5,WBS_CBS!$A$5:$A$16,0)),""))</f>
        <v/>
      </c>
      <c r="X5" s="150">
        <f>IF($D5="","",IFERROR(INDEX(WBS_CBS!$F$5:$F$16,MATCH($D5,WBS_CBS!$A$5:$A$16,0)),""))</f>
        <v/>
      </c>
      <c r="Y5" s="149" t="n">
        <v>1</v>
      </c>
      <c r="Z5" s="149" t="n">
        <v>24</v>
      </c>
      <c r="AA5" s="150">
        <f>IF($D5="","",IFERROR(INDEX(WBS_CBS!$L$5:$L$16,MATCH($D5,WBS_CBS!$A$5:$A$16,0)),""))</f>
        <v/>
      </c>
      <c r="AB5" s="149" t="n"/>
    </row>
    <row r="6">
      <c r="A6" s="149" t="inlineStr">
        <is>
          <t>IO-002</t>
        </is>
      </c>
      <c r="B6" s="149" t="inlineStr">
        <is>
          <t>Construction management and supervision</t>
        </is>
      </c>
      <c r="C6" s="150">
        <f>IF($D6="","",IFERROR(INDEX(WBS_CBS!$E$5:$E$16,MATCH($D6,WBS_CBS!$A$5:$A$16,0)),""))</f>
        <v/>
      </c>
      <c r="D6" s="149" t="inlineStr">
        <is>
          <t>9.0</t>
        </is>
      </c>
      <c r="E6" s="150">
        <f>IF($D6="","",IFERROR(INDEX(WBS_CBS!$C$5:$C$16,MATCH($D6,WBS_CBS!$A$5:$A$16,0)),""))</f>
        <v/>
      </c>
      <c r="F6" s="150">
        <f>IF($D6="","",IFERROR(INDEX(WBS_CBS!$J$5:$J$16,MATCH($D6,WBS_CBS!$A$5:$A$16,0)),""))</f>
        <v/>
      </c>
      <c r="G6" s="149" t="inlineStr">
        <is>
          <t>EPCM</t>
        </is>
      </c>
      <c r="H6" s="151" t="n">
        <v>1</v>
      </c>
      <c r="I6" s="149" t="inlineStr">
        <is>
          <t>lot</t>
        </is>
      </c>
      <c r="J6" s="152" t="n">
        <v>800000</v>
      </c>
      <c r="K6" s="149" t="inlineStr">
        <is>
          <t>EUR</t>
        </is>
      </c>
      <c r="L6" s="153">
        <f>IF($K6="","",IFERROR(INDEX(FX_Rates!$B$5:$B$14,MATCH($K6,FX_Rates!$A$5:$A$14,0)),""))</f>
        <v/>
      </c>
      <c r="M6" s="153">
        <f>IF(OR($H6="",$J6=""),"",$H6*$J6)</f>
        <v/>
      </c>
      <c r="N6" s="153">
        <f>IF(OR($M6="",$L6=""),"",$M6*$L6)</f>
        <v/>
      </c>
      <c r="O6" s="149" t="inlineStr">
        <is>
          <t>Class 3</t>
        </is>
      </c>
      <c r="P6" s="154">
        <f>IF($O6="","",IFERROR(INDEX(Basis_of_Estimate!$C$5:$C$9,MATCH($O6,Basis_of_Estimate!$A$5:$A$9,0)),""))</f>
        <v/>
      </c>
      <c r="Q6" s="154">
        <f>IF($O6="","",IFERROR(INDEX(Basis_of_Estimate!$D$5:$D$9,MATCH($O6,Basis_of_Estimate!$A$5:$A$9,0)),""))</f>
        <v/>
      </c>
      <c r="R6" s="153">
        <f>IF($N6="","",$N6*(1+$P6))</f>
        <v/>
      </c>
      <c r="S6" s="153">
        <f>IF($N6="","",$N6)</f>
        <v/>
      </c>
      <c r="T6" s="153">
        <f>IF($N6="","",$N6*(1+$Q6))</f>
        <v/>
      </c>
      <c r="U6" s="150">
        <f>IF($D6="","",IFERROR(INDEX(WBS_CBS!$M$5:$M$16,MATCH($D6,WBS_CBS!$A$5:$A$16,0)),"Yes"))</f>
        <v/>
      </c>
      <c r="V6" s="150">
        <f>IF($D6="","",IFERROR(INDEX(WBS_CBS!$N$5:$N$16,MATCH($D6,WBS_CBS!$A$5:$A$16,0)),"Yes"))</f>
        <v/>
      </c>
      <c r="W6" s="150">
        <f>IF($D6="","",IFERROR(INDEX(WBS_CBS!$K$5:$K$16,MATCH($D6,WBS_CBS!$A$5:$A$16,0)),""))</f>
        <v/>
      </c>
      <c r="X6" s="150">
        <f>IF($D6="","",IFERROR(INDEX(WBS_CBS!$F$5:$F$16,MATCH($D6,WBS_CBS!$A$5:$A$16,0)),""))</f>
        <v/>
      </c>
      <c r="Y6" s="149" t="n">
        <v>14</v>
      </c>
      <c r="Z6" s="149" t="n">
        <v>34</v>
      </c>
      <c r="AA6" s="150">
        <f>IF($D6="","",IFERROR(INDEX(WBS_CBS!$L$5:$L$16,MATCH($D6,WBS_CBS!$A$5:$A$16,0)),""))</f>
        <v/>
      </c>
      <c r="AB6" s="149" t="n"/>
    </row>
    <row r="7">
      <c r="A7" s="149" t="inlineStr">
        <is>
          <t>IO-003</t>
        </is>
      </c>
      <c r="B7" s="149" t="inlineStr">
        <is>
          <t>Permits, studies and owner reviews</t>
        </is>
      </c>
      <c r="C7" s="150">
        <f>IF($D7="","",IFERROR(INDEX(WBS_CBS!$E$5:$E$16,MATCH($D7,WBS_CBS!$A$5:$A$16,0)),""))</f>
        <v/>
      </c>
      <c r="D7" s="149" t="inlineStr">
        <is>
          <t>11.0</t>
        </is>
      </c>
      <c r="E7" s="150">
        <f>IF($D7="","",IFERROR(INDEX(WBS_CBS!$C$5:$C$16,MATCH($D7,WBS_CBS!$A$5:$A$16,0)),""))</f>
        <v/>
      </c>
      <c r="F7" s="150">
        <f>IF($D7="","",IFERROR(INDEX(WBS_CBS!$J$5:$J$16,MATCH($D7,WBS_CBS!$A$5:$A$16,0)),""))</f>
        <v/>
      </c>
      <c r="G7" s="149" t="inlineStr">
        <is>
          <t>Owner</t>
        </is>
      </c>
      <c r="H7" s="151" t="n">
        <v>1</v>
      </c>
      <c r="I7" s="149" t="inlineStr">
        <is>
          <t>lot</t>
        </is>
      </c>
      <c r="J7" s="152" t="n">
        <v>600000</v>
      </c>
      <c r="K7" s="149" t="inlineStr">
        <is>
          <t>EUR</t>
        </is>
      </c>
      <c r="L7" s="153">
        <f>IF($K7="","",IFERROR(INDEX(FX_Rates!$B$5:$B$14,MATCH($K7,FX_Rates!$A$5:$A$14,0)),""))</f>
        <v/>
      </c>
      <c r="M7" s="153">
        <f>IF(OR($H7="",$J7=""),"",$H7*$J7)</f>
        <v/>
      </c>
      <c r="N7" s="153">
        <f>IF(OR($M7="",$L7=""),"",$M7*$L7)</f>
        <v/>
      </c>
      <c r="O7" s="149" t="inlineStr">
        <is>
          <t>Class 3</t>
        </is>
      </c>
      <c r="P7" s="154">
        <f>IF($O7="","",IFERROR(INDEX(Basis_of_Estimate!$C$5:$C$9,MATCH($O7,Basis_of_Estimate!$A$5:$A$9,0)),""))</f>
        <v/>
      </c>
      <c r="Q7" s="154">
        <f>IF($O7="","",IFERROR(INDEX(Basis_of_Estimate!$D$5:$D$9,MATCH($O7,Basis_of_Estimate!$A$5:$A$9,0)),""))</f>
        <v/>
      </c>
      <c r="R7" s="153">
        <f>IF($N7="","",$N7*(1+$P7))</f>
        <v/>
      </c>
      <c r="S7" s="153">
        <f>IF($N7="","",$N7)</f>
        <v/>
      </c>
      <c r="T7" s="153">
        <f>IF($N7="","",$N7*(1+$Q7))</f>
        <v/>
      </c>
      <c r="U7" s="150">
        <f>IF($D7="","",IFERROR(INDEX(WBS_CBS!$M$5:$M$16,MATCH($D7,WBS_CBS!$A$5:$A$16,0)),"Yes"))</f>
        <v/>
      </c>
      <c r="V7" s="150">
        <f>IF($D7="","",IFERROR(INDEX(WBS_CBS!$N$5:$N$16,MATCH($D7,WBS_CBS!$A$5:$A$16,0)),"Yes"))</f>
        <v/>
      </c>
      <c r="W7" s="150">
        <f>IF($D7="","",IFERROR(INDEX(WBS_CBS!$K$5:$K$16,MATCH($D7,WBS_CBS!$A$5:$A$16,0)),""))</f>
        <v/>
      </c>
      <c r="X7" s="150">
        <f>IF($D7="","",IFERROR(INDEX(WBS_CBS!$F$5:$F$16,MATCH($D7,WBS_CBS!$A$5:$A$16,0)),""))</f>
        <v/>
      </c>
      <c r="Y7" s="149" t="n">
        <v>1</v>
      </c>
      <c r="Z7" s="149" t="n">
        <v>18</v>
      </c>
      <c r="AA7" s="150">
        <f>IF($D7="","",IFERROR(INDEX(WBS_CBS!$L$5:$L$16,MATCH($D7,WBS_CBS!$A$5:$A$16,0)),""))</f>
        <v/>
      </c>
      <c r="AB7" s="149" t="n"/>
    </row>
    <row r="8">
      <c r="A8" s="149" t="inlineStr">
        <is>
          <t>IO-004</t>
        </is>
      </c>
      <c r="B8" s="149" t="inlineStr">
        <is>
          <t>Freight, logistics and temporary facilities</t>
        </is>
      </c>
      <c r="C8" s="150">
        <f>IF($D8="","",IFERROR(INDEX(WBS_CBS!$E$5:$E$16,MATCH($D8,WBS_CBS!$A$5:$A$16,0)),""))</f>
        <v/>
      </c>
      <c r="D8" s="149" t="inlineStr">
        <is>
          <t>3.0</t>
        </is>
      </c>
      <c r="E8" s="150">
        <f>IF($D8="","",IFERROR(INDEX(WBS_CBS!$C$5:$C$16,MATCH($D8,WBS_CBS!$A$5:$A$16,0)),""))</f>
        <v/>
      </c>
      <c r="F8" s="150">
        <f>IF($D8="","",IFERROR(INDEX(WBS_CBS!$J$5:$J$16,MATCH($D8,WBS_CBS!$A$5:$A$16,0)),""))</f>
        <v/>
      </c>
      <c r="G8" s="149" t="inlineStr">
        <is>
          <t>Freight</t>
        </is>
      </c>
      <c r="H8" s="151" t="n">
        <v>1</v>
      </c>
      <c r="I8" s="149" t="inlineStr">
        <is>
          <t>lot</t>
        </is>
      </c>
      <c r="J8" s="152" t="n">
        <v>400000</v>
      </c>
      <c r="K8" s="149" t="inlineStr">
        <is>
          <t>EUR</t>
        </is>
      </c>
      <c r="L8" s="153">
        <f>IF($K8="","",IFERROR(INDEX(FX_Rates!$B$5:$B$14,MATCH($K8,FX_Rates!$A$5:$A$14,0)),""))</f>
        <v/>
      </c>
      <c r="M8" s="153">
        <f>IF(OR($H8="",$J8=""),"",$H8*$J8)</f>
        <v/>
      </c>
      <c r="N8" s="153">
        <f>IF(OR($M8="",$L8=""),"",$M8*$L8)</f>
        <v/>
      </c>
      <c r="O8" s="149" t="inlineStr">
        <is>
          <t>Class 3</t>
        </is>
      </c>
      <c r="P8" s="154">
        <f>IF($O8="","",IFERROR(INDEX(Basis_of_Estimate!$C$5:$C$9,MATCH($O8,Basis_of_Estimate!$A$5:$A$9,0)),""))</f>
        <v/>
      </c>
      <c r="Q8" s="154">
        <f>IF($O8="","",IFERROR(INDEX(Basis_of_Estimate!$D$5:$D$9,MATCH($O8,Basis_of_Estimate!$A$5:$A$9,0)),""))</f>
        <v/>
      </c>
      <c r="R8" s="153">
        <f>IF($N8="","",$N8*(1+$P8))</f>
        <v/>
      </c>
      <c r="S8" s="153">
        <f>IF($N8="","",$N8)</f>
        <v/>
      </c>
      <c r="T8" s="153">
        <f>IF($N8="","",$N8*(1+$Q8))</f>
        <v/>
      </c>
      <c r="U8" s="150">
        <f>IF($D8="","",IFERROR(INDEX(WBS_CBS!$M$5:$M$16,MATCH($D8,WBS_CBS!$A$5:$A$16,0)),"Yes"))</f>
        <v/>
      </c>
      <c r="V8" s="150">
        <f>IF($D8="","",IFERROR(INDEX(WBS_CBS!$N$5:$N$16,MATCH($D8,WBS_CBS!$A$5:$A$16,0)),"Yes"))</f>
        <v/>
      </c>
      <c r="W8" s="150">
        <f>IF($D8="","",IFERROR(INDEX(WBS_CBS!$K$5:$K$16,MATCH($D8,WBS_CBS!$A$5:$A$16,0)),""))</f>
        <v/>
      </c>
      <c r="X8" s="150">
        <f>IF($D8="","",IFERROR(INDEX(WBS_CBS!$F$5:$F$16,MATCH($D8,WBS_CBS!$A$5:$A$16,0)),""))</f>
        <v/>
      </c>
      <c r="Y8" s="149" t="n">
        <v>8</v>
      </c>
      <c r="Z8" s="149" t="n">
        <v>28</v>
      </c>
      <c r="AA8" s="150">
        <f>IF($D8="","",IFERROR(INDEX(WBS_CBS!$L$5:$L$16,MATCH($D8,WBS_CBS!$A$5:$A$16,0)),""))</f>
        <v/>
      </c>
      <c r="AB8" s="149" t="n"/>
    </row>
    <row r="9">
      <c r="A9" s="149" t="n"/>
      <c r="B9" s="149" t="n"/>
      <c r="C9" s="150">
        <f>IF($D9="","",IFERROR(INDEX(WBS_CBS!$E$5:$E$16,MATCH($D9,WBS_CBS!$A$5:$A$16,0)),""))</f>
        <v/>
      </c>
      <c r="D9" s="149" t="n"/>
      <c r="E9" s="150">
        <f>IF($D9="","",IFERROR(INDEX(WBS_CBS!$C$5:$C$16,MATCH($D9,WBS_CBS!$A$5:$A$16,0)),""))</f>
        <v/>
      </c>
      <c r="F9" s="150">
        <f>IF($D9="","",IFERROR(INDEX(WBS_CBS!$J$5:$J$16,MATCH($D9,WBS_CBS!$A$5:$A$16,0)),""))</f>
        <v/>
      </c>
      <c r="G9" s="149" t="n"/>
      <c r="H9" s="151" t="n"/>
      <c r="I9" s="149" t="n"/>
      <c r="J9" s="152" t="n"/>
      <c r="K9" s="149" t="n"/>
      <c r="L9" s="153">
        <f>IF($K9="","",IFERROR(INDEX(FX_Rates!$B$5:$B$14,MATCH($K9,FX_Rates!$A$5:$A$14,0)),""))</f>
        <v/>
      </c>
      <c r="M9" s="153">
        <f>IF(OR($H9="",$J9=""),"",$H9*$J9)</f>
        <v/>
      </c>
      <c r="N9" s="153">
        <f>IF(OR($M9="",$L9=""),"",$M9*$L9)</f>
        <v/>
      </c>
      <c r="O9" s="149" t="n"/>
      <c r="P9" s="154">
        <f>IF($O9="","",IFERROR(INDEX(Basis_of_Estimate!$C$5:$C$9,MATCH($O9,Basis_of_Estimate!$A$5:$A$9,0)),""))</f>
        <v/>
      </c>
      <c r="Q9" s="154">
        <f>IF($O9="","",IFERROR(INDEX(Basis_of_Estimate!$D$5:$D$9,MATCH($O9,Basis_of_Estimate!$A$5:$A$9,0)),""))</f>
        <v/>
      </c>
      <c r="R9" s="153">
        <f>IF($N9="","",$N9*(1+$P9))</f>
        <v/>
      </c>
      <c r="S9" s="153">
        <f>IF($N9="","",$N9)</f>
        <v/>
      </c>
      <c r="T9" s="153">
        <f>IF($N9="","",$N9*(1+$Q9))</f>
        <v/>
      </c>
      <c r="U9" s="150">
        <f>IF($D9="","",IFERROR(INDEX(WBS_CBS!$M$5:$M$16,MATCH($D9,WBS_CBS!$A$5:$A$16,0)),"Yes"))</f>
        <v/>
      </c>
      <c r="V9" s="150">
        <f>IF($D9="","",IFERROR(INDEX(WBS_CBS!$N$5:$N$16,MATCH($D9,WBS_CBS!$A$5:$A$16,0)),"Yes"))</f>
        <v/>
      </c>
      <c r="W9" s="150">
        <f>IF($D9="","",IFERROR(INDEX(WBS_CBS!$K$5:$K$16,MATCH($D9,WBS_CBS!$A$5:$A$16,0)),""))</f>
        <v/>
      </c>
      <c r="X9" s="150">
        <f>IF($D9="","",IFERROR(INDEX(WBS_CBS!$F$5:$F$16,MATCH($D9,WBS_CBS!$A$5:$A$16,0)),""))</f>
        <v/>
      </c>
      <c r="Y9" s="149" t="n"/>
      <c r="Z9" s="149" t="n"/>
      <c r="AA9" s="150">
        <f>IF($D9="","",IFERROR(INDEX(WBS_CBS!$L$5:$L$16,MATCH($D9,WBS_CBS!$A$5:$A$16,0)),""))</f>
        <v/>
      </c>
      <c r="AB9" s="149" t="n"/>
    </row>
    <row r="10">
      <c r="A10" s="149" t="n"/>
      <c r="B10" s="149" t="n"/>
      <c r="C10" s="150">
        <f>IF($D10="","",IFERROR(INDEX(WBS_CBS!$E$5:$E$16,MATCH($D10,WBS_CBS!$A$5:$A$16,0)),""))</f>
        <v/>
      </c>
      <c r="D10" s="149" t="n"/>
      <c r="E10" s="150">
        <f>IF($D10="","",IFERROR(INDEX(WBS_CBS!$C$5:$C$16,MATCH($D10,WBS_CBS!$A$5:$A$16,0)),""))</f>
        <v/>
      </c>
      <c r="F10" s="150">
        <f>IF($D10="","",IFERROR(INDEX(WBS_CBS!$J$5:$J$16,MATCH($D10,WBS_CBS!$A$5:$A$16,0)),""))</f>
        <v/>
      </c>
      <c r="G10" s="149" t="n"/>
      <c r="H10" s="151" t="n"/>
      <c r="I10" s="149" t="n"/>
      <c r="J10" s="152" t="n"/>
      <c r="K10" s="149" t="n"/>
      <c r="L10" s="153">
        <f>IF($K10="","",IFERROR(INDEX(FX_Rates!$B$5:$B$14,MATCH($K10,FX_Rates!$A$5:$A$14,0)),""))</f>
        <v/>
      </c>
      <c r="M10" s="153">
        <f>IF(OR($H10="",$J10=""),"",$H10*$J10)</f>
        <v/>
      </c>
      <c r="N10" s="153">
        <f>IF(OR($M10="",$L10=""),"",$M10*$L10)</f>
        <v/>
      </c>
      <c r="O10" s="149" t="n"/>
      <c r="P10" s="154">
        <f>IF($O10="","",IFERROR(INDEX(Basis_of_Estimate!$C$5:$C$9,MATCH($O10,Basis_of_Estimate!$A$5:$A$9,0)),""))</f>
        <v/>
      </c>
      <c r="Q10" s="154">
        <f>IF($O10="","",IFERROR(INDEX(Basis_of_Estimate!$D$5:$D$9,MATCH($O10,Basis_of_Estimate!$A$5:$A$9,0)),""))</f>
        <v/>
      </c>
      <c r="R10" s="153">
        <f>IF($N10="","",$N10*(1+$P10))</f>
        <v/>
      </c>
      <c r="S10" s="153">
        <f>IF($N10="","",$N10)</f>
        <v/>
      </c>
      <c r="T10" s="153">
        <f>IF($N10="","",$N10*(1+$Q10))</f>
        <v/>
      </c>
      <c r="U10" s="150">
        <f>IF($D10="","",IFERROR(INDEX(WBS_CBS!$M$5:$M$16,MATCH($D10,WBS_CBS!$A$5:$A$16,0)),"Yes"))</f>
        <v/>
      </c>
      <c r="V10" s="150">
        <f>IF($D10="","",IFERROR(INDEX(WBS_CBS!$N$5:$N$16,MATCH($D10,WBS_CBS!$A$5:$A$16,0)),"Yes"))</f>
        <v/>
      </c>
      <c r="W10" s="150">
        <f>IF($D10="","",IFERROR(INDEX(WBS_CBS!$K$5:$K$16,MATCH($D10,WBS_CBS!$A$5:$A$16,0)),""))</f>
        <v/>
      </c>
      <c r="X10" s="150">
        <f>IF($D10="","",IFERROR(INDEX(WBS_CBS!$F$5:$F$16,MATCH($D10,WBS_CBS!$A$5:$A$16,0)),""))</f>
        <v/>
      </c>
      <c r="Y10" s="149" t="n"/>
      <c r="Z10" s="149" t="n"/>
      <c r="AA10" s="150">
        <f>IF($D10="","",IFERROR(INDEX(WBS_CBS!$L$5:$L$16,MATCH($D10,WBS_CBS!$A$5:$A$16,0)),""))</f>
        <v/>
      </c>
      <c r="AB10" s="149" t="n"/>
    </row>
    <row r="11">
      <c r="A11" s="149" t="n"/>
      <c r="B11" s="149" t="n"/>
      <c r="C11" s="150">
        <f>IF($D11="","",IFERROR(INDEX(WBS_CBS!$E$5:$E$16,MATCH($D11,WBS_CBS!$A$5:$A$16,0)),""))</f>
        <v/>
      </c>
      <c r="D11" s="149" t="n"/>
      <c r="E11" s="150">
        <f>IF($D11="","",IFERROR(INDEX(WBS_CBS!$C$5:$C$16,MATCH($D11,WBS_CBS!$A$5:$A$16,0)),""))</f>
        <v/>
      </c>
      <c r="F11" s="150">
        <f>IF($D11="","",IFERROR(INDEX(WBS_CBS!$J$5:$J$16,MATCH($D11,WBS_CBS!$A$5:$A$16,0)),""))</f>
        <v/>
      </c>
      <c r="G11" s="149" t="n"/>
      <c r="H11" s="151" t="n"/>
      <c r="I11" s="149" t="n"/>
      <c r="J11" s="152" t="n"/>
      <c r="K11" s="149" t="n"/>
      <c r="L11" s="153">
        <f>IF($K11="","",IFERROR(INDEX(FX_Rates!$B$5:$B$14,MATCH($K11,FX_Rates!$A$5:$A$14,0)),""))</f>
        <v/>
      </c>
      <c r="M11" s="153">
        <f>IF(OR($H11="",$J11=""),"",$H11*$J11)</f>
        <v/>
      </c>
      <c r="N11" s="153">
        <f>IF(OR($M11="",$L11=""),"",$M11*$L11)</f>
        <v/>
      </c>
      <c r="O11" s="149" t="n"/>
      <c r="P11" s="154">
        <f>IF($O11="","",IFERROR(INDEX(Basis_of_Estimate!$C$5:$C$9,MATCH($O11,Basis_of_Estimate!$A$5:$A$9,0)),""))</f>
        <v/>
      </c>
      <c r="Q11" s="154">
        <f>IF($O11="","",IFERROR(INDEX(Basis_of_Estimate!$D$5:$D$9,MATCH($O11,Basis_of_Estimate!$A$5:$A$9,0)),""))</f>
        <v/>
      </c>
      <c r="R11" s="153">
        <f>IF($N11="","",$N11*(1+$P11))</f>
        <v/>
      </c>
      <c r="S11" s="153">
        <f>IF($N11="","",$N11)</f>
        <v/>
      </c>
      <c r="T11" s="153">
        <f>IF($N11="","",$N11*(1+$Q11))</f>
        <v/>
      </c>
      <c r="U11" s="150">
        <f>IF($D11="","",IFERROR(INDEX(WBS_CBS!$M$5:$M$16,MATCH($D11,WBS_CBS!$A$5:$A$16,0)),"Yes"))</f>
        <v/>
      </c>
      <c r="V11" s="150">
        <f>IF($D11="","",IFERROR(INDEX(WBS_CBS!$N$5:$N$16,MATCH($D11,WBS_CBS!$A$5:$A$16,0)),"Yes"))</f>
        <v/>
      </c>
      <c r="W11" s="150">
        <f>IF($D11="","",IFERROR(INDEX(WBS_CBS!$K$5:$K$16,MATCH($D11,WBS_CBS!$A$5:$A$16,0)),""))</f>
        <v/>
      </c>
      <c r="X11" s="150">
        <f>IF($D11="","",IFERROR(INDEX(WBS_CBS!$F$5:$F$16,MATCH($D11,WBS_CBS!$A$5:$A$16,0)),""))</f>
        <v/>
      </c>
      <c r="Y11" s="149" t="n"/>
      <c r="Z11" s="149" t="n"/>
      <c r="AA11" s="150">
        <f>IF($D11="","",IFERROR(INDEX(WBS_CBS!$L$5:$L$16,MATCH($D11,WBS_CBS!$A$5:$A$16,0)),""))</f>
        <v/>
      </c>
      <c r="AB11" s="149" t="n"/>
    </row>
    <row r="12">
      <c r="A12" s="149" t="n"/>
      <c r="B12" s="149" t="n"/>
      <c r="C12" s="150">
        <f>IF($D12="","",IFERROR(INDEX(WBS_CBS!$E$5:$E$16,MATCH($D12,WBS_CBS!$A$5:$A$16,0)),""))</f>
        <v/>
      </c>
      <c r="D12" s="149" t="n"/>
      <c r="E12" s="150">
        <f>IF($D12="","",IFERROR(INDEX(WBS_CBS!$C$5:$C$16,MATCH($D12,WBS_CBS!$A$5:$A$16,0)),""))</f>
        <v/>
      </c>
      <c r="F12" s="150">
        <f>IF($D12="","",IFERROR(INDEX(WBS_CBS!$J$5:$J$16,MATCH($D12,WBS_CBS!$A$5:$A$16,0)),""))</f>
        <v/>
      </c>
      <c r="G12" s="149" t="n"/>
      <c r="H12" s="151" t="n"/>
      <c r="I12" s="149" t="n"/>
      <c r="J12" s="152" t="n"/>
      <c r="K12" s="149" t="n"/>
      <c r="L12" s="153">
        <f>IF($K12="","",IFERROR(INDEX(FX_Rates!$B$5:$B$14,MATCH($K12,FX_Rates!$A$5:$A$14,0)),""))</f>
        <v/>
      </c>
      <c r="M12" s="153">
        <f>IF(OR($H12="",$J12=""),"",$H12*$J12)</f>
        <v/>
      </c>
      <c r="N12" s="153">
        <f>IF(OR($M12="",$L12=""),"",$M12*$L12)</f>
        <v/>
      </c>
      <c r="O12" s="149" t="n"/>
      <c r="P12" s="154">
        <f>IF($O12="","",IFERROR(INDEX(Basis_of_Estimate!$C$5:$C$9,MATCH($O12,Basis_of_Estimate!$A$5:$A$9,0)),""))</f>
        <v/>
      </c>
      <c r="Q12" s="154">
        <f>IF($O12="","",IFERROR(INDEX(Basis_of_Estimate!$D$5:$D$9,MATCH($O12,Basis_of_Estimate!$A$5:$A$9,0)),""))</f>
        <v/>
      </c>
      <c r="R12" s="153">
        <f>IF($N12="","",$N12*(1+$P12))</f>
        <v/>
      </c>
      <c r="S12" s="153">
        <f>IF($N12="","",$N12)</f>
        <v/>
      </c>
      <c r="T12" s="153">
        <f>IF($N12="","",$N12*(1+$Q12))</f>
        <v/>
      </c>
      <c r="U12" s="150">
        <f>IF($D12="","",IFERROR(INDEX(WBS_CBS!$M$5:$M$16,MATCH($D12,WBS_CBS!$A$5:$A$16,0)),"Yes"))</f>
        <v/>
      </c>
      <c r="V12" s="150">
        <f>IF($D12="","",IFERROR(INDEX(WBS_CBS!$N$5:$N$16,MATCH($D12,WBS_CBS!$A$5:$A$16,0)),"Yes"))</f>
        <v/>
      </c>
      <c r="W12" s="150">
        <f>IF($D12="","",IFERROR(INDEX(WBS_CBS!$K$5:$K$16,MATCH($D12,WBS_CBS!$A$5:$A$16,0)),""))</f>
        <v/>
      </c>
      <c r="X12" s="150">
        <f>IF($D12="","",IFERROR(INDEX(WBS_CBS!$F$5:$F$16,MATCH($D12,WBS_CBS!$A$5:$A$16,0)),""))</f>
        <v/>
      </c>
      <c r="Y12" s="149" t="n"/>
      <c r="Z12" s="149" t="n"/>
      <c r="AA12" s="150">
        <f>IF($D12="","",IFERROR(INDEX(WBS_CBS!$L$5:$L$16,MATCH($D12,WBS_CBS!$A$5:$A$16,0)),""))</f>
        <v/>
      </c>
      <c r="AB12" s="149" t="n"/>
    </row>
    <row r="13">
      <c r="A13" s="149" t="n"/>
      <c r="B13" s="149" t="n"/>
      <c r="C13" s="150">
        <f>IF($D13="","",IFERROR(INDEX(WBS_CBS!$E$5:$E$16,MATCH($D13,WBS_CBS!$A$5:$A$16,0)),""))</f>
        <v/>
      </c>
      <c r="D13" s="149" t="n"/>
      <c r="E13" s="150">
        <f>IF($D13="","",IFERROR(INDEX(WBS_CBS!$C$5:$C$16,MATCH($D13,WBS_CBS!$A$5:$A$16,0)),""))</f>
        <v/>
      </c>
      <c r="F13" s="150">
        <f>IF($D13="","",IFERROR(INDEX(WBS_CBS!$J$5:$J$16,MATCH($D13,WBS_CBS!$A$5:$A$16,0)),""))</f>
        <v/>
      </c>
      <c r="G13" s="149" t="n"/>
      <c r="H13" s="151" t="n"/>
      <c r="I13" s="149" t="n"/>
      <c r="J13" s="152" t="n"/>
      <c r="K13" s="149" t="n"/>
      <c r="L13" s="153">
        <f>IF($K13="","",IFERROR(INDEX(FX_Rates!$B$5:$B$14,MATCH($K13,FX_Rates!$A$5:$A$14,0)),""))</f>
        <v/>
      </c>
      <c r="M13" s="153">
        <f>IF(OR($H13="",$J13=""),"",$H13*$J13)</f>
        <v/>
      </c>
      <c r="N13" s="153">
        <f>IF(OR($M13="",$L13=""),"",$M13*$L13)</f>
        <v/>
      </c>
      <c r="O13" s="149" t="n"/>
      <c r="P13" s="154">
        <f>IF($O13="","",IFERROR(INDEX(Basis_of_Estimate!$C$5:$C$9,MATCH($O13,Basis_of_Estimate!$A$5:$A$9,0)),""))</f>
        <v/>
      </c>
      <c r="Q13" s="154">
        <f>IF($O13="","",IFERROR(INDEX(Basis_of_Estimate!$D$5:$D$9,MATCH($O13,Basis_of_Estimate!$A$5:$A$9,0)),""))</f>
        <v/>
      </c>
      <c r="R13" s="153">
        <f>IF($N13="","",$N13*(1+$P13))</f>
        <v/>
      </c>
      <c r="S13" s="153">
        <f>IF($N13="","",$N13)</f>
        <v/>
      </c>
      <c r="T13" s="153">
        <f>IF($N13="","",$N13*(1+$Q13))</f>
        <v/>
      </c>
      <c r="U13" s="150">
        <f>IF($D13="","",IFERROR(INDEX(WBS_CBS!$M$5:$M$16,MATCH($D13,WBS_CBS!$A$5:$A$16,0)),"Yes"))</f>
        <v/>
      </c>
      <c r="V13" s="150">
        <f>IF($D13="","",IFERROR(INDEX(WBS_CBS!$N$5:$N$16,MATCH($D13,WBS_CBS!$A$5:$A$16,0)),"Yes"))</f>
        <v/>
      </c>
      <c r="W13" s="150">
        <f>IF($D13="","",IFERROR(INDEX(WBS_CBS!$K$5:$K$16,MATCH($D13,WBS_CBS!$A$5:$A$16,0)),""))</f>
        <v/>
      </c>
      <c r="X13" s="150">
        <f>IF($D13="","",IFERROR(INDEX(WBS_CBS!$F$5:$F$16,MATCH($D13,WBS_CBS!$A$5:$A$16,0)),""))</f>
        <v/>
      </c>
      <c r="Y13" s="149" t="n"/>
      <c r="Z13" s="149" t="n"/>
      <c r="AA13" s="150">
        <f>IF($D13="","",IFERROR(INDEX(WBS_CBS!$L$5:$L$16,MATCH($D13,WBS_CBS!$A$5:$A$16,0)),""))</f>
        <v/>
      </c>
      <c r="AB13" s="149" t="n"/>
    </row>
    <row r="14">
      <c r="A14" s="149" t="n"/>
      <c r="B14" s="149" t="n"/>
      <c r="C14" s="150">
        <f>IF($D14="","",IFERROR(INDEX(WBS_CBS!$E$5:$E$16,MATCH($D14,WBS_CBS!$A$5:$A$16,0)),""))</f>
        <v/>
      </c>
      <c r="D14" s="149" t="n"/>
      <c r="E14" s="150">
        <f>IF($D14="","",IFERROR(INDEX(WBS_CBS!$C$5:$C$16,MATCH($D14,WBS_CBS!$A$5:$A$16,0)),""))</f>
        <v/>
      </c>
      <c r="F14" s="150">
        <f>IF($D14="","",IFERROR(INDEX(WBS_CBS!$J$5:$J$16,MATCH($D14,WBS_CBS!$A$5:$A$16,0)),""))</f>
        <v/>
      </c>
      <c r="G14" s="149" t="n"/>
      <c r="H14" s="151" t="n"/>
      <c r="I14" s="149" t="n"/>
      <c r="J14" s="152" t="n"/>
      <c r="K14" s="149" t="n"/>
      <c r="L14" s="153">
        <f>IF($K14="","",IFERROR(INDEX(FX_Rates!$B$5:$B$14,MATCH($K14,FX_Rates!$A$5:$A$14,0)),""))</f>
        <v/>
      </c>
      <c r="M14" s="153">
        <f>IF(OR($H14="",$J14=""),"",$H14*$J14)</f>
        <v/>
      </c>
      <c r="N14" s="153">
        <f>IF(OR($M14="",$L14=""),"",$M14*$L14)</f>
        <v/>
      </c>
      <c r="O14" s="149" t="n"/>
      <c r="P14" s="154">
        <f>IF($O14="","",IFERROR(INDEX(Basis_of_Estimate!$C$5:$C$9,MATCH($O14,Basis_of_Estimate!$A$5:$A$9,0)),""))</f>
        <v/>
      </c>
      <c r="Q14" s="154">
        <f>IF($O14="","",IFERROR(INDEX(Basis_of_Estimate!$D$5:$D$9,MATCH($O14,Basis_of_Estimate!$A$5:$A$9,0)),""))</f>
        <v/>
      </c>
      <c r="R14" s="153">
        <f>IF($N14="","",$N14*(1+$P14))</f>
        <v/>
      </c>
      <c r="S14" s="153">
        <f>IF($N14="","",$N14)</f>
        <v/>
      </c>
      <c r="T14" s="153">
        <f>IF($N14="","",$N14*(1+$Q14))</f>
        <v/>
      </c>
      <c r="U14" s="150">
        <f>IF($D14="","",IFERROR(INDEX(WBS_CBS!$M$5:$M$16,MATCH($D14,WBS_CBS!$A$5:$A$16,0)),"Yes"))</f>
        <v/>
      </c>
      <c r="V14" s="150">
        <f>IF($D14="","",IFERROR(INDEX(WBS_CBS!$N$5:$N$16,MATCH($D14,WBS_CBS!$A$5:$A$16,0)),"Yes"))</f>
        <v/>
      </c>
      <c r="W14" s="150">
        <f>IF($D14="","",IFERROR(INDEX(WBS_CBS!$K$5:$K$16,MATCH($D14,WBS_CBS!$A$5:$A$16,0)),""))</f>
        <v/>
      </c>
      <c r="X14" s="150">
        <f>IF($D14="","",IFERROR(INDEX(WBS_CBS!$F$5:$F$16,MATCH($D14,WBS_CBS!$A$5:$A$16,0)),""))</f>
        <v/>
      </c>
      <c r="Y14" s="149" t="n"/>
      <c r="Z14" s="149" t="n"/>
      <c r="AA14" s="150">
        <f>IF($D14="","",IFERROR(INDEX(WBS_CBS!$L$5:$L$16,MATCH($D14,WBS_CBS!$A$5:$A$16,0)),""))</f>
        <v/>
      </c>
      <c r="AB14" s="149" t="n"/>
    </row>
    <row r="15">
      <c r="A15" s="149" t="n"/>
      <c r="B15" s="149" t="n"/>
      <c r="C15" s="150">
        <f>IF($D15="","",IFERROR(INDEX(WBS_CBS!$E$5:$E$16,MATCH($D15,WBS_CBS!$A$5:$A$16,0)),""))</f>
        <v/>
      </c>
      <c r="D15" s="149" t="n"/>
      <c r="E15" s="150">
        <f>IF($D15="","",IFERROR(INDEX(WBS_CBS!$C$5:$C$16,MATCH($D15,WBS_CBS!$A$5:$A$16,0)),""))</f>
        <v/>
      </c>
      <c r="F15" s="150">
        <f>IF($D15="","",IFERROR(INDEX(WBS_CBS!$J$5:$J$16,MATCH($D15,WBS_CBS!$A$5:$A$16,0)),""))</f>
        <v/>
      </c>
      <c r="G15" s="149" t="n"/>
      <c r="H15" s="151" t="n"/>
      <c r="I15" s="149" t="n"/>
      <c r="J15" s="152" t="n"/>
      <c r="K15" s="149" t="n"/>
      <c r="L15" s="153">
        <f>IF($K15="","",IFERROR(INDEX(FX_Rates!$B$5:$B$14,MATCH($K15,FX_Rates!$A$5:$A$14,0)),""))</f>
        <v/>
      </c>
      <c r="M15" s="153">
        <f>IF(OR($H15="",$J15=""),"",$H15*$J15)</f>
        <v/>
      </c>
      <c r="N15" s="153">
        <f>IF(OR($M15="",$L15=""),"",$M15*$L15)</f>
        <v/>
      </c>
      <c r="O15" s="149" t="n"/>
      <c r="P15" s="154">
        <f>IF($O15="","",IFERROR(INDEX(Basis_of_Estimate!$C$5:$C$9,MATCH($O15,Basis_of_Estimate!$A$5:$A$9,0)),""))</f>
        <v/>
      </c>
      <c r="Q15" s="154">
        <f>IF($O15="","",IFERROR(INDEX(Basis_of_Estimate!$D$5:$D$9,MATCH($O15,Basis_of_Estimate!$A$5:$A$9,0)),""))</f>
        <v/>
      </c>
      <c r="R15" s="153">
        <f>IF($N15="","",$N15*(1+$P15))</f>
        <v/>
      </c>
      <c r="S15" s="153">
        <f>IF($N15="","",$N15)</f>
        <v/>
      </c>
      <c r="T15" s="153">
        <f>IF($N15="","",$N15*(1+$Q15))</f>
        <v/>
      </c>
      <c r="U15" s="150">
        <f>IF($D15="","",IFERROR(INDEX(WBS_CBS!$M$5:$M$16,MATCH($D15,WBS_CBS!$A$5:$A$16,0)),"Yes"))</f>
        <v/>
      </c>
      <c r="V15" s="150">
        <f>IF($D15="","",IFERROR(INDEX(WBS_CBS!$N$5:$N$16,MATCH($D15,WBS_CBS!$A$5:$A$16,0)),"Yes"))</f>
        <v/>
      </c>
      <c r="W15" s="150">
        <f>IF($D15="","",IFERROR(INDEX(WBS_CBS!$K$5:$K$16,MATCH($D15,WBS_CBS!$A$5:$A$16,0)),""))</f>
        <v/>
      </c>
      <c r="X15" s="150">
        <f>IF($D15="","",IFERROR(INDEX(WBS_CBS!$F$5:$F$16,MATCH($D15,WBS_CBS!$A$5:$A$16,0)),""))</f>
        <v/>
      </c>
      <c r="Y15" s="149" t="n"/>
      <c r="Z15" s="149" t="n"/>
      <c r="AA15" s="150">
        <f>IF($D15="","",IFERROR(INDEX(WBS_CBS!$L$5:$L$16,MATCH($D15,WBS_CBS!$A$5:$A$16,0)),""))</f>
        <v/>
      </c>
      <c r="AB15" s="149" t="n"/>
    </row>
    <row r="16">
      <c r="A16" s="149" t="n"/>
      <c r="B16" s="149" t="n"/>
      <c r="C16" s="150">
        <f>IF($D16="","",IFERROR(INDEX(WBS_CBS!$E$5:$E$16,MATCH($D16,WBS_CBS!$A$5:$A$16,0)),""))</f>
        <v/>
      </c>
      <c r="D16" s="149" t="n"/>
      <c r="E16" s="150">
        <f>IF($D16="","",IFERROR(INDEX(WBS_CBS!$C$5:$C$16,MATCH($D16,WBS_CBS!$A$5:$A$16,0)),""))</f>
        <v/>
      </c>
      <c r="F16" s="150">
        <f>IF($D16="","",IFERROR(INDEX(WBS_CBS!$J$5:$J$16,MATCH($D16,WBS_CBS!$A$5:$A$16,0)),""))</f>
        <v/>
      </c>
      <c r="G16" s="149" t="n"/>
      <c r="H16" s="151" t="n"/>
      <c r="I16" s="149" t="n"/>
      <c r="J16" s="152" t="n"/>
      <c r="K16" s="149" t="n"/>
      <c r="L16" s="153">
        <f>IF($K16="","",IFERROR(INDEX(FX_Rates!$B$5:$B$14,MATCH($K16,FX_Rates!$A$5:$A$14,0)),""))</f>
        <v/>
      </c>
      <c r="M16" s="153">
        <f>IF(OR($H16="",$J16=""),"",$H16*$J16)</f>
        <v/>
      </c>
      <c r="N16" s="153">
        <f>IF(OR($M16="",$L16=""),"",$M16*$L16)</f>
        <v/>
      </c>
      <c r="O16" s="149" t="n"/>
      <c r="P16" s="154">
        <f>IF($O16="","",IFERROR(INDEX(Basis_of_Estimate!$C$5:$C$9,MATCH($O16,Basis_of_Estimate!$A$5:$A$9,0)),""))</f>
        <v/>
      </c>
      <c r="Q16" s="154">
        <f>IF($O16="","",IFERROR(INDEX(Basis_of_Estimate!$D$5:$D$9,MATCH($O16,Basis_of_Estimate!$A$5:$A$9,0)),""))</f>
        <v/>
      </c>
      <c r="R16" s="153">
        <f>IF($N16="","",$N16*(1+$P16))</f>
        <v/>
      </c>
      <c r="S16" s="153">
        <f>IF($N16="","",$N16)</f>
        <v/>
      </c>
      <c r="T16" s="153">
        <f>IF($N16="","",$N16*(1+$Q16))</f>
        <v/>
      </c>
      <c r="U16" s="150">
        <f>IF($D16="","",IFERROR(INDEX(WBS_CBS!$M$5:$M$16,MATCH($D16,WBS_CBS!$A$5:$A$16,0)),"Yes"))</f>
        <v/>
      </c>
      <c r="V16" s="150">
        <f>IF($D16="","",IFERROR(INDEX(WBS_CBS!$N$5:$N$16,MATCH($D16,WBS_CBS!$A$5:$A$16,0)),"Yes"))</f>
        <v/>
      </c>
      <c r="W16" s="150">
        <f>IF($D16="","",IFERROR(INDEX(WBS_CBS!$K$5:$K$16,MATCH($D16,WBS_CBS!$A$5:$A$16,0)),""))</f>
        <v/>
      </c>
      <c r="X16" s="150">
        <f>IF($D16="","",IFERROR(INDEX(WBS_CBS!$F$5:$F$16,MATCH($D16,WBS_CBS!$A$5:$A$16,0)),""))</f>
        <v/>
      </c>
      <c r="Y16" s="149" t="n"/>
      <c r="Z16" s="149" t="n"/>
      <c r="AA16" s="150">
        <f>IF($D16="","",IFERROR(INDEX(WBS_CBS!$L$5:$L$16,MATCH($D16,WBS_CBS!$A$5:$A$16,0)),""))</f>
        <v/>
      </c>
      <c r="AB16" s="149" t="n"/>
    </row>
    <row r="17">
      <c r="A17" s="149" t="n"/>
      <c r="B17" s="149" t="n"/>
      <c r="C17" s="150">
        <f>IF($D17="","",IFERROR(INDEX(WBS_CBS!$E$5:$E$16,MATCH($D17,WBS_CBS!$A$5:$A$16,0)),""))</f>
        <v/>
      </c>
      <c r="D17" s="149" t="n"/>
      <c r="E17" s="150">
        <f>IF($D17="","",IFERROR(INDEX(WBS_CBS!$C$5:$C$16,MATCH($D17,WBS_CBS!$A$5:$A$16,0)),""))</f>
        <v/>
      </c>
      <c r="F17" s="150">
        <f>IF($D17="","",IFERROR(INDEX(WBS_CBS!$J$5:$J$16,MATCH($D17,WBS_CBS!$A$5:$A$16,0)),""))</f>
        <v/>
      </c>
      <c r="G17" s="149" t="n"/>
      <c r="H17" s="151" t="n"/>
      <c r="I17" s="149" t="n"/>
      <c r="J17" s="152" t="n"/>
      <c r="K17" s="149" t="n"/>
      <c r="L17" s="153">
        <f>IF($K17="","",IFERROR(INDEX(FX_Rates!$B$5:$B$14,MATCH($K17,FX_Rates!$A$5:$A$14,0)),""))</f>
        <v/>
      </c>
      <c r="M17" s="153">
        <f>IF(OR($H17="",$J17=""),"",$H17*$J17)</f>
        <v/>
      </c>
      <c r="N17" s="153">
        <f>IF(OR($M17="",$L17=""),"",$M17*$L17)</f>
        <v/>
      </c>
      <c r="O17" s="149" t="n"/>
      <c r="P17" s="154">
        <f>IF($O17="","",IFERROR(INDEX(Basis_of_Estimate!$C$5:$C$9,MATCH($O17,Basis_of_Estimate!$A$5:$A$9,0)),""))</f>
        <v/>
      </c>
      <c r="Q17" s="154">
        <f>IF($O17="","",IFERROR(INDEX(Basis_of_Estimate!$D$5:$D$9,MATCH($O17,Basis_of_Estimate!$A$5:$A$9,0)),""))</f>
        <v/>
      </c>
      <c r="R17" s="153">
        <f>IF($N17="","",$N17*(1+$P17))</f>
        <v/>
      </c>
      <c r="S17" s="153">
        <f>IF($N17="","",$N17)</f>
        <v/>
      </c>
      <c r="T17" s="153">
        <f>IF($N17="","",$N17*(1+$Q17))</f>
        <v/>
      </c>
      <c r="U17" s="150">
        <f>IF($D17="","",IFERROR(INDEX(WBS_CBS!$M$5:$M$16,MATCH($D17,WBS_CBS!$A$5:$A$16,0)),"Yes"))</f>
        <v/>
      </c>
      <c r="V17" s="150">
        <f>IF($D17="","",IFERROR(INDEX(WBS_CBS!$N$5:$N$16,MATCH($D17,WBS_CBS!$A$5:$A$16,0)),"Yes"))</f>
        <v/>
      </c>
      <c r="W17" s="150">
        <f>IF($D17="","",IFERROR(INDEX(WBS_CBS!$K$5:$K$16,MATCH($D17,WBS_CBS!$A$5:$A$16,0)),""))</f>
        <v/>
      </c>
      <c r="X17" s="150">
        <f>IF($D17="","",IFERROR(INDEX(WBS_CBS!$F$5:$F$16,MATCH($D17,WBS_CBS!$A$5:$A$16,0)),""))</f>
        <v/>
      </c>
      <c r="Y17" s="149" t="n"/>
      <c r="Z17" s="149" t="n"/>
      <c r="AA17" s="150">
        <f>IF($D17="","",IFERROR(INDEX(WBS_CBS!$L$5:$L$16,MATCH($D17,WBS_CBS!$A$5:$A$16,0)),""))</f>
        <v/>
      </c>
      <c r="AB17" s="149" t="n"/>
    </row>
    <row r="18">
      <c r="A18" s="149" t="n"/>
      <c r="B18" s="149" t="n"/>
      <c r="C18" s="150">
        <f>IF($D18="","",IFERROR(INDEX(WBS_CBS!$E$5:$E$16,MATCH($D18,WBS_CBS!$A$5:$A$16,0)),""))</f>
        <v/>
      </c>
      <c r="D18" s="149" t="n"/>
      <c r="E18" s="150">
        <f>IF($D18="","",IFERROR(INDEX(WBS_CBS!$C$5:$C$16,MATCH($D18,WBS_CBS!$A$5:$A$16,0)),""))</f>
        <v/>
      </c>
      <c r="F18" s="150">
        <f>IF($D18="","",IFERROR(INDEX(WBS_CBS!$J$5:$J$16,MATCH($D18,WBS_CBS!$A$5:$A$16,0)),""))</f>
        <v/>
      </c>
      <c r="G18" s="149" t="n"/>
      <c r="H18" s="151" t="n"/>
      <c r="I18" s="149" t="n"/>
      <c r="J18" s="152" t="n"/>
      <c r="K18" s="149" t="n"/>
      <c r="L18" s="153">
        <f>IF($K18="","",IFERROR(INDEX(FX_Rates!$B$5:$B$14,MATCH($K18,FX_Rates!$A$5:$A$14,0)),""))</f>
        <v/>
      </c>
      <c r="M18" s="153">
        <f>IF(OR($H18="",$J18=""),"",$H18*$J18)</f>
        <v/>
      </c>
      <c r="N18" s="153">
        <f>IF(OR($M18="",$L18=""),"",$M18*$L18)</f>
        <v/>
      </c>
      <c r="O18" s="149" t="n"/>
      <c r="P18" s="154">
        <f>IF($O18="","",IFERROR(INDEX(Basis_of_Estimate!$C$5:$C$9,MATCH($O18,Basis_of_Estimate!$A$5:$A$9,0)),""))</f>
        <v/>
      </c>
      <c r="Q18" s="154">
        <f>IF($O18="","",IFERROR(INDEX(Basis_of_Estimate!$D$5:$D$9,MATCH($O18,Basis_of_Estimate!$A$5:$A$9,0)),""))</f>
        <v/>
      </c>
      <c r="R18" s="153">
        <f>IF($N18="","",$N18*(1+$P18))</f>
        <v/>
      </c>
      <c r="S18" s="153">
        <f>IF($N18="","",$N18)</f>
        <v/>
      </c>
      <c r="T18" s="153">
        <f>IF($N18="","",$N18*(1+$Q18))</f>
        <v/>
      </c>
      <c r="U18" s="150">
        <f>IF($D18="","",IFERROR(INDEX(WBS_CBS!$M$5:$M$16,MATCH($D18,WBS_CBS!$A$5:$A$16,0)),"Yes"))</f>
        <v/>
      </c>
      <c r="V18" s="150">
        <f>IF($D18="","",IFERROR(INDEX(WBS_CBS!$N$5:$N$16,MATCH($D18,WBS_CBS!$A$5:$A$16,0)),"Yes"))</f>
        <v/>
      </c>
      <c r="W18" s="150">
        <f>IF($D18="","",IFERROR(INDEX(WBS_CBS!$K$5:$K$16,MATCH($D18,WBS_CBS!$A$5:$A$16,0)),""))</f>
        <v/>
      </c>
      <c r="X18" s="150">
        <f>IF($D18="","",IFERROR(INDEX(WBS_CBS!$F$5:$F$16,MATCH($D18,WBS_CBS!$A$5:$A$16,0)),""))</f>
        <v/>
      </c>
      <c r="Y18" s="149" t="n"/>
      <c r="Z18" s="149" t="n"/>
      <c r="AA18" s="150">
        <f>IF($D18="","",IFERROR(INDEX(WBS_CBS!$L$5:$L$16,MATCH($D18,WBS_CBS!$A$5:$A$16,0)),""))</f>
        <v/>
      </c>
      <c r="AB18" s="149" t="n"/>
    </row>
    <row r="19">
      <c r="A19" s="149" t="n"/>
      <c r="B19" s="149" t="n"/>
      <c r="C19" s="150">
        <f>IF($D19="","",IFERROR(INDEX(WBS_CBS!$E$5:$E$16,MATCH($D19,WBS_CBS!$A$5:$A$16,0)),""))</f>
        <v/>
      </c>
      <c r="D19" s="149" t="n"/>
      <c r="E19" s="150">
        <f>IF($D19="","",IFERROR(INDEX(WBS_CBS!$C$5:$C$16,MATCH($D19,WBS_CBS!$A$5:$A$16,0)),""))</f>
        <v/>
      </c>
      <c r="F19" s="150">
        <f>IF($D19="","",IFERROR(INDEX(WBS_CBS!$J$5:$J$16,MATCH($D19,WBS_CBS!$A$5:$A$16,0)),""))</f>
        <v/>
      </c>
      <c r="G19" s="149" t="n"/>
      <c r="H19" s="151" t="n"/>
      <c r="I19" s="149" t="n"/>
      <c r="J19" s="152" t="n"/>
      <c r="K19" s="149" t="n"/>
      <c r="L19" s="153">
        <f>IF($K19="","",IFERROR(INDEX(FX_Rates!$B$5:$B$14,MATCH($K19,FX_Rates!$A$5:$A$14,0)),""))</f>
        <v/>
      </c>
      <c r="M19" s="153">
        <f>IF(OR($H19="",$J19=""),"",$H19*$J19)</f>
        <v/>
      </c>
      <c r="N19" s="153">
        <f>IF(OR($M19="",$L19=""),"",$M19*$L19)</f>
        <v/>
      </c>
      <c r="O19" s="149" t="n"/>
      <c r="P19" s="154">
        <f>IF($O19="","",IFERROR(INDEX(Basis_of_Estimate!$C$5:$C$9,MATCH($O19,Basis_of_Estimate!$A$5:$A$9,0)),""))</f>
        <v/>
      </c>
      <c r="Q19" s="154">
        <f>IF($O19="","",IFERROR(INDEX(Basis_of_Estimate!$D$5:$D$9,MATCH($O19,Basis_of_Estimate!$A$5:$A$9,0)),""))</f>
        <v/>
      </c>
      <c r="R19" s="153">
        <f>IF($N19="","",$N19*(1+$P19))</f>
        <v/>
      </c>
      <c r="S19" s="153">
        <f>IF($N19="","",$N19)</f>
        <v/>
      </c>
      <c r="T19" s="153">
        <f>IF($N19="","",$N19*(1+$Q19))</f>
        <v/>
      </c>
      <c r="U19" s="150">
        <f>IF($D19="","",IFERROR(INDEX(WBS_CBS!$M$5:$M$16,MATCH($D19,WBS_CBS!$A$5:$A$16,0)),"Yes"))</f>
        <v/>
      </c>
      <c r="V19" s="150">
        <f>IF($D19="","",IFERROR(INDEX(WBS_CBS!$N$5:$N$16,MATCH($D19,WBS_CBS!$A$5:$A$16,0)),"Yes"))</f>
        <v/>
      </c>
      <c r="W19" s="150">
        <f>IF($D19="","",IFERROR(INDEX(WBS_CBS!$K$5:$K$16,MATCH($D19,WBS_CBS!$A$5:$A$16,0)),""))</f>
        <v/>
      </c>
      <c r="X19" s="150">
        <f>IF($D19="","",IFERROR(INDEX(WBS_CBS!$F$5:$F$16,MATCH($D19,WBS_CBS!$A$5:$A$16,0)),""))</f>
        <v/>
      </c>
      <c r="Y19" s="149" t="n"/>
      <c r="Z19" s="149" t="n"/>
      <c r="AA19" s="150">
        <f>IF($D19="","",IFERROR(INDEX(WBS_CBS!$L$5:$L$16,MATCH($D19,WBS_CBS!$A$5:$A$16,0)),""))</f>
        <v/>
      </c>
      <c r="AB19" s="149" t="n"/>
    </row>
    <row r="20">
      <c r="A20" s="149" t="n"/>
      <c r="B20" s="149" t="n"/>
      <c r="C20" s="150">
        <f>IF($D20="","",IFERROR(INDEX(WBS_CBS!$E$5:$E$16,MATCH($D20,WBS_CBS!$A$5:$A$16,0)),""))</f>
        <v/>
      </c>
      <c r="D20" s="149" t="n"/>
      <c r="E20" s="150">
        <f>IF($D20="","",IFERROR(INDEX(WBS_CBS!$C$5:$C$16,MATCH($D20,WBS_CBS!$A$5:$A$16,0)),""))</f>
        <v/>
      </c>
      <c r="F20" s="150">
        <f>IF($D20="","",IFERROR(INDEX(WBS_CBS!$J$5:$J$16,MATCH($D20,WBS_CBS!$A$5:$A$16,0)),""))</f>
        <v/>
      </c>
      <c r="G20" s="149" t="n"/>
      <c r="H20" s="151" t="n"/>
      <c r="I20" s="149" t="n"/>
      <c r="J20" s="152" t="n"/>
      <c r="K20" s="149" t="n"/>
      <c r="L20" s="153">
        <f>IF($K20="","",IFERROR(INDEX(FX_Rates!$B$5:$B$14,MATCH($K20,FX_Rates!$A$5:$A$14,0)),""))</f>
        <v/>
      </c>
      <c r="M20" s="153">
        <f>IF(OR($H20="",$J20=""),"",$H20*$J20)</f>
        <v/>
      </c>
      <c r="N20" s="153">
        <f>IF(OR($M20="",$L20=""),"",$M20*$L20)</f>
        <v/>
      </c>
      <c r="O20" s="149" t="n"/>
      <c r="P20" s="154">
        <f>IF($O20="","",IFERROR(INDEX(Basis_of_Estimate!$C$5:$C$9,MATCH($O20,Basis_of_Estimate!$A$5:$A$9,0)),""))</f>
        <v/>
      </c>
      <c r="Q20" s="154">
        <f>IF($O20="","",IFERROR(INDEX(Basis_of_Estimate!$D$5:$D$9,MATCH($O20,Basis_of_Estimate!$A$5:$A$9,0)),""))</f>
        <v/>
      </c>
      <c r="R20" s="153">
        <f>IF($N20="","",$N20*(1+$P20))</f>
        <v/>
      </c>
      <c r="S20" s="153">
        <f>IF($N20="","",$N20)</f>
        <v/>
      </c>
      <c r="T20" s="153">
        <f>IF($N20="","",$N20*(1+$Q20))</f>
        <v/>
      </c>
      <c r="U20" s="150">
        <f>IF($D20="","",IFERROR(INDEX(WBS_CBS!$M$5:$M$16,MATCH($D20,WBS_CBS!$A$5:$A$16,0)),"Yes"))</f>
        <v/>
      </c>
      <c r="V20" s="150">
        <f>IF($D20="","",IFERROR(INDEX(WBS_CBS!$N$5:$N$16,MATCH($D20,WBS_CBS!$A$5:$A$16,0)),"Yes"))</f>
        <v/>
      </c>
      <c r="W20" s="150">
        <f>IF($D20="","",IFERROR(INDEX(WBS_CBS!$K$5:$K$16,MATCH($D20,WBS_CBS!$A$5:$A$16,0)),""))</f>
        <v/>
      </c>
      <c r="X20" s="150">
        <f>IF($D20="","",IFERROR(INDEX(WBS_CBS!$F$5:$F$16,MATCH($D20,WBS_CBS!$A$5:$A$16,0)),""))</f>
        <v/>
      </c>
      <c r="Y20" s="149" t="n"/>
      <c r="Z20" s="149" t="n"/>
      <c r="AA20" s="150">
        <f>IF($D20="","",IFERROR(INDEX(WBS_CBS!$L$5:$L$16,MATCH($D20,WBS_CBS!$A$5:$A$16,0)),""))</f>
        <v/>
      </c>
      <c r="AB20" s="149" t="n"/>
    </row>
    <row r="21">
      <c r="A21" s="149" t="n"/>
      <c r="B21" s="149" t="n"/>
      <c r="C21" s="150">
        <f>IF($D21="","",IFERROR(INDEX(WBS_CBS!$E$5:$E$16,MATCH($D21,WBS_CBS!$A$5:$A$16,0)),""))</f>
        <v/>
      </c>
      <c r="D21" s="149" t="n"/>
      <c r="E21" s="150">
        <f>IF($D21="","",IFERROR(INDEX(WBS_CBS!$C$5:$C$16,MATCH($D21,WBS_CBS!$A$5:$A$16,0)),""))</f>
        <v/>
      </c>
      <c r="F21" s="150">
        <f>IF($D21="","",IFERROR(INDEX(WBS_CBS!$J$5:$J$16,MATCH($D21,WBS_CBS!$A$5:$A$16,0)),""))</f>
        <v/>
      </c>
      <c r="G21" s="149" t="n"/>
      <c r="H21" s="151" t="n"/>
      <c r="I21" s="149" t="n"/>
      <c r="J21" s="152" t="n"/>
      <c r="K21" s="149" t="n"/>
      <c r="L21" s="153">
        <f>IF($K21="","",IFERROR(INDEX(FX_Rates!$B$5:$B$14,MATCH($K21,FX_Rates!$A$5:$A$14,0)),""))</f>
        <v/>
      </c>
      <c r="M21" s="153">
        <f>IF(OR($H21="",$J21=""),"",$H21*$J21)</f>
        <v/>
      </c>
      <c r="N21" s="153">
        <f>IF(OR($M21="",$L21=""),"",$M21*$L21)</f>
        <v/>
      </c>
      <c r="O21" s="149" t="n"/>
      <c r="P21" s="154">
        <f>IF($O21="","",IFERROR(INDEX(Basis_of_Estimate!$C$5:$C$9,MATCH($O21,Basis_of_Estimate!$A$5:$A$9,0)),""))</f>
        <v/>
      </c>
      <c r="Q21" s="154">
        <f>IF($O21="","",IFERROR(INDEX(Basis_of_Estimate!$D$5:$D$9,MATCH($O21,Basis_of_Estimate!$A$5:$A$9,0)),""))</f>
        <v/>
      </c>
      <c r="R21" s="153">
        <f>IF($N21="","",$N21*(1+$P21))</f>
        <v/>
      </c>
      <c r="S21" s="153">
        <f>IF($N21="","",$N21)</f>
        <v/>
      </c>
      <c r="T21" s="153">
        <f>IF($N21="","",$N21*(1+$Q21))</f>
        <v/>
      </c>
      <c r="U21" s="150">
        <f>IF($D21="","",IFERROR(INDEX(WBS_CBS!$M$5:$M$16,MATCH($D21,WBS_CBS!$A$5:$A$16,0)),"Yes"))</f>
        <v/>
      </c>
      <c r="V21" s="150">
        <f>IF($D21="","",IFERROR(INDEX(WBS_CBS!$N$5:$N$16,MATCH($D21,WBS_CBS!$A$5:$A$16,0)),"Yes"))</f>
        <v/>
      </c>
      <c r="W21" s="150">
        <f>IF($D21="","",IFERROR(INDEX(WBS_CBS!$K$5:$K$16,MATCH($D21,WBS_CBS!$A$5:$A$16,0)),""))</f>
        <v/>
      </c>
      <c r="X21" s="150">
        <f>IF($D21="","",IFERROR(INDEX(WBS_CBS!$F$5:$F$16,MATCH($D21,WBS_CBS!$A$5:$A$16,0)),""))</f>
        <v/>
      </c>
      <c r="Y21" s="149" t="n"/>
      <c r="Z21" s="149" t="n"/>
      <c r="AA21" s="150">
        <f>IF($D21="","",IFERROR(INDEX(WBS_CBS!$L$5:$L$16,MATCH($D21,WBS_CBS!$A$5:$A$16,0)),""))</f>
        <v/>
      </c>
      <c r="AB21" s="149" t="n"/>
    </row>
    <row r="22">
      <c r="A22" s="149" t="n"/>
      <c r="B22" s="149" t="n"/>
      <c r="C22" s="150">
        <f>IF($D22="","",IFERROR(INDEX(WBS_CBS!$E$5:$E$16,MATCH($D22,WBS_CBS!$A$5:$A$16,0)),""))</f>
        <v/>
      </c>
      <c r="D22" s="149" t="n"/>
      <c r="E22" s="150">
        <f>IF($D22="","",IFERROR(INDEX(WBS_CBS!$C$5:$C$16,MATCH($D22,WBS_CBS!$A$5:$A$16,0)),""))</f>
        <v/>
      </c>
      <c r="F22" s="150">
        <f>IF($D22="","",IFERROR(INDEX(WBS_CBS!$J$5:$J$16,MATCH($D22,WBS_CBS!$A$5:$A$16,0)),""))</f>
        <v/>
      </c>
      <c r="G22" s="149" t="n"/>
      <c r="H22" s="151" t="n"/>
      <c r="I22" s="149" t="n"/>
      <c r="J22" s="152" t="n"/>
      <c r="K22" s="149" t="n"/>
      <c r="L22" s="153">
        <f>IF($K22="","",IFERROR(INDEX(FX_Rates!$B$5:$B$14,MATCH($K22,FX_Rates!$A$5:$A$14,0)),""))</f>
        <v/>
      </c>
      <c r="M22" s="153">
        <f>IF(OR($H22="",$J22=""),"",$H22*$J22)</f>
        <v/>
      </c>
      <c r="N22" s="153">
        <f>IF(OR($M22="",$L22=""),"",$M22*$L22)</f>
        <v/>
      </c>
      <c r="O22" s="149" t="n"/>
      <c r="P22" s="154">
        <f>IF($O22="","",IFERROR(INDEX(Basis_of_Estimate!$C$5:$C$9,MATCH($O22,Basis_of_Estimate!$A$5:$A$9,0)),""))</f>
        <v/>
      </c>
      <c r="Q22" s="154">
        <f>IF($O22="","",IFERROR(INDEX(Basis_of_Estimate!$D$5:$D$9,MATCH($O22,Basis_of_Estimate!$A$5:$A$9,0)),""))</f>
        <v/>
      </c>
      <c r="R22" s="153">
        <f>IF($N22="","",$N22*(1+$P22))</f>
        <v/>
      </c>
      <c r="S22" s="153">
        <f>IF($N22="","",$N22)</f>
        <v/>
      </c>
      <c r="T22" s="153">
        <f>IF($N22="","",$N22*(1+$Q22))</f>
        <v/>
      </c>
      <c r="U22" s="150">
        <f>IF($D22="","",IFERROR(INDEX(WBS_CBS!$M$5:$M$16,MATCH($D22,WBS_CBS!$A$5:$A$16,0)),"Yes"))</f>
        <v/>
      </c>
      <c r="V22" s="150">
        <f>IF($D22="","",IFERROR(INDEX(WBS_CBS!$N$5:$N$16,MATCH($D22,WBS_CBS!$A$5:$A$16,0)),"Yes"))</f>
        <v/>
      </c>
      <c r="W22" s="150">
        <f>IF($D22="","",IFERROR(INDEX(WBS_CBS!$K$5:$K$16,MATCH($D22,WBS_CBS!$A$5:$A$16,0)),""))</f>
        <v/>
      </c>
      <c r="X22" s="150">
        <f>IF($D22="","",IFERROR(INDEX(WBS_CBS!$F$5:$F$16,MATCH($D22,WBS_CBS!$A$5:$A$16,0)),""))</f>
        <v/>
      </c>
      <c r="Y22" s="149" t="n"/>
      <c r="Z22" s="149" t="n"/>
      <c r="AA22" s="150">
        <f>IF($D22="","",IFERROR(INDEX(WBS_CBS!$L$5:$L$16,MATCH($D22,WBS_CBS!$A$5:$A$16,0)),""))</f>
        <v/>
      </c>
      <c r="AB22" s="149" t="n"/>
    </row>
    <row r="23">
      <c r="A23" s="149" t="n"/>
      <c r="B23" s="149" t="n"/>
      <c r="C23" s="150">
        <f>IF($D23="","",IFERROR(INDEX(WBS_CBS!$E$5:$E$16,MATCH($D23,WBS_CBS!$A$5:$A$16,0)),""))</f>
        <v/>
      </c>
      <c r="D23" s="149" t="n"/>
      <c r="E23" s="150">
        <f>IF($D23="","",IFERROR(INDEX(WBS_CBS!$C$5:$C$16,MATCH($D23,WBS_CBS!$A$5:$A$16,0)),""))</f>
        <v/>
      </c>
      <c r="F23" s="150">
        <f>IF($D23="","",IFERROR(INDEX(WBS_CBS!$J$5:$J$16,MATCH($D23,WBS_CBS!$A$5:$A$16,0)),""))</f>
        <v/>
      </c>
      <c r="G23" s="149" t="n"/>
      <c r="H23" s="151" t="n"/>
      <c r="I23" s="149" t="n"/>
      <c r="J23" s="152" t="n"/>
      <c r="K23" s="149" t="n"/>
      <c r="L23" s="153">
        <f>IF($K23="","",IFERROR(INDEX(FX_Rates!$B$5:$B$14,MATCH($K23,FX_Rates!$A$5:$A$14,0)),""))</f>
        <v/>
      </c>
      <c r="M23" s="153">
        <f>IF(OR($H23="",$J23=""),"",$H23*$J23)</f>
        <v/>
      </c>
      <c r="N23" s="153">
        <f>IF(OR($M23="",$L23=""),"",$M23*$L23)</f>
        <v/>
      </c>
      <c r="O23" s="149" t="n"/>
      <c r="P23" s="154">
        <f>IF($O23="","",IFERROR(INDEX(Basis_of_Estimate!$C$5:$C$9,MATCH($O23,Basis_of_Estimate!$A$5:$A$9,0)),""))</f>
        <v/>
      </c>
      <c r="Q23" s="154">
        <f>IF($O23="","",IFERROR(INDEX(Basis_of_Estimate!$D$5:$D$9,MATCH($O23,Basis_of_Estimate!$A$5:$A$9,0)),""))</f>
        <v/>
      </c>
      <c r="R23" s="153">
        <f>IF($N23="","",$N23*(1+$P23))</f>
        <v/>
      </c>
      <c r="S23" s="153">
        <f>IF($N23="","",$N23)</f>
        <v/>
      </c>
      <c r="T23" s="153">
        <f>IF($N23="","",$N23*(1+$Q23))</f>
        <v/>
      </c>
      <c r="U23" s="150">
        <f>IF($D23="","",IFERROR(INDEX(WBS_CBS!$M$5:$M$16,MATCH($D23,WBS_CBS!$A$5:$A$16,0)),"Yes"))</f>
        <v/>
      </c>
      <c r="V23" s="150">
        <f>IF($D23="","",IFERROR(INDEX(WBS_CBS!$N$5:$N$16,MATCH($D23,WBS_CBS!$A$5:$A$16,0)),"Yes"))</f>
        <v/>
      </c>
      <c r="W23" s="150">
        <f>IF($D23="","",IFERROR(INDEX(WBS_CBS!$K$5:$K$16,MATCH($D23,WBS_CBS!$A$5:$A$16,0)),""))</f>
        <v/>
      </c>
      <c r="X23" s="150">
        <f>IF($D23="","",IFERROR(INDEX(WBS_CBS!$F$5:$F$16,MATCH($D23,WBS_CBS!$A$5:$A$16,0)),""))</f>
        <v/>
      </c>
      <c r="Y23" s="149" t="n"/>
      <c r="Z23" s="149" t="n"/>
      <c r="AA23" s="150">
        <f>IF($D23="","",IFERROR(INDEX(WBS_CBS!$L$5:$L$16,MATCH($D23,WBS_CBS!$A$5:$A$16,0)),""))</f>
        <v/>
      </c>
      <c r="AB23" s="149" t="n"/>
    </row>
    <row r="24">
      <c r="A24" s="149" t="n"/>
      <c r="B24" s="149" t="n"/>
      <c r="C24" s="150">
        <f>IF($D24="","",IFERROR(INDEX(WBS_CBS!$E$5:$E$16,MATCH($D24,WBS_CBS!$A$5:$A$16,0)),""))</f>
        <v/>
      </c>
      <c r="D24" s="149" t="n"/>
      <c r="E24" s="150">
        <f>IF($D24="","",IFERROR(INDEX(WBS_CBS!$C$5:$C$16,MATCH($D24,WBS_CBS!$A$5:$A$16,0)),""))</f>
        <v/>
      </c>
      <c r="F24" s="150">
        <f>IF($D24="","",IFERROR(INDEX(WBS_CBS!$J$5:$J$16,MATCH($D24,WBS_CBS!$A$5:$A$16,0)),""))</f>
        <v/>
      </c>
      <c r="G24" s="149" t="n"/>
      <c r="H24" s="151" t="n"/>
      <c r="I24" s="149" t="n"/>
      <c r="J24" s="152" t="n"/>
      <c r="K24" s="149" t="n"/>
      <c r="L24" s="153">
        <f>IF($K24="","",IFERROR(INDEX(FX_Rates!$B$5:$B$14,MATCH($K24,FX_Rates!$A$5:$A$14,0)),""))</f>
        <v/>
      </c>
      <c r="M24" s="153">
        <f>IF(OR($H24="",$J24=""),"",$H24*$J24)</f>
        <v/>
      </c>
      <c r="N24" s="153">
        <f>IF(OR($M24="",$L24=""),"",$M24*$L24)</f>
        <v/>
      </c>
      <c r="O24" s="149" t="n"/>
      <c r="P24" s="154">
        <f>IF($O24="","",IFERROR(INDEX(Basis_of_Estimate!$C$5:$C$9,MATCH($O24,Basis_of_Estimate!$A$5:$A$9,0)),""))</f>
        <v/>
      </c>
      <c r="Q24" s="154">
        <f>IF($O24="","",IFERROR(INDEX(Basis_of_Estimate!$D$5:$D$9,MATCH($O24,Basis_of_Estimate!$A$5:$A$9,0)),""))</f>
        <v/>
      </c>
      <c r="R24" s="153">
        <f>IF($N24="","",$N24*(1+$P24))</f>
        <v/>
      </c>
      <c r="S24" s="153">
        <f>IF($N24="","",$N24)</f>
        <v/>
      </c>
      <c r="T24" s="153">
        <f>IF($N24="","",$N24*(1+$Q24))</f>
        <v/>
      </c>
      <c r="U24" s="150">
        <f>IF($D24="","",IFERROR(INDEX(WBS_CBS!$M$5:$M$16,MATCH($D24,WBS_CBS!$A$5:$A$16,0)),"Yes"))</f>
        <v/>
      </c>
      <c r="V24" s="150">
        <f>IF($D24="","",IFERROR(INDEX(WBS_CBS!$N$5:$N$16,MATCH($D24,WBS_CBS!$A$5:$A$16,0)),"Yes"))</f>
        <v/>
      </c>
      <c r="W24" s="150">
        <f>IF($D24="","",IFERROR(INDEX(WBS_CBS!$K$5:$K$16,MATCH($D24,WBS_CBS!$A$5:$A$16,0)),""))</f>
        <v/>
      </c>
      <c r="X24" s="150">
        <f>IF($D24="","",IFERROR(INDEX(WBS_CBS!$F$5:$F$16,MATCH($D24,WBS_CBS!$A$5:$A$16,0)),""))</f>
        <v/>
      </c>
      <c r="Y24" s="149" t="n"/>
      <c r="Z24" s="149" t="n"/>
      <c r="AA24" s="150">
        <f>IF($D24="","",IFERROR(INDEX(WBS_CBS!$L$5:$L$16,MATCH($D24,WBS_CBS!$A$5:$A$16,0)),""))</f>
        <v/>
      </c>
      <c r="AB24" s="149" t="n"/>
    </row>
    <row r="25">
      <c r="A25" s="149" t="n"/>
      <c r="B25" s="149" t="n"/>
      <c r="C25" s="150">
        <f>IF($D25="","",IFERROR(INDEX(WBS_CBS!$E$5:$E$16,MATCH($D25,WBS_CBS!$A$5:$A$16,0)),""))</f>
        <v/>
      </c>
      <c r="D25" s="149" t="n"/>
      <c r="E25" s="150">
        <f>IF($D25="","",IFERROR(INDEX(WBS_CBS!$C$5:$C$16,MATCH($D25,WBS_CBS!$A$5:$A$16,0)),""))</f>
        <v/>
      </c>
      <c r="F25" s="150">
        <f>IF($D25="","",IFERROR(INDEX(WBS_CBS!$J$5:$J$16,MATCH($D25,WBS_CBS!$A$5:$A$16,0)),""))</f>
        <v/>
      </c>
      <c r="G25" s="149" t="n"/>
      <c r="H25" s="151" t="n"/>
      <c r="I25" s="149" t="n"/>
      <c r="J25" s="152" t="n"/>
      <c r="K25" s="149" t="n"/>
      <c r="L25" s="153">
        <f>IF($K25="","",IFERROR(INDEX(FX_Rates!$B$5:$B$14,MATCH($K25,FX_Rates!$A$5:$A$14,0)),""))</f>
        <v/>
      </c>
      <c r="M25" s="153">
        <f>IF(OR($H25="",$J25=""),"",$H25*$J25)</f>
        <v/>
      </c>
      <c r="N25" s="153">
        <f>IF(OR($M25="",$L25=""),"",$M25*$L25)</f>
        <v/>
      </c>
      <c r="O25" s="149" t="n"/>
      <c r="P25" s="154">
        <f>IF($O25="","",IFERROR(INDEX(Basis_of_Estimate!$C$5:$C$9,MATCH($O25,Basis_of_Estimate!$A$5:$A$9,0)),""))</f>
        <v/>
      </c>
      <c r="Q25" s="154">
        <f>IF($O25="","",IFERROR(INDEX(Basis_of_Estimate!$D$5:$D$9,MATCH($O25,Basis_of_Estimate!$A$5:$A$9,0)),""))</f>
        <v/>
      </c>
      <c r="R25" s="153">
        <f>IF($N25="","",$N25*(1+$P25))</f>
        <v/>
      </c>
      <c r="S25" s="153">
        <f>IF($N25="","",$N25)</f>
        <v/>
      </c>
      <c r="T25" s="153">
        <f>IF($N25="","",$N25*(1+$Q25))</f>
        <v/>
      </c>
      <c r="U25" s="150">
        <f>IF($D25="","",IFERROR(INDEX(WBS_CBS!$M$5:$M$16,MATCH($D25,WBS_CBS!$A$5:$A$16,0)),"Yes"))</f>
        <v/>
      </c>
      <c r="V25" s="150">
        <f>IF($D25="","",IFERROR(INDEX(WBS_CBS!$N$5:$N$16,MATCH($D25,WBS_CBS!$A$5:$A$16,0)),"Yes"))</f>
        <v/>
      </c>
      <c r="W25" s="150">
        <f>IF($D25="","",IFERROR(INDEX(WBS_CBS!$K$5:$K$16,MATCH($D25,WBS_CBS!$A$5:$A$16,0)),""))</f>
        <v/>
      </c>
      <c r="X25" s="150">
        <f>IF($D25="","",IFERROR(INDEX(WBS_CBS!$F$5:$F$16,MATCH($D25,WBS_CBS!$A$5:$A$16,0)),""))</f>
        <v/>
      </c>
      <c r="Y25" s="149" t="n"/>
      <c r="Z25" s="149" t="n"/>
      <c r="AA25" s="150">
        <f>IF($D25="","",IFERROR(INDEX(WBS_CBS!$L$5:$L$16,MATCH($D25,WBS_CBS!$A$5:$A$16,0)),""))</f>
        <v/>
      </c>
      <c r="AB25" s="149" t="n"/>
    </row>
    <row r="26">
      <c r="A26" s="149" t="n"/>
      <c r="B26" s="149" t="n"/>
      <c r="C26" s="150">
        <f>IF($D26="","",IFERROR(INDEX(WBS_CBS!$E$5:$E$16,MATCH($D26,WBS_CBS!$A$5:$A$16,0)),""))</f>
        <v/>
      </c>
      <c r="D26" s="149" t="n"/>
      <c r="E26" s="150">
        <f>IF($D26="","",IFERROR(INDEX(WBS_CBS!$C$5:$C$16,MATCH($D26,WBS_CBS!$A$5:$A$16,0)),""))</f>
        <v/>
      </c>
      <c r="F26" s="150">
        <f>IF($D26="","",IFERROR(INDEX(WBS_CBS!$J$5:$J$16,MATCH($D26,WBS_CBS!$A$5:$A$16,0)),""))</f>
        <v/>
      </c>
      <c r="G26" s="149" t="n"/>
      <c r="H26" s="151" t="n"/>
      <c r="I26" s="149" t="n"/>
      <c r="J26" s="152" t="n"/>
      <c r="K26" s="149" t="n"/>
      <c r="L26" s="153">
        <f>IF($K26="","",IFERROR(INDEX(FX_Rates!$B$5:$B$14,MATCH($K26,FX_Rates!$A$5:$A$14,0)),""))</f>
        <v/>
      </c>
      <c r="M26" s="153">
        <f>IF(OR($H26="",$J26=""),"",$H26*$J26)</f>
        <v/>
      </c>
      <c r="N26" s="153">
        <f>IF(OR($M26="",$L26=""),"",$M26*$L26)</f>
        <v/>
      </c>
      <c r="O26" s="149" t="n"/>
      <c r="P26" s="154">
        <f>IF($O26="","",IFERROR(INDEX(Basis_of_Estimate!$C$5:$C$9,MATCH($O26,Basis_of_Estimate!$A$5:$A$9,0)),""))</f>
        <v/>
      </c>
      <c r="Q26" s="154">
        <f>IF($O26="","",IFERROR(INDEX(Basis_of_Estimate!$D$5:$D$9,MATCH($O26,Basis_of_Estimate!$A$5:$A$9,0)),""))</f>
        <v/>
      </c>
      <c r="R26" s="153">
        <f>IF($N26="","",$N26*(1+$P26))</f>
        <v/>
      </c>
      <c r="S26" s="153">
        <f>IF($N26="","",$N26)</f>
        <v/>
      </c>
      <c r="T26" s="153">
        <f>IF($N26="","",$N26*(1+$Q26))</f>
        <v/>
      </c>
      <c r="U26" s="150">
        <f>IF($D26="","",IFERROR(INDEX(WBS_CBS!$M$5:$M$16,MATCH($D26,WBS_CBS!$A$5:$A$16,0)),"Yes"))</f>
        <v/>
      </c>
      <c r="V26" s="150">
        <f>IF($D26="","",IFERROR(INDEX(WBS_CBS!$N$5:$N$16,MATCH($D26,WBS_CBS!$A$5:$A$16,0)),"Yes"))</f>
        <v/>
      </c>
      <c r="W26" s="150">
        <f>IF($D26="","",IFERROR(INDEX(WBS_CBS!$K$5:$K$16,MATCH($D26,WBS_CBS!$A$5:$A$16,0)),""))</f>
        <v/>
      </c>
      <c r="X26" s="150">
        <f>IF($D26="","",IFERROR(INDEX(WBS_CBS!$F$5:$F$16,MATCH($D26,WBS_CBS!$A$5:$A$16,0)),""))</f>
        <v/>
      </c>
      <c r="Y26" s="149" t="n"/>
      <c r="Z26" s="149" t="n"/>
      <c r="AA26" s="150">
        <f>IF($D26="","",IFERROR(INDEX(WBS_CBS!$L$5:$L$16,MATCH($D26,WBS_CBS!$A$5:$A$16,0)),""))</f>
        <v/>
      </c>
      <c r="AB26" s="149" t="n"/>
    </row>
    <row r="27">
      <c r="A27" s="149" t="n"/>
      <c r="B27" s="149" t="n"/>
      <c r="C27" s="150">
        <f>IF($D27="","",IFERROR(INDEX(WBS_CBS!$E$5:$E$16,MATCH($D27,WBS_CBS!$A$5:$A$16,0)),""))</f>
        <v/>
      </c>
      <c r="D27" s="149" t="n"/>
      <c r="E27" s="150">
        <f>IF($D27="","",IFERROR(INDEX(WBS_CBS!$C$5:$C$16,MATCH($D27,WBS_CBS!$A$5:$A$16,0)),""))</f>
        <v/>
      </c>
      <c r="F27" s="150">
        <f>IF($D27="","",IFERROR(INDEX(WBS_CBS!$J$5:$J$16,MATCH($D27,WBS_CBS!$A$5:$A$16,0)),""))</f>
        <v/>
      </c>
      <c r="G27" s="149" t="n"/>
      <c r="H27" s="151" t="n"/>
      <c r="I27" s="149" t="n"/>
      <c r="J27" s="152" t="n"/>
      <c r="K27" s="149" t="n"/>
      <c r="L27" s="153">
        <f>IF($K27="","",IFERROR(INDEX(FX_Rates!$B$5:$B$14,MATCH($K27,FX_Rates!$A$5:$A$14,0)),""))</f>
        <v/>
      </c>
      <c r="M27" s="153">
        <f>IF(OR($H27="",$J27=""),"",$H27*$J27)</f>
        <v/>
      </c>
      <c r="N27" s="153">
        <f>IF(OR($M27="",$L27=""),"",$M27*$L27)</f>
        <v/>
      </c>
      <c r="O27" s="149" t="n"/>
      <c r="P27" s="154">
        <f>IF($O27="","",IFERROR(INDEX(Basis_of_Estimate!$C$5:$C$9,MATCH($O27,Basis_of_Estimate!$A$5:$A$9,0)),""))</f>
        <v/>
      </c>
      <c r="Q27" s="154">
        <f>IF($O27="","",IFERROR(INDEX(Basis_of_Estimate!$D$5:$D$9,MATCH($O27,Basis_of_Estimate!$A$5:$A$9,0)),""))</f>
        <v/>
      </c>
      <c r="R27" s="153">
        <f>IF($N27="","",$N27*(1+$P27))</f>
        <v/>
      </c>
      <c r="S27" s="153">
        <f>IF($N27="","",$N27)</f>
        <v/>
      </c>
      <c r="T27" s="153">
        <f>IF($N27="","",$N27*(1+$Q27))</f>
        <v/>
      </c>
      <c r="U27" s="150">
        <f>IF($D27="","",IFERROR(INDEX(WBS_CBS!$M$5:$M$16,MATCH($D27,WBS_CBS!$A$5:$A$16,0)),"Yes"))</f>
        <v/>
      </c>
      <c r="V27" s="150">
        <f>IF($D27="","",IFERROR(INDEX(WBS_CBS!$N$5:$N$16,MATCH($D27,WBS_CBS!$A$5:$A$16,0)),"Yes"))</f>
        <v/>
      </c>
      <c r="W27" s="150">
        <f>IF($D27="","",IFERROR(INDEX(WBS_CBS!$K$5:$K$16,MATCH($D27,WBS_CBS!$A$5:$A$16,0)),""))</f>
        <v/>
      </c>
      <c r="X27" s="150">
        <f>IF($D27="","",IFERROR(INDEX(WBS_CBS!$F$5:$F$16,MATCH($D27,WBS_CBS!$A$5:$A$16,0)),""))</f>
        <v/>
      </c>
      <c r="Y27" s="149" t="n"/>
      <c r="Z27" s="149" t="n"/>
      <c r="AA27" s="150">
        <f>IF($D27="","",IFERROR(INDEX(WBS_CBS!$L$5:$L$16,MATCH($D27,WBS_CBS!$A$5:$A$16,0)),""))</f>
        <v/>
      </c>
      <c r="AB27" s="149" t="n"/>
    </row>
    <row r="28">
      <c r="A28" s="149" t="n"/>
      <c r="B28" s="149" t="n"/>
      <c r="C28" s="150">
        <f>IF($D28="","",IFERROR(INDEX(WBS_CBS!$E$5:$E$16,MATCH($D28,WBS_CBS!$A$5:$A$16,0)),""))</f>
        <v/>
      </c>
      <c r="D28" s="149" t="n"/>
      <c r="E28" s="150">
        <f>IF($D28="","",IFERROR(INDEX(WBS_CBS!$C$5:$C$16,MATCH($D28,WBS_CBS!$A$5:$A$16,0)),""))</f>
        <v/>
      </c>
      <c r="F28" s="150">
        <f>IF($D28="","",IFERROR(INDEX(WBS_CBS!$J$5:$J$16,MATCH($D28,WBS_CBS!$A$5:$A$16,0)),""))</f>
        <v/>
      </c>
      <c r="G28" s="149" t="n"/>
      <c r="H28" s="151" t="n"/>
      <c r="I28" s="149" t="n"/>
      <c r="J28" s="152" t="n"/>
      <c r="K28" s="149" t="n"/>
      <c r="L28" s="153">
        <f>IF($K28="","",IFERROR(INDEX(FX_Rates!$B$5:$B$14,MATCH($K28,FX_Rates!$A$5:$A$14,0)),""))</f>
        <v/>
      </c>
      <c r="M28" s="153">
        <f>IF(OR($H28="",$J28=""),"",$H28*$J28)</f>
        <v/>
      </c>
      <c r="N28" s="153">
        <f>IF(OR($M28="",$L28=""),"",$M28*$L28)</f>
        <v/>
      </c>
      <c r="O28" s="149" t="n"/>
      <c r="P28" s="154">
        <f>IF($O28="","",IFERROR(INDEX(Basis_of_Estimate!$C$5:$C$9,MATCH($O28,Basis_of_Estimate!$A$5:$A$9,0)),""))</f>
        <v/>
      </c>
      <c r="Q28" s="154">
        <f>IF($O28="","",IFERROR(INDEX(Basis_of_Estimate!$D$5:$D$9,MATCH($O28,Basis_of_Estimate!$A$5:$A$9,0)),""))</f>
        <v/>
      </c>
      <c r="R28" s="153">
        <f>IF($N28="","",$N28*(1+$P28))</f>
        <v/>
      </c>
      <c r="S28" s="153">
        <f>IF($N28="","",$N28)</f>
        <v/>
      </c>
      <c r="T28" s="153">
        <f>IF($N28="","",$N28*(1+$Q28))</f>
        <v/>
      </c>
      <c r="U28" s="150">
        <f>IF($D28="","",IFERROR(INDEX(WBS_CBS!$M$5:$M$16,MATCH($D28,WBS_CBS!$A$5:$A$16,0)),"Yes"))</f>
        <v/>
      </c>
      <c r="V28" s="150">
        <f>IF($D28="","",IFERROR(INDEX(WBS_CBS!$N$5:$N$16,MATCH($D28,WBS_CBS!$A$5:$A$16,0)),"Yes"))</f>
        <v/>
      </c>
      <c r="W28" s="150">
        <f>IF($D28="","",IFERROR(INDEX(WBS_CBS!$K$5:$K$16,MATCH($D28,WBS_CBS!$A$5:$A$16,0)),""))</f>
        <v/>
      </c>
      <c r="X28" s="150">
        <f>IF($D28="","",IFERROR(INDEX(WBS_CBS!$F$5:$F$16,MATCH($D28,WBS_CBS!$A$5:$A$16,0)),""))</f>
        <v/>
      </c>
      <c r="Y28" s="149" t="n"/>
      <c r="Z28" s="149" t="n"/>
      <c r="AA28" s="150">
        <f>IF($D28="","",IFERROR(INDEX(WBS_CBS!$L$5:$L$16,MATCH($D28,WBS_CBS!$A$5:$A$16,0)),""))</f>
        <v/>
      </c>
      <c r="AB28" s="149" t="n"/>
    </row>
    <row r="29">
      <c r="A29" s="149" t="n"/>
      <c r="B29" s="149" t="n"/>
      <c r="C29" s="150">
        <f>IF($D29="","",IFERROR(INDEX(WBS_CBS!$E$5:$E$16,MATCH($D29,WBS_CBS!$A$5:$A$16,0)),""))</f>
        <v/>
      </c>
      <c r="D29" s="149" t="n"/>
      <c r="E29" s="150">
        <f>IF($D29="","",IFERROR(INDEX(WBS_CBS!$C$5:$C$16,MATCH($D29,WBS_CBS!$A$5:$A$16,0)),""))</f>
        <v/>
      </c>
      <c r="F29" s="150">
        <f>IF($D29="","",IFERROR(INDEX(WBS_CBS!$J$5:$J$16,MATCH($D29,WBS_CBS!$A$5:$A$16,0)),""))</f>
        <v/>
      </c>
      <c r="G29" s="149" t="n"/>
      <c r="H29" s="151" t="n"/>
      <c r="I29" s="149" t="n"/>
      <c r="J29" s="152" t="n"/>
      <c r="K29" s="149" t="n"/>
      <c r="L29" s="153">
        <f>IF($K29="","",IFERROR(INDEX(FX_Rates!$B$5:$B$14,MATCH($K29,FX_Rates!$A$5:$A$14,0)),""))</f>
        <v/>
      </c>
      <c r="M29" s="153">
        <f>IF(OR($H29="",$J29=""),"",$H29*$J29)</f>
        <v/>
      </c>
      <c r="N29" s="153">
        <f>IF(OR($M29="",$L29=""),"",$M29*$L29)</f>
        <v/>
      </c>
      <c r="O29" s="149" t="n"/>
      <c r="P29" s="154">
        <f>IF($O29="","",IFERROR(INDEX(Basis_of_Estimate!$C$5:$C$9,MATCH($O29,Basis_of_Estimate!$A$5:$A$9,0)),""))</f>
        <v/>
      </c>
      <c r="Q29" s="154">
        <f>IF($O29="","",IFERROR(INDEX(Basis_of_Estimate!$D$5:$D$9,MATCH($O29,Basis_of_Estimate!$A$5:$A$9,0)),""))</f>
        <v/>
      </c>
      <c r="R29" s="153">
        <f>IF($N29="","",$N29*(1+$P29))</f>
        <v/>
      </c>
      <c r="S29" s="153">
        <f>IF($N29="","",$N29)</f>
        <v/>
      </c>
      <c r="T29" s="153">
        <f>IF($N29="","",$N29*(1+$Q29))</f>
        <v/>
      </c>
      <c r="U29" s="150">
        <f>IF($D29="","",IFERROR(INDEX(WBS_CBS!$M$5:$M$16,MATCH($D29,WBS_CBS!$A$5:$A$16,0)),"Yes"))</f>
        <v/>
      </c>
      <c r="V29" s="150">
        <f>IF($D29="","",IFERROR(INDEX(WBS_CBS!$N$5:$N$16,MATCH($D29,WBS_CBS!$A$5:$A$16,0)),"Yes"))</f>
        <v/>
      </c>
      <c r="W29" s="150">
        <f>IF($D29="","",IFERROR(INDEX(WBS_CBS!$K$5:$K$16,MATCH($D29,WBS_CBS!$A$5:$A$16,0)),""))</f>
        <v/>
      </c>
      <c r="X29" s="150">
        <f>IF($D29="","",IFERROR(INDEX(WBS_CBS!$F$5:$F$16,MATCH($D29,WBS_CBS!$A$5:$A$16,0)),""))</f>
        <v/>
      </c>
      <c r="Y29" s="149" t="n"/>
      <c r="Z29" s="149" t="n"/>
      <c r="AA29" s="150">
        <f>IF($D29="","",IFERROR(INDEX(WBS_CBS!$L$5:$L$16,MATCH($D29,WBS_CBS!$A$5:$A$16,0)),""))</f>
        <v/>
      </c>
      <c r="AB29" s="149" t="n"/>
    </row>
    <row r="30">
      <c r="A30" s="149" t="n"/>
      <c r="B30" s="149" t="n"/>
      <c r="C30" s="150">
        <f>IF($D30="","",IFERROR(INDEX(WBS_CBS!$E$5:$E$16,MATCH($D30,WBS_CBS!$A$5:$A$16,0)),""))</f>
        <v/>
      </c>
      <c r="D30" s="149" t="n"/>
      <c r="E30" s="150">
        <f>IF($D30="","",IFERROR(INDEX(WBS_CBS!$C$5:$C$16,MATCH($D30,WBS_CBS!$A$5:$A$16,0)),""))</f>
        <v/>
      </c>
      <c r="F30" s="150">
        <f>IF($D30="","",IFERROR(INDEX(WBS_CBS!$J$5:$J$16,MATCH($D30,WBS_CBS!$A$5:$A$16,0)),""))</f>
        <v/>
      </c>
      <c r="G30" s="149" t="n"/>
      <c r="H30" s="151" t="n"/>
      <c r="I30" s="149" t="n"/>
      <c r="J30" s="152" t="n"/>
      <c r="K30" s="149" t="n"/>
      <c r="L30" s="153">
        <f>IF($K30="","",IFERROR(INDEX(FX_Rates!$B$5:$B$14,MATCH($K30,FX_Rates!$A$5:$A$14,0)),""))</f>
        <v/>
      </c>
      <c r="M30" s="153">
        <f>IF(OR($H30="",$J30=""),"",$H30*$J30)</f>
        <v/>
      </c>
      <c r="N30" s="153">
        <f>IF(OR($M30="",$L30=""),"",$M30*$L30)</f>
        <v/>
      </c>
      <c r="O30" s="149" t="n"/>
      <c r="P30" s="154">
        <f>IF($O30="","",IFERROR(INDEX(Basis_of_Estimate!$C$5:$C$9,MATCH($O30,Basis_of_Estimate!$A$5:$A$9,0)),""))</f>
        <v/>
      </c>
      <c r="Q30" s="154">
        <f>IF($O30="","",IFERROR(INDEX(Basis_of_Estimate!$D$5:$D$9,MATCH($O30,Basis_of_Estimate!$A$5:$A$9,0)),""))</f>
        <v/>
      </c>
      <c r="R30" s="153">
        <f>IF($N30="","",$N30*(1+$P30))</f>
        <v/>
      </c>
      <c r="S30" s="153">
        <f>IF($N30="","",$N30)</f>
        <v/>
      </c>
      <c r="T30" s="153">
        <f>IF($N30="","",$N30*(1+$Q30))</f>
        <v/>
      </c>
      <c r="U30" s="150">
        <f>IF($D30="","",IFERROR(INDEX(WBS_CBS!$M$5:$M$16,MATCH($D30,WBS_CBS!$A$5:$A$16,0)),"Yes"))</f>
        <v/>
      </c>
      <c r="V30" s="150">
        <f>IF($D30="","",IFERROR(INDEX(WBS_CBS!$N$5:$N$16,MATCH($D30,WBS_CBS!$A$5:$A$16,0)),"Yes"))</f>
        <v/>
      </c>
      <c r="W30" s="150">
        <f>IF($D30="","",IFERROR(INDEX(WBS_CBS!$K$5:$K$16,MATCH($D30,WBS_CBS!$A$5:$A$16,0)),""))</f>
        <v/>
      </c>
      <c r="X30" s="150">
        <f>IF($D30="","",IFERROR(INDEX(WBS_CBS!$F$5:$F$16,MATCH($D30,WBS_CBS!$A$5:$A$16,0)),""))</f>
        <v/>
      </c>
      <c r="Y30" s="149" t="n"/>
      <c r="Z30" s="149" t="n"/>
      <c r="AA30" s="150">
        <f>IF($D30="","",IFERROR(INDEX(WBS_CBS!$L$5:$L$16,MATCH($D30,WBS_CBS!$A$5:$A$16,0)),""))</f>
        <v/>
      </c>
      <c r="AB30" s="149" t="n"/>
    </row>
    <row r="31">
      <c r="A31" s="149" t="n"/>
      <c r="B31" s="149" t="n"/>
      <c r="C31" s="150">
        <f>IF($D31="","",IFERROR(INDEX(WBS_CBS!$E$5:$E$16,MATCH($D31,WBS_CBS!$A$5:$A$16,0)),""))</f>
        <v/>
      </c>
      <c r="D31" s="149" t="n"/>
      <c r="E31" s="150">
        <f>IF($D31="","",IFERROR(INDEX(WBS_CBS!$C$5:$C$16,MATCH($D31,WBS_CBS!$A$5:$A$16,0)),""))</f>
        <v/>
      </c>
      <c r="F31" s="150">
        <f>IF($D31="","",IFERROR(INDEX(WBS_CBS!$J$5:$J$16,MATCH($D31,WBS_CBS!$A$5:$A$16,0)),""))</f>
        <v/>
      </c>
      <c r="G31" s="149" t="n"/>
      <c r="H31" s="151" t="n"/>
      <c r="I31" s="149" t="n"/>
      <c r="J31" s="152" t="n"/>
      <c r="K31" s="149" t="n"/>
      <c r="L31" s="153">
        <f>IF($K31="","",IFERROR(INDEX(FX_Rates!$B$5:$B$14,MATCH($K31,FX_Rates!$A$5:$A$14,0)),""))</f>
        <v/>
      </c>
      <c r="M31" s="153">
        <f>IF(OR($H31="",$J31=""),"",$H31*$J31)</f>
        <v/>
      </c>
      <c r="N31" s="153">
        <f>IF(OR($M31="",$L31=""),"",$M31*$L31)</f>
        <v/>
      </c>
      <c r="O31" s="149" t="n"/>
      <c r="P31" s="154">
        <f>IF($O31="","",IFERROR(INDEX(Basis_of_Estimate!$C$5:$C$9,MATCH($O31,Basis_of_Estimate!$A$5:$A$9,0)),""))</f>
        <v/>
      </c>
      <c r="Q31" s="154">
        <f>IF($O31="","",IFERROR(INDEX(Basis_of_Estimate!$D$5:$D$9,MATCH($O31,Basis_of_Estimate!$A$5:$A$9,0)),""))</f>
        <v/>
      </c>
      <c r="R31" s="153">
        <f>IF($N31="","",$N31*(1+$P31))</f>
        <v/>
      </c>
      <c r="S31" s="153">
        <f>IF($N31="","",$N31)</f>
        <v/>
      </c>
      <c r="T31" s="153">
        <f>IF($N31="","",$N31*(1+$Q31))</f>
        <v/>
      </c>
      <c r="U31" s="150">
        <f>IF($D31="","",IFERROR(INDEX(WBS_CBS!$M$5:$M$16,MATCH($D31,WBS_CBS!$A$5:$A$16,0)),"Yes"))</f>
        <v/>
      </c>
      <c r="V31" s="150">
        <f>IF($D31="","",IFERROR(INDEX(WBS_CBS!$N$5:$N$16,MATCH($D31,WBS_CBS!$A$5:$A$16,0)),"Yes"))</f>
        <v/>
      </c>
      <c r="W31" s="150">
        <f>IF($D31="","",IFERROR(INDEX(WBS_CBS!$K$5:$K$16,MATCH($D31,WBS_CBS!$A$5:$A$16,0)),""))</f>
        <v/>
      </c>
      <c r="X31" s="150">
        <f>IF($D31="","",IFERROR(INDEX(WBS_CBS!$F$5:$F$16,MATCH($D31,WBS_CBS!$A$5:$A$16,0)),""))</f>
        <v/>
      </c>
      <c r="Y31" s="149" t="n"/>
      <c r="Z31" s="149" t="n"/>
      <c r="AA31" s="150">
        <f>IF($D31="","",IFERROR(INDEX(WBS_CBS!$L$5:$L$16,MATCH($D31,WBS_CBS!$A$5:$A$16,0)),""))</f>
        <v/>
      </c>
      <c r="AB31" s="149" t="n"/>
    </row>
    <row r="32">
      <c r="A32" s="149" t="n"/>
      <c r="B32" s="149" t="n"/>
      <c r="C32" s="150">
        <f>IF($D32="","",IFERROR(INDEX(WBS_CBS!$E$5:$E$16,MATCH($D32,WBS_CBS!$A$5:$A$16,0)),""))</f>
        <v/>
      </c>
      <c r="D32" s="149" t="n"/>
      <c r="E32" s="150">
        <f>IF($D32="","",IFERROR(INDEX(WBS_CBS!$C$5:$C$16,MATCH($D32,WBS_CBS!$A$5:$A$16,0)),""))</f>
        <v/>
      </c>
      <c r="F32" s="150">
        <f>IF($D32="","",IFERROR(INDEX(WBS_CBS!$J$5:$J$16,MATCH($D32,WBS_CBS!$A$5:$A$16,0)),""))</f>
        <v/>
      </c>
      <c r="G32" s="149" t="n"/>
      <c r="H32" s="151" t="n"/>
      <c r="I32" s="149" t="n"/>
      <c r="J32" s="152" t="n"/>
      <c r="K32" s="149" t="n"/>
      <c r="L32" s="153">
        <f>IF($K32="","",IFERROR(INDEX(FX_Rates!$B$5:$B$14,MATCH($K32,FX_Rates!$A$5:$A$14,0)),""))</f>
        <v/>
      </c>
      <c r="M32" s="153">
        <f>IF(OR($H32="",$J32=""),"",$H32*$J32)</f>
        <v/>
      </c>
      <c r="N32" s="153">
        <f>IF(OR($M32="",$L32=""),"",$M32*$L32)</f>
        <v/>
      </c>
      <c r="O32" s="149" t="n"/>
      <c r="P32" s="154">
        <f>IF($O32="","",IFERROR(INDEX(Basis_of_Estimate!$C$5:$C$9,MATCH($O32,Basis_of_Estimate!$A$5:$A$9,0)),""))</f>
        <v/>
      </c>
      <c r="Q32" s="154">
        <f>IF($O32="","",IFERROR(INDEX(Basis_of_Estimate!$D$5:$D$9,MATCH($O32,Basis_of_Estimate!$A$5:$A$9,0)),""))</f>
        <v/>
      </c>
      <c r="R32" s="153">
        <f>IF($N32="","",$N32*(1+$P32))</f>
        <v/>
      </c>
      <c r="S32" s="153">
        <f>IF($N32="","",$N32)</f>
        <v/>
      </c>
      <c r="T32" s="153">
        <f>IF($N32="","",$N32*(1+$Q32))</f>
        <v/>
      </c>
      <c r="U32" s="150">
        <f>IF($D32="","",IFERROR(INDEX(WBS_CBS!$M$5:$M$16,MATCH($D32,WBS_CBS!$A$5:$A$16,0)),"Yes"))</f>
        <v/>
      </c>
      <c r="V32" s="150">
        <f>IF($D32="","",IFERROR(INDEX(WBS_CBS!$N$5:$N$16,MATCH($D32,WBS_CBS!$A$5:$A$16,0)),"Yes"))</f>
        <v/>
      </c>
      <c r="W32" s="150">
        <f>IF($D32="","",IFERROR(INDEX(WBS_CBS!$K$5:$K$16,MATCH($D32,WBS_CBS!$A$5:$A$16,0)),""))</f>
        <v/>
      </c>
      <c r="X32" s="150">
        <f>IF($D32="","",IFERROR(INDEX(WBS_CBS!$F$5:$F$16,MATCH($D32,WBS_CBS!$A$5:$A$16,0)),""))</f>
        <v/>
      </c>
      <c r="Y32" s="149" t="n"/>
      <c r="Z32" s="149" t="n"/>
      <c r="AA32" s="150">
        <f>IF($D32="","",IFERROR(INDEX(WBS_CBS!$L$5:$L$16,MATCH($D32,WBS_CBS!$A$5:$A$16,0)),""))</f>
        <v/>
      </c>
      <c r="AB32" s="149" t="n"/>
    </row>
    <row r="33">
      <c r="A33" s="149" t="n"/>
      <c r="B33" s="149" t="n"/>
      <c r="C33" s="150">
        <f>IF($D33="","",IFERROR(INDEX(WBS_CBS!$E$5:$E$16,MATCH($D33,WBS_CBS!$A$5:$A$16,0)),""))</f>
        <v/>
      </c>
      <c r="D33" s="149" t="n"/>
      <c r="E33" s="150">
        <f>IF($D33="","",IFERROR(INDEX(WBS_CBS!$C$5:$C$16,MATCH($D33,WBS_CBS!$A$5:$A$16,0)),""))</f>
        <v/>
      </c>
      <c r="F33" s="150">
        <f>IF($D33="","",IFERROR(INDEX(WBS_CBS!$J$5:$J$16,MATCH($D33,WBS_CBS!$A$5:$A$16,0)),""))</f>
        <v/>
      </c>
      <c r="G33" s="149" t="n"/>
      <c r="H33" s="151" t="n"/>
      <c r="I33" s="149" t="n"/>
      <c r="J33" s="152" t="n"/>
      <c r="K33" s="149" t="n"/>
      <c r="L33" s="153">
        <f>IF($K33="","",IFERROR(INDEX(FX_Rates!$B$5:$B$14,MATCH($K33,FX_Rates!$A$5:$A$14,0)),""))</f>
        <v/>
      </c>
      <c r="M33" s="153">
        <f>IF(OR($H33="",$J33=""),"",$H33*$J33)</f>
        <v/>
      </c>
      <c r="N33" s="153">
        <f>IF(OR($M33="",$L33=""),"",$M33*$L33)</f>
        <v/>
      </c>
      <c r="O33" s="149" t="n"/>
      <c r="P33" s="154">
        <f>IF($O33="","",IFERROR(INDEX(Basis_of_Estimate!$C$5:$C$9,MATCH($O33,Basis_of_Estimate!$A$5:$A$9,0)),""))</f>
        <v/>
      </c>
      <c r="Q33" s="154">
        <f>IF($O33="","",IFERROR(INDEX(Basis_of_Estimate!$D$5:$D$9,MATCH($O33,Basis_of_Estimate!$A$5:$A$9,0)),""))</f>
        <v/>
      </c>
      <c r="R33" s="153">
        <f>IF($N33="","",$N33*(1+$P33))</f>
        <v/>
      </c>
      <c r="S33" s="153">
        <f>IF($N33="","",$N33)</f>
        <v/>
      </c>
      <c r="T33" s="153">
        <f>IF($N33="","",$N33*(1+$Q33))</f>
        <v/>
      </c>
      <c r="U33" s="150">
        <f>IF($D33="","",IFERROR(INDEX(WBS_CBS!$M$5:$M$16,MATCH($D33,WBS_CBS!$A$5:$A$16,0)),"Yes"))</f>
        <v/>
      </c>
      <c r="V33" s="150">
        <f>IF($D33="","",IFERROR(INDEX(WBS_CBS!$N$5:$N$16,MATCH($D33,WBS_CBS!$A$5:$A$16,0)),"Yes"))</f>
        <v/>
      </c>
      <c r="W33" s="150">
        <f>IF($D33="","",IFERROR(INDEX(WBS_CBS!$K$5:$K$16,MATCH($D33,WBS_CBS!$A$5:$A$16,0)),""))</f>
        <v/>
      </c>
      <c r="X33" s="150">
        <f>IF($D33="","",IFERROR(INDEX(WBS_CBS!$F$5:$F$16,MATCH($D33,WBS_CBS!$A$5:$A$16,0)),""))</f>
        <v/>
      </c>
      <c r="Y33" s="149" t="n"/>
      <c r="Z33" s="149" t="n"/>
      <c r="AA33" s="150">
        <f>IF($D33="","",IFERROR(INDEX(WBS_CBS!$L$5:$L$16,MATCH($D33,WBS_CBS!$A$5:$A$16,0)),""))</f>
        <v/>
      </c>
      <c r="AB33" s="149" t="n"/>
    </row>
    <row r="34">
      <c r="A34" s="149" t="n"/>
      <c r="B34" s="149" t="n"/>
      <c r="C34" s="150">
        <f>IF($D34="","",IFERROR(INDEX(WBS_CBS!$E$5:$E$16,MATCH($D34,WBS_CBS!$A$5:$A$16,0)),""))</f>
        <v/>
      </c>
      <c r="D34" s="149" t="n"/>
      <c r="E34" s="150">
        <f>IF($D34="","",IFERROR(INDEX(WBS_CBS!$C$5:$C$16,MATCH($D34,WBS_CBS!$A$5:$A$16,0)),""))</f>
        <v/>
      </c>
      <c r="F34" s="150">
        <f>IF($D34="","",IFERROR(INDEX(WBS_CBS!$J$5:$J$16,MATCH($D34,WBS_CBS!$A$5:$A$16,0)),""))</f>
        <v/>
      </c>
      <c r="G34" s="149" t="n"/>
      <c r="H34" s="151" t="n"/>
      <c r="I34" s="149" t="n"/>
      <c r="J34" s="152" t="n"/>
      <c r="K34" s="149" t="n"/>
      <c r="L34" s="153">
        <f>IF($K34="","",IFERROR(INDEX(FX_Rates!$B$5:$B$14,MATCH($K34,FX_Rates!$A$5:$A$14,0)),""))</f>
        <v/>
      </c>
      <c r="M34" s="153">
        <f>IF(OR($H34="",$J34=""),"",$H34*$J34)</f>
        <v/>
      </c>
      <c r="N34" s="153">
        <f>IF(OR($M34="",$L34=""),"",$M34*$L34)</f>
        <v/>
      </c>
      <c r="O34" s="149" t="n"/>
      <c r="P34" s="154">
        <f>IF($O34="","",IFERROR(INDEX(Basis_of_Estimate!$C$5:$C$9,MATCH($O34,Basis_of_Estimate!$A$5:$A$9,0)),""))</f>
        <v/>
      </c>
      <c r="Q34" s="154">
        <f>IF($O34="","",IFERROR(INDEX(Basis_of_Estimate!$D$5:$D$9,MATCH($O34,Basis_of_Estimate!$A$5:$A$9,0)),""))</f>
        <v/>
      </c>
      <c r="R34" s="153">
        <f>IF($N34="","",$N34*(1+$P34))</f>
        <v/>
      </c>
      <c r="S34" s="153">
        <f>IF($N34="","",$N34)</f>
        <v/>
      </c>
      <c r="T34" s="153">
        <f>IF($N34="","",$N34*(1+$Q34))</f>
        <v/>
      </c>
      <c r="U34" s="150">
        <f>IF($D34="","",IFERROR(INDEX(WBS_CBS!$M$5:$M$16,MATCH($D34,WBS_CBS!$A$5:$A$16,0)),"Yes"))</f>
        <v/>
      </c>
      <c r="V34" s="150">
        <f>IF($D34="","",IFERROR(INDEX(WBS_CBS!$N$5:$N$16,MATCH($D34,WBS_CBS!$A$5:$A$16,0)),"Yes"))</f>
        <v/>
      </c>
      <c r="W34" s="150">
        <f>IF($D34="","",IFERROR(INDEX(WBS_CBS!$K$5:$K$16,MATCH($D34,WBS_CBS!$A$5:$A$16,0)),""))</f>
        <v/>
      </c>
      <c r="X34" s="150">
        <f>IF($D34="","",IFERROR(INDEX(WBS_CBS!$F$5:$F$16,MATCH($D34,WBS_CBS!$A$5:$A$16,0)),""))</f>
        <v/>
      </c>
      <c r="Y34" s="149" t="n"/>
      <c r="Z34" s="149" t="n"/>
      <c r="AA34" s="150">
        <f>IF($D34="","",IFERROR(INDEX(WBS_CBS!$L$5:$L$16,MATCH($D34,WBS_CBS!$A$5:$A$16,0)),""))</f>
        <v/>
      </c>
      <c r="AB34" s="149" t="n"/>
    </row>
    <row r="35">
      <c r="A35" s="149" t="n"/>
      <c r="B35" s="149" t="n"/>
      <c r="C35" s="150">
        <f>IF($D35="","",IFERROR(INDEX(WBS_CBS!$E$5:$E$16,MATCH($D35,WBS_CBS!$A$5:$A$16,0)),""))</f>
        <v/>
      </c>
      <c r="D35" s="149" t="n"/>
      <c r="E35" s="150">
        <f>IF($D35="","",IFERROR(INDEX(WBS_CBS!$C$5:$C$16,MATCH($D35,WBS_CBS!$A$5:$A$16,0)),""))</f>
        <v/>
      </c>
      <c r="F35" s="150">
        <f>IF($D35="","",IFERROR(INDEX(WBS_CBS!$J$5:$J$16,MATCH($D35,WBS_CBS!$A$5:$A$16,0)),""))</f>
        <v/>
      </c>
      <c r="G35" s="149" t="n"/>
      <c r="H35" s="151" t="n"/>
      <c r="I35" s="149" t="n"/>
      <c r="J35" s="152" t="n"/>
      <c r="K35" s="149" t="n"/>
      <c r="L35" s="153">
        <f>IF($K35="","",IFERROR(INDEX(FX_Rates!$B$5:$B$14,MATCH($K35,FX_Rates!$A$5:$A$14,0)),""))</f>
        <v/>
      </c>
      <c r="M35" s="153">
        <f>IF(OR($H35="",$J35=""),"",$H35*$J35)</f>
        <v/>
      </c>
      <c r="N35" s="153">
        <f>IF(OR($M35="",$L35=""),"",$M35*$L35)</f>
        <v/>
      </c>
      <c r="O35" s="149" t="n"/>
      <c r="P35" s="154">
        <f>IF($O35="","",IFERROR(INDEX(Basis_of_Estimate!$C$5:$C$9,MATCH($O35,Basis_of_Estimate!$A$5:$A$9,0)),""))</f>
        <v/>
      </c>
      <c r="Q35" s="154">
        <f>IF($O35="","",IFERROR(INDEX(Basis_of_Estimate!$D$5:$D$9,MATCH($O35,Basis_of_Estimate!$A$5:$A$9,0)),""))</f>
        <v/>
      </c>
      <c r="R35" s="153">
        <f>IF($N35="","",$N35*(1+$P35))</f>
        <v/>
      </c>
      <c r="S35" s="153">
        <f>IF($N35="","",$N35)</f>
        <v/>
      </c>
      <c r="T35" s="153">
        <f>IF($N35="","",$N35*(1+$Q35))</f>
        <v/>
      </c>
      <c r="U35" s="150">
        <f>IF($D35="","",IFERROR(INDEX(WBS_CBS!$M$5:$M$16,MATCH($D35,WBS_CBS!$A$5:$A$16,0)),"Yes"))</f>
        <v/>
      </c>
      <c r="V35" s="150">
        <f>IF($D35="","",IFERROR(INDEX(WBS_CBS!$N$5:$N$16,MATCH($D35,WBS_CBS!$A$5:$A$16,0)),"Yes"))</f>
        <v/>
      </c>
      <c r="W35" s="150">
        <f>IF($D35="","",IFERROR(INDEX(WBS_CBS!$K$5:$K$16,MATCH($D35,WBS_CBS!$A$5:$A$16,0)),""))</f>
        <v/>
      </c>
      <c r="X35" s="150">
        <f>IF($D35="","",IFERROR(INDEX(WBS_CBS!$F$5:$F$16,MATCH($D35,WBS_CBS!$A$5:$A$16,0)),""))</f>
        <v/>
      </c>
      <c r="Y35" s="149" t="n"/>
      <c r="Z35" s="149" t="n"/>
      <c r="AA35" s="150">
        <f>IF($D35="","",IFERROR(INDEX(WBS_CBS!$L$5:$L$16,MATCH($D35,WBS_CBS!$A$5:$A$16,0)),""))</f>
        <v/>
      </c>
      <c r="AB35" s="149" t="n"/>
    </row>
    <row r="36">
      <c r="A36" s="149" t="n"/>
      <c r="B36" s="149" t="n"/>
      <c r="C36" s="150">
        <f>IF($D36="","",IFERROR(INDEX(WBS_CBS!$E$5:$E$16,MATCH($D36,WBS_CBS!$A$5:$A$16,0)),""))</f>
        <v/>
      </c>
      <c r="D36" s="149" t="n"/>
      <c r="E36" s="150">
        <f>IF($D36="","",IFERROR(INDEX(WBS_CBS!$C$5:$C$16,MATCH($D36,WBS_CBS!$A$5:$A$16,0)),""))</f>
        <v/>
      </c>
      <c r="F36" s="150">
        <f>IF($D36="","",IFERROR(INDEX(WBS_CBS!$J$5:$J$16,MATCH($D36,WBS_CBS!$A$5:$A$16,0)),""))</f>
        <v/>
      </c>
      <c r="G36" s="149" t="n"/>
      <c r="H36" s="151" t="n"/>
      <c r="I36" s="149" t="n"/>
      <c r="J36" s="152" t="n"/>
      <c r="K36" s="149" t="n"/>
      <c r="L36" s="153">
        <f>IF($K36="","",IFERROR(INDEX(FX_Rates!$B$5:$B$14,MATCH($K36,FX_Rates!$A$5:$A$14,0)),""))</f>
        <v/>
      </c>
      <c r="M36" s="153">
        <f>IF(OR($H36="",$J36=""),"",$H36*$J36)</f>
        <v/>
      </c>
      <c r="N36" s="153">
        <f>IF(OR($M36="",$L36=""),"",$M36*$L36)</f>
        <v/>
      </c>
      <c r="O36" s="149" t="n"/>
      <c r="P36" s="154">
        <f>IF($O36="","",IFERROR(INDEX(Basis_of_Estimate!$C$5:$C$9,MATCH($O36,Basis_of_Estimate!$A$5:$A$9,0)),""))</f>
        <v/>
      </c>
      <c r="Q36" s="154">
        <f>IF($O36="","",IFERROR(INDEX(Basis_of_Estimate!$D$5:$D$9,MATCH($O36,Basis_of_Estimate!$A$5:$A$9,0)),""))</f>
        <v/>
      </c>
      <c r="R36" s="153">
        <f>IF($N36="","",$N36*(1+$P36))</f>
        <v/>
      </c>
      <c r="S36" s="153">
        <f>IF($N36="","",$N36)</f>
        <v/>
      </c>
      <c r="T36" s="153">
        <f>IF($N36="","",$N36*(1+$Q36))</f>
        <v/>
      </c>
      <c r="U36" s="150">
        <f>IF($D36="","",IFERROR(INDEX(WBS_CBS!$M$5:$M$16,MATCH($D36,WBS_CBS!$A$5:$A$16,0)),"Yes"))</f>
        <v/>
      </c>
      <c r="V36" s="150">
        <f>IF($D36="","",IFERROR(INDEX(WBS_CBS!$N$5:$N$16,MATCH($D36,WBS_CBS!$A$5:$A$16,0)),"Yes"))</f>
        <v/>
      </c>
      <c r="W36" s="150">
        <f>IF($D36="","",IFERROR(INDEX(WBS_CBS!$K$5:$K$16,MATCH($D36,WBS_CBS!$A$5:$A$16,0)),""))</f>
        <v/>
      </c>
      <c r="X36" s="150">
        <f>IF($D36="","",IFERROR(INDEX(WBS_CBS!$F$5:$F$16,MATCH($D36,WBS_CBS!$A$5:$A$16,0)),""))</f>
        <v/>
      </c>
      <c r="Y36" s="149" t="n"/>
      <c r="Z36" s="149" t="n"/>
      <c r="AA36" s="150">
        <f>IF($D36="","",IFERROR(INDEX(WBS_CBS!$L$5:$L$16,MATCH($D36,WBS_CBS!$A$5:$A$16,0)),""))</f>
        <v/>
      </c>
      <c r="AB36" s="149" t="n"/>
    </row>
    <row r="37">
      <c r="A37" s="149" t="n"/>
      <c r="B37" s="149" t="n"/>
      <c r="C37" s="150">
        <f>IF($D37="","",IFERROR(INDEX(WBS_CBS!$E$5:$E$16,MATCH($D37,WBS_CBS!$A$5:$A$16,0)),""))</f>
        <v/>
      </c>
      <c r="D37" s="149" t="n"/>
      <c r="E37" s="150">
        <f>IF($D37="","",IFERROR(INDEX(WBS_CBS!$C$5:$C$16,MATCH($D37,WBS_CBS!$A$5:$A$16,0)),""))</f>
        <v/>
      </c>
      <c r="F37" s="150">
        <f>IF($D37="","",IFERROR(INDEX(WBS_CBS!$J$5:$J$16,MATCH($D37,WBS_CBS!$A$5:$A$16,0)),""))</f>
        <v/>
      </c>
      <c r="G37" s="149" t="n"/>
      <c r="H37" s="151" t="n"/>
      <c r="I37" s="149" t="n"/>
      <c r="J37" s="152" t="n"/>
      <c r="K37" s="149" t="n"/>
      <c r="L37" s="153">
        <f>IF($K37="","",IFERROR(INDEX(FX_Rates!$B$5:$B$14,MATCH($K37,FX_Rates!$A$5:$A$14,0)),""))</f>
        <v/>
      </c>
      <c r="M37" s="153">
        <f>IF(OR($H37="",$J37=""),"",$H37*$J37)</f>
        <v/>
      </c>
      <c r="N37" s="153">
        <f>IF(OR($M37="",$L37=""),"",$M37*$L37)</f>
        <v/>
      </c>
      <c r="O37" s="149" t="n"/>
      <c r="P37" s="154">
        <f>IF($O37="","",IFERROR(INDEX(Basis_of_Estimate!$C$5:$C$9,MATCH($O37,Basis_of_Estimate!$A$5:$A$9,0)),""))</f>
        <v/>
      </c>
      <c r="Q37" s="154">
        <f>IF($O37="","",IFERROR(INDEX(Basis_of_Estimate!$D$5:$D$9,MATCH($O37,Basis_of_Estimate!$A$5:$A$9,0)),""))</f>
        <v/>
      </c>
      <c r="R37" s="153">
        <f>IF($N37="","",$N37*(1+$P37))</f>
        <v/>
      </c>
      <c r="S37" s="153">
        <f>IF($N37="","",$N37)</f>
        <v/>
      </c>
      <c r="T37" s="153">
        <f>IF($N37="","",$N37*(1+$Q37))</f>
        <v/>
      </c>
      <c r="U37" s="150">
        <f>IF($D37="","",IFERROR(INDEX(WBS_CBS!$M$5:$M$16,MATCH($D37,WBS_CBS!$A$5:$A$16,0)),"Yes"))</f>
        <v/>
      </c>
      <c r="V37" s="150">
        <f>IF($D37="","",IFERROR(INDEX(WBS_CBS!$N$5:$N$16,MATCH($D37,WBS_CBS!$A$5:$A$16,0)),"Yes"))</f>
        <v/>
      </c>
      <c r="W37" s="150">
        <f>IF($D37="","",IFERROR(INDEX(WBS_CBS!$K$5:$K$16,MATCH($D37,WBS_CBS!$A$5:$A$16,0)),""))</f>
        <v/>
      </c>
      <c r="X37" s="150">
        <f>IF($D37="","",IFERROR(INDEX(WBS_CBS!$F$5:$F$16,MATCH($D37,WBS_CBS!$A$5:$A$16,0)),""))</f>
        <v/>
      </c>
      <c r="Y37" s="149" t="n"/>
      <c r="Z37" s="149" t="n"/>
      <c r="AA37" s="150">
        <f>IF($D37="","",IFERROR(INDEX(WBS_CBS!$L$5:$L$16,MATCH($D37,WBS_CBS!$A$5:$A$16,0)),""))</f>
        <v/>
      </c>
      <c r="AB37" s="149" t="n"/>
    </row>
    <row r="38">
      <c r="A38" s="149" t="n"/>
      <c r="B38" s="149" t="n"/>
      <c r="C38" s="150">
        <f>IF($D38="","",IFERROR(INDEX(WBS_CBS!$E$5:$E$16,MATCH($D38,WBS_CBS!$A$5:$A$16,0)),""))</f>
        <v/>
      </c>
      <c r="D38" s="149" t="n"/>
      <c r="E38" s="150">
        <f>IF($D38="","",IFERROR(INDEX(WBS_CBS!$C$5:$C$16,MATCH($D38,WBS_CBS!$A$5:$A$16,0)),""))</f>
        <v/>
      </c>
      <c r="F38" s="150">
        <f>IF($D38="","",IFERROR(INDEX(WBS_CBS!$J$5:$J$16,MATCH($D38,WBS_CBS!$A$5:$A$16,0)),""))</f>
        <v/>
      </c>
      <c r="G38" s="149" t="n"/>
      <c r="H38" s="151" t="n"/>
      <c r="I38" s="149" t="n"/>
      <c r="J38" s="152" t="n"/>
      <c r="K38" s="149" t="n"/>
      <c r="L38" s="153">
        <f>IF($K38="","",IFERROR(INDEX(FX_Rates!$B$5:$B$14,MATCH($K38,FX_Rates!$A$5:$A$14,0)),""))</f>
        <v/>
      </c>
      <c r="M38" s="153">
        <f>IF(OR($H38="",$J38=""),"",$H38*$J38)</f>
        <v/>
      </c>
      <c r="N38" s="153">
        <f>IF(OR($M38="",$L38=""),"",$M38*$L38)</f>
        <v/>
      </c>
      <c r="O38" s="149" t="n"/>
      <c r="P38" s="154">
        <f>IF($O38="","",IFERROR(INDEX(Basis_of_Estimate!$C$5:$C$9,MATCH($O38,Basis_of_Estimate!$A$5:$A$9,0)),""))</f>
        <v/>
      </c>
      <c r="Q38" s="154">
        <f>IF($O38="","",IFERROR(INDEX(Basis_of_Estimate!$D$5:$D$9,MATCH($O38,Basis_of_Estimate!$A$5:$A$9,0)),""))</f>
        <v/>
      </c>
      <c r="R38" s="153">
        <f>IF($N38="","",$N38*(1+$P38))</f>
        <v/>
      </c>
      <c r="S38" s="153">
        <f>IF($N38="","",$N38)</f>
        <v/>
      </c>
      <c r="T38" s="153">
        <f>IF($N38="","",$N38*(1+$Q38))</f>
        <v/>
      </c>
      <c r="U38" s="150">
        <f>IF($D38="","",IFERROR(INDEX(WBS_CBS!$M$5:$M$16,MATCH($D38,WBS_CBS!$A$5:$A$16,0)),"Yes"))</f>
        <v/>
      </c>
      <c r="V38" s="150">
        <f>IF($D38="","",IFERROR(INDEX(WBS_CBS!$N$5:$N$16,MATCH($D38,WBS_CBS!$A$5:$A$16,0)),"Yes"))</f>
        <v/>
      </c>
      <c r="W38" s="150">
        <f>IF($D38="","",IFERROR(INDEX(WBS_CBS!$K$5:$K$16,MATCH($D38,WBS_CBS!$A$5:$A$16,0)),""))</f>
        <v/>
      </c>
      <c r="X38" s="150">
        <f>IF($D38="","",IFERROR(INDEX(WBS_CBS!$F$5:$F$16,MATCH($D38,WBS_CBS!$A$5:$A$16,0)),""))</f>
        <v/>
      </c>
      <c r="Y38" s="149" t="n"/>
      <c r="Z38" s="149" t="n"/>
      <c r="AA38" s="150">
        <f>IF($D38="","",IFERROR(INDEX(WBS_CBS!$L$5:$L$16,MATCH($D38,WBS_CBS!$A$5:$A$16,0)),""))</f>
        <v/>
      </c>
      <c r="AB38" s="149" t="n"/>
    </row>
    <row r="39">
      <c r="A39" s="149" t="n"/>
      <c r="B39" s="149" t="n"/>
      <c r="C39" s="150">
        <f>IF($D39="","",IFERROR(INDEX(WBS_CBS!$E$5:$E$16,MATCH($D39,WBS_CBS!$A$5:$A$16,0)),""))</f>
        <v/>
      </c>
      <c r="D39" s="149" t="n"/>
      <c r="E39" s="150">
        <f>IF($D39="","",IFERROR(INDEX(WBS_CBS!$C$5:$C$16,MATCH($D39,WBS_CBS!$A$5:$A$16,0)),""))</f>
        <v/>
      </c>
      <c r="F39" s="150">
        <f>IF($D39="","",IFERROR(INDEX(WBS_CBS!$J$5:$J$16,MATCH($D39,WBS_CBS!$A$5:$A$16,0)),""))</f>
        <v/>
      </c>
      <c r="G39" s="149" t="n"/>
      <c r="H39" s="151" t="n"/>
      <c r="I39" s="149" t="n"/>
      <c r="J39" s="152" t="n"/>
      <c r="K39" s="149" t="n"/>
      <c r="L39" s="153">
        <f>IF($K39="","",IFERROR(INDEX(FX_Rates!$B$5:$B$14,MATCH($K39,FX_Rates!$A$5:$A$14,0)),""))</f>
        <v/>
      </c>
      <c r="M39" s="153">
        <f>IF(OR($H39="",$J39=""),"",$H39*$J39)</f>
        <v/>
      </c>
      <c r="N39" s="153">
        <f>IF(OR($M39="",$L39=""),"",$M39*$L39)</f>
        <v/>
      </c>
      <c r="O39" s="149" t="n"/>
      <c r="P39" s="154">
        <f>IF($O39="","",IFERROR(INDEX(Basis_of_Estimate!$C$5:$C$9,MATCH($O39,Basis_of_Estimate!$A$5:$A$9,0)),""))</f>
        <v/>
      </c>
      <c r="Q39" s="154">
        <f>IF($O39="","",IFERROR(INDEX(Basis_of_Estimate!$D$5:$D$9,MATCH($O39,Basis_of_Estimate!$A$5:$A$9,0)),""))</f>
        <v/>
      </c>
      <c r="R39" s="153">
        <f>IF($N39="","",$N39*(1+$P39))</f>
        <v/>
      </c>
      <c r="S39" s="153">
        <f>IF($N39="","",$N39)</f>
        <v/>
      </c>
      <c r="T39" s="153">
        <f>IF($N39="","",$N39*(1+$Q39))</f>
        <v/>
      </c>
      <c r="U39" s="150">
        <f>IF($D39="","",IFERROR(INDEX(WBS_CBS!$M$5:$M$16,MATCH($D39,WBS_CBS!$A$5:$A$16,0)),"Yes"))</f>
        <v/>
      </c>
      <c r="V39" s="150">
        <f>IF($D39="","",IFERROR(INDEX(WBS_CBS!$N$5:$N$16,MATCH($D39,WBS_CBS!$A$5:$A$16,0)),"Yes"))</f>
        <v/>
      </c>
      <c r="W39" s="150">
        <f>IF($D39="","",IFERROR(INDEX(WBS_CBS!$K$5:$K$16,MATCH($D39,WBS_CBS!$A$5:$A$16,0)),""))</f>
        <v/>
      </c>
      <c r="X39" s="150">
        <f>IF($D39="","",IFERROR(INDEX(WBS_CBS!$F$5:$F$16,MATCH($D39,WBS_CBS!$A$5:$A$16,0)),""))</f>
        <v/>
      </c>
      <c r="Y39" s="149" t="n"/>
      <c r="Z39" s="149" t="n"/>
      <c r="AA39" s="150">
        <f>IF($D39="","",IFERROR(INDEX(WBS_CBS!$L$5:$L$16,MATCH($D39,WBS_CBS!$A$5:$A$16,0)),""))</f>
        <v/>
      </c>
      <c r="AB39" s="149" t="n"/>
    </row>
    <row r="40">
      <c r="A40" s="149" t="n"/>
      <c r="B40" s="149" t="n"/>
      <c r="C40" s="150">
        <f>IF($D40="","",IFERROR(INDEX(WBS_CBS!$E$5:$E$16,MATCH($D40,WBS_CBS!$A$5:$A$16,0)),""))</f>
        <v/>
      </c>
      <c r="D40" s="149" t="n"/>
      <c r="E40" s="150">
        <f>IF($D40="","",IFERROR(INDEX(WBS_CBS!$C$5:$C$16,MATCH($D40,WBS_CBS!$A$5:$A$16,0)),""))</f>
        <v/>
      </c>
      <c r="F40" s="150">
        <f>IF($D40="","",IFERROR(INDEX(WBS_CBS!$J$5:$J$16,MATCH($D40,WBS_CBS!$A$5:$A$16,0)),""))</f>
        <v/>
      </c>
      <c r="G40" s="149" t="n"/>
      <c r="H40" s="151" t="n"/>
      <c r="I40" s="149" t="n"/>
      <c r="J40" s="152" t="n"/>
      <c r="K40" s="149" t="n"/>
      <c r="L40" s="153">
        <f>IF($K40="","",IFERROR(INDEX(FX_Rates!$B$5:$B$14,MATCH($K40,FX_Rates!$A$5:$A$14,0)),""))</f>
        <v/>
      </c>
      <c r="M40" s="153">
        <f>IF(OR($H40="",$J40=""),"",$H40*$J40)</f>
        <v/>
      </c>
      <c r="N40" s="153">
        <f>IF(OR($M40="",$L40=""),"",$M40*$L40)</f>
        <v/>
      </c>
      <c r="O40" s="149" t="n"/>
      <c r="P40" s="154">
        <f>IF($O40="","",IFERROR(INDEX(Basis_of_Estimate!$C$5:$C$9,MATCH($O40,Basis_of_Estimate!$A$5:$A$9,0)),""))</f>
        <v/>
      </c>
      <c r="Q40" s="154">
        <f>IF($O40="","",IFERROR(INDEX(Basis_of_Estimate!$D$5:$D$9,MATCH($O40,Basis_of_Estimate!$A$5:$A$9,0)),""))</f>
        <v/>
      </c>
      <c r="R40" s="153">
        <f>IF($N40="","",$N40*(1+$P40))</f>
        <v/>
      </c>
      <c r="S40" s="153">
        <f>IF($N40="","",$N40)</f>
        <v/>
      </c>
      <c r="T40" s="153">
        <f>IF($N40="","",$N40*(1+$Q40))</f>
        <v/>
      </c>
      <c r="U40" s="150">
        <f>IF($D40="","",IFERROR(INDEX(WBS_CBS!$M$5:$M$16,MATCH($D40,WBS_CBS!$A$5:$A$16,0)),"Yes"))</f>
        <v/>
      </c>
      <c r="V40" s="150">
        <f>IF($D40="","",IFERROR(INDEX(WBS_CBS!$N$5:$N$16,MATCH($D40,WBS_CBS!$A$5:$A$16,0)),"Yes"))</f>
        <v/>
      </c>
      <c r="W40" s="150">
        <f>IF($D40="","",IFERROR(INDEX(WBS_CBS!$K$5:$K$16,MATCH($D40,WBS_CBS!$A$5:$A$16,0)),""))</f>
        <v/>
      </c>
      <c r="X40" s="150">
        <f>IF($D40="","",IFERROR(INDEX(WBS_CBS!$F$5:$F$16,MATCH($D40,WBS_CBS!$A$5:$A$16,0)),""))</f>
        <v/>
      </c>
      <c r="Y40" s="149" t="n"/>
      <c r="Z40" s="149" t="n"/>
      <c r="AA40" s="150">
        <f>IF($D40="","",IFERROR(INDEX(WBS_CBS!$L$5:$L$16,MATCH($D40,WBS_CBS!$A$5:$A$16,0)),""))</f>
        <v/>
      </c>
      <c r="AB40" s="149" t="n"/>
    </row>
    <row r="41">
      <c r="A41" s="149" t="n"/>
      <c r="B41" s="149" t="n"/>
      <c r="C41" s="150">
        <f>IF($D41="","",IFERROR(INDEX(WBS_CBS!$E$5:$E$16,MATCH($D41,WBS_CBS!$A$5:$A$16,0)),""))</f>
        <v/>
      </c>
      <c r="D41" s="149" t="n"/>
      <c r="E41" s="150">
        <f>IF($D41="","",IFERROR(INDEX(WBS_CBS!$C$5:$C$16,MATCH($D41,WBS_CBS!$A$5:$A$16,0)),""))</f>
        <v/>
      </c>
      <c r="F41" s="150">
        <f>IF($D41="","",IFERROR(INDEX(WBS_CBS!$J$5:$J$16,MATCH($D41,WBS_CBS!$A$5:$A$16,0)),""))</f>
        <v/>
      </c>
      <c r="G41" s="149" t="n"/>
      <c r="H41" s="151" t="n"/>
      <c r="I41" s="149" t="n"/>
      <c r="J41" s="152" t="n"/>
      <c r="K41" s="149" t="n"/>
      <c r="L41" s="153">
        <f>IF($K41="","",IFERROR(INDEX(FX_Rates!$B$5:$B$14,MATCH($K41,FX_Rates!$A$5:$A$14,0)),""))</f>
        <v/>
      </c>
      <c r="M41" s="153">
        <f>IF(OR($H41="",$J41=""),"",$H41*$J41)</f>
        <v/>
      </c>
      <c r="N41" s="153">
        <f>IF(OR($M41="",$L41=""),"",$M41*$L41)</f>
        <v/>
      </c>
      <c r="O41" s="149" t="n"/>
      <c r="P41" s="154">
        <f>IF($O41="","",IFERROR(INDEX(Basis_of_Estimate!$C$5:$C$9,MATCH($O41,Basis_of_Estimate!$A$5:$A$9,0)),""))</f>
        <v/>
      </c>
      <c r="Q41" s="154">
        <f>IF($O41="","",IFERROR(INDEX(Basis_of_Estimate!$D$5:$D$9,MATCH($O41,Basis_of_Estimate!$A$5:$A$9,0)),""))</f>
        <v/>
      </c>
      <c r="R41" s="153">
        <f>IF($N41="","",$N41*(1+$P41))</f>
        <v/>
      </c>
      <c r="S41" s="153">
        <f>IF($N41="","",$N41)</f>
        <v/>
      </c>
      <c r="T41" s="153">
        <f>IF($N41="","",$N41*(1+$Q41))</f>
        <v/>
      </c>
      <c r="U41" s="150">
        <f>IF($D41="","",IFERROR(INDEX(WBS_CBS!$M$5:$M$16,MATCH($D41,WBS_CBS!$A$5:$A$16,0)),"Yes"))</f>
        <v/>
      </c>
      <c r="V41" s="150">
        <f>IF($D41="","",IFERROR(INDEX(WBS_CBS!$N$5:$N$16,MATCH($D41,WBS_CBS!$A$5:$A$16,0)),"Yes"))</f>
        <v/>
      </c>
      <c r="W41" s="150">
        <f>IF($D41="","",IFERROR(INDEX(WBS_CBS!$K$5:$K$16,MATCH($D41,WBS_CBS!$A$5:$A$16,0)),""))</f>
        <v/>
      </c>
      <c r="X41" s="150">
        <f>IF($D41="","",IFERROR(INDEX(WBS_CBS!$F$5:$F$16,MATCH($D41,WBS_CBS!$A$5:$A$16,0)),""))</f>
        <v/>
      </c>
      <c r="Y41" s="149" t="n"/>
      <c r="Z41" s="149" t="n"/>
      <c r="AA41" s="150">
        <f>IF($D41="","",IFERROR(INDEX(WBS_CBS!$L$5:$L$16,MATCH($D41,WBS_CBS!$A$5:$A$16,0)),""))</f>
        <v/>
      </c>
      <c r="AB41" s="149" t="n"/>
    </row>
    <row r="42">
      <c r="A42" s="149" t="n"/>
      <c r="B42" s="149" t="n"/>
      <c r="C42" s="150">
        <f>IF($D42="","",IFERROR(INDEX(WBS_CBS!$E$5:$E$16,MATCH($D42,WBS_CBS!$A$5:$A$16,0)),""))</f>
        <v/>
      </c>
      <c r="D42" s="149" t="n"/>
      <c r="E42" s="150">
        <f>IF($D42="","",IFERROR(INDEX(WBS_CBS!$C$5:$C$16,MATCH($D42,WBS_CBS!$A$5:$A$16,0)),""))</f>
        <v/>
      </c>
      <c r="F42" s="150">
        <f>IF($D42="","",IFERROR(INDEX(WBS_CBS!$J$5:$J$16,MATCH($D42,WBS_CBS!$A$5:$A$16,0)),""))</f>
        <v/>
      </c>
      <c r="G42" s="149" t="n"/>
      <c r="H42" s="151" t="n"/>
      <c r="I42" s="149" t="n"/>
      <c r="J42" s="152" t="n"/>
      <c r="K42" s="149" t="n"/>
      <c r="L42" s="153">
        <f>IF($K42="","",IFERROR(INDEX(FX_Rates!$B$5:$B$14,MATCH($K42,FX_Rates!$A$5:$A$14,0)),""))</f>
        <v/>
      </c>
      <c r="M42" s="153">
        <f>IF(OR($H42="",$J42=""),"",$H42*$J42)</f>
        <v/>
      </c>
      <c r="N42" s="153">
        <f>IF(OR($M42="",$L42=""),"",$M42*$L42)</f>
        <v/>
      </c>
      <c r="O42" s="149" t="n"/>
      <c r="P42" s="154">
        <f>IF($O42="","",IFERROR(INDEX(Basis_of_Estimate!$C$5:$C$9,MATCH($O42,Basis_of_Estimate!$A$5:$A$9,0)),""))</f>
        <v/>
      </c>
      <c r="Q42" s="154">
        <f>IF($O42="","",IFERROR(INDEX(Basis_of_Estimate!$D$5:$D$9,MATCH($O42,Basis_of_Estimate!$A$5:$A$9,0)),""))</f>
        <v/>
      </c>
      <c r="R42" s="153">
        <f>IF($N42="","",$N42*(1+$P42))</f>
        <v/>
      </c>
      <c r="S42" s="153">
        <f>IF($N42="","",$N42)</f>
        <v/>
      </c>
      <c r="T42" s="153">
        <f>IF($N42="","",$N42*(1+$Q42))</f>
        <v/>
      </c>
      <c r="U42" s="150">
        <f>IF($D42="","",IFERROR(INDEX(WBS_CBS!$M$5:$M$16,MATCH($D42,WBS_CBS!$A$5:$A$16,0)),"Yes"))</f>
        <v/>
      </c>
      <c r="V42" s="150">
        <f>IF($D42="","",IFERROR(INDEX(WBS_CBS!$N$5:$N$16,MATCH($D42,WBS_CBS!$A$5:$A$16,0)),"Yes"))</f>
        <v/>
      </c>
      <c r="W42" s="150">
        <f>IF($D42="","",IFERROR(INDEX(WBS_CBS!$K$5:$K$16,MATCH($D42,WBS_CBS!$A$5:$A$16,0)),""))</f>
        <v/>
      </c>
      <c r="X42" s="150">
        <f>IF($D42="","",IFERROR(INDEX(WBS_CBS!$F$5:$F$16,MATCH($D42,WBS_CBS!$A$5:$A$16,0)),""))</f>
        <v/>
      </c>
      <c r="Y42" s="149" t="n"/>
      <c r="Z42" s="149" t="n"/>
      <c r="AA42" s="150">
        <f>IF($D42="","",IFERROR(INDEX(WBS_CBS!$L$5:$L$16,MATCH($D42,WBS_CBS!$A$5:$A$16,0)),""))</f>
        <v/>
      </c>
      <c r="AB42" s="149" t="n"/>
    </row>
    <row r="43">
      <c r="A43" s="149" t="n"/>
      <c r="B43" s="149" t="n"/>
      <c r="C43" s="150">
        <f>IF($D43="","",IFERROR(INDEX(WBS_CBS!$E$5:$E$16,MATCH($D43,WBS_CBS!$A$5:$A$16,0)),""))</f>
        <v/>
      </c>
      <c r="D43" s="149" t="n"/>
      <c r="E43" s="150">
        <f>IF($D43="","",IFERROR(INDEX(WBS_CBS!$C$5:$C$16,MATCH($D43,WBS_CBS!$A$5:$A$16,0)),""))</f>
        <v/>
      </c>
      <c r="F43" s="150">
        <f>IF($D43="","",IFERROR(INDEX(WBS_CBS!$J$5:$J$16,MATCH($D43,WBS_CBS!$A$5:$A$16,0)),""))</f>
        <v/>
      </c>
      <c r="G43" s="149" t="n"/>
      <c r="H43" s="151" t="n"/>
      <c r="I43" s="149" t="n"/>
      <c r="J43" s="152" t="n"/>
      <c r="K43" s="149" t="n"/>
      <c r="L43" s="153">
        <f>IF($K43="","",IFERROR(INDEX(FX_Rates!$B$5:$B$14,MATCH($K43,FX_Rates!$A$5:$A$14,0)),""))</f>
        <v/>
      </c>
      <c r="M43" s="153">
        <f>IF(OR($H43="",$J43=""),"",$H43*$J43)</f>
        <v/>
      </c>
      <c r="N43" s="153">
        <f>IF(OR($M43="",$L43=""),"",$M43*$L43)</f>
        <v/>
      </c>
      <c r="O43" s="149" t="n"/>
      <c r="P43" s="154">
        <f>IF($O43="","",IFERROR(INDEX(Basis_of_Estimate!$C$5:$C$9,MATCH($O43,Basis_of_Estimate!$A$5:$A$9,0)),""))</f>
        <v/>
      </c>
      <c r="Q43" s="154">
        <f>IF($O43="","",IFERROR(INDEX(Basis_of_Estimate!$D$5:$D$9,MATCH($O43,Basis_of_Estimate!$A$5:$A$9,0)),""))</f>
        <v/>
      </c>
      <c r="R43" s="153">
        <f>IF($N43="","",$N43*(1+$P43))</f>
        <v/>
      </c>
      <c r="S43" s="153">
        <f>IF($N43="","",$N43)</f>
        <v/>
      </c>
      <c r="T43" s="153">
        <f>IF($N43="","",$N43*(1+$Q43))</f>
        <v/>
      </c>
      <c r="U43" s="150">
        <f>IF($D43="","",IFERROR(INDEX(WBS_CBS!$M$5:$M$16,MATCH($D43,WBS_CBS!$A$5:$A$16,0)),"Yes"))</f>
        <v/>
      </c>
      <c r="V43" s="150">
        <f>IF($D43="","",IFERROR(INDEX(WBS_CBS!$N$5:$N$16,MATCH($D43,WBS_CBS!$A$5:$A$16,0)),"Yes"))</f>
        <v/>
      </c>
      <c r="W43" s="150">
        <f>IF($D43="","",IFERROR(INDEX(WBS_CBS!$K$5:$K$16,MATCH($D43,WBS_CBS!$A$5:$A$16,0)),""))</f>
        <v/>
      </c>
      <c r="X43" s="150">
        <f>IF($D43="","",IFERROR(INDEX(WBS_CBS!$F$5:$F$16,MATCH($D43,WBS_CBS!$A$5:$A$16,0)),""))</f>
        <v/>
      </c>
      <c r="Y43" s="149" t="n"/>
      <c r="Z43" s="149" t="n"/>
      <c r="AA43" s="150">
        <f>IF($D43="","",IFERROR(INDEX(WBS_CBS!$L$5:$L$16,MATCH($D43,WBS_CBS!$A$5:$A$16,0)),""))</f>
        <v/>
      </c>
      <c r="AB43" s="149" t="n"/>
    </row>
    <row r="44">
      <c r="A44" s="149" t="n"/>
      <c r="B44" s="149" t="n"/>
      <c r="C44" s="150">
        <f>IF($D44="","",IFERROR(INDEX(WBS_CBS!$E$5:$E$16,MATCH($D44,WBS_CBS!$A$5:$A$16,0)),""))</f>
        <v/>
      </c>
      <c r="D44" s="149" t="n"/>
      <c r="E44" s="150">
        <f>IF($D44="","",IFERROR(INDEX(WBS_CBS!$C$5:$C$16,MATCH($D44,WBS_CBS!$A$5:$A$16,0)),""))</f>
        <v/>
      </c>
      <c r="F44" s="150">
        <f>IF($D44="","",IFERROR(INDEX(WBS_CBS!$J$5:$J$16,MATCH($D44,WBS_CBS!$A$5:$A$16,0)),""))</f>
        <v/>
      </c>
      <c r="G44" s="149" t="n"/>
      <c r="H44" s="151" t="n"/>
      <c r="I44" s="149" t="n"/>
      <c r="J44" s="152" t="n"/>
      <c r="K44" s="149" t="n"/>
      <c r="L44" s="153">
        <f>IF($K44="","",IFERROR(INDEX(FX_Rates!$B$5:$B$14,MATCH($K44,FX_Rates!$A$5:$A$14,0)),""))</f>
        <v/>
      </c>
      <c r="M44" s="153">
        <f>IF(OR($H44="",$J44=""),"",$H44*$J44)</f>
        <v/>
      </c>
      <c r="N44" s="153">
        <f>IF(OR($M44="",$L44=""),"",$M44*$L44)</f>
        <v/>
      </c>
      <c r="O44" s="149" t="n"/>
      <c r="P44" s="154">
        <f>IF($O44="","",IFERROR(INDEX(Basis_of_Estimate!$C$5:$C$9,MATCH($O44,Basis_of_Estimate!$A$5:$A$9,0)),""))</f>
        <v/>
      </c>
      <c r="Q44" s="154">
        <f>IF($O44="","",IFERROR(INDEX(Basis_of_Estimate!$D$5:$D$9,MATCH($O44,Basis_of_Estimate!$A$5:$A$9,0)),""))</f>
        <v/>
      </c>
      <c r="R44" s="153">
        <f>IF($N44="","",$N44*(1+$P44))</f>
        <v/>
      </c>
      <c r="S44" s="153">
        <f>IF($N44="","",$N44)</f>
        <v/>
      </c>
      <c r="T44" s="153">
        <f>IF($N44="","",$N44*(1+$Q44))</f>
        <v/>
      </c>
      <c r="U44" s="150">
        <f>IF($D44="","",IFERROR(INDEX(WBS_CBS!$M$5:$M$16,MATCH($D44,WBS_CBS!$A$5:$A$16,0)),"Yes"))</f>
        <v/>
      </c>
      <c r="V44" s="150">
        <f>IF($D44="","",IFERROR(INDEX(WBS_CBS!$N$5:$N$16,MATCH($D44,WBS_CBS!$A$5:$A$16,0)),"Yes"))</f>
        <v/>
      </c>
      <c r="W44" s="150">
        <f>IF($D44="","",IFERROR(INDEX(WBS_CBS!$K$5:$K$16,MATCH($D44,WBS_CBS!$A$5:$A$16,0)),""))</f>
        <v/>
      </c>
      <c r="X44" s="150">
        <f>IF($D44="","",IFERROR(INDEX(WBS_CBS!$F$5:$F$16,MATCH($D44,WBS_CBS!$A$5:$A$16,0)),""))</f>
        <v/>
      </c>
      <c r="Y44" s="149" t="n"/>
      <c r="Z44" s="149" t="n"/>
      <c r="AA44" s="150">
        <f>IF($D44="","",IFERROR(INDEX(WBS_CBS!$L$5:$L$16,MATCH($D44,WBS_CBS!$A$5:$A$16,0)),""))</f>
        <v/>
      </c>
      <c r="AB44" s="149" t="n"/>
    </row>
    <row r="45">
      <c r="A45" s="149" t="n"/>
      <c r="B45" s="149" t="n"/>
      <c r="C45" s="150">
        <f>IF($D45="","",IFERROR(INDEX(WBS_CBS!$E$5:$E$16,MATCH($D45,WBS_CBS!$A$5:$A$16,0)),""))</f>
        <v/>
      </c>
      <c r="D45" s="149" t="n"/>
      <c r="E45" s="150">
        <f>IF($D45="","",IFERROR(INDEX(WBS_CBS!$C$5:$C$16,MATCH($D45,WBS_CBS!$A$5:$A$16,0)),""))</f>
        <v/>
      </c>
      <c r="F45" s="150">
        <f>IF($D45="","",IFERROR(INDEX(WBS_CBS!$J$5:$J$16,MATCH($D45,WBS_CBS!$A$5:$A$16,0)),""))</f>
        <v/>
      </c>
      <c r="G45" s="149" t="n"/>
      <c r="H45" s="151" t="n"/>
      <c r="I45" s="149" t="n"/>
      <c r="J45" s="152" t="n"/>
      <c r="K45" s="149" t="n"/>
      <c r="L45" s="153">
        <f>IF($K45="","",IFERROR(INDEX(FX_Rates!$B$5:$B$14,MATCH($K45,FX_Rates!$A$5:$A$14,0)),""))</f>
        <v/>
      </c>
      <c r="M45" s="153">
        <f>IF(OR($H45="",$J45=""),"",$H45*$J45)</f>
        <v/>
      </c>
      <c r="N45" s="153">
        <f>IF(OR($M45="",$L45=""),"",$M45*$L45)</f>
        <v/>
      </c>
      <c r="O45" s="149" t="n"/>
      <c r="P45" s="154">
        <f>IF($O45="","",IFERROR(INDEX(Basis_of_Estimate!$C$5:$C$9,MATCH($O45,Basis_of_Estimate!$A$5:$A$9,0)),""))</f>
        <v/>
      </c>
      <c r="Q45" s="154">
        <f>IF($O45="","",IFERROR(INDEX(Basis_of_Estimate!$D$5:$D$9,MATCH($O45,Basis_of_Estimate!$A$5:$A$9,0)),""))</f>
        <v/>
      </c>
      <c r="R45" s="153">
        <f>IF($N45="","",$N45*(1+$P45))</f>
        <v/>
      </c>
      <c r="S45" s="153">
        <f>IF($N45="","",$N45)</f>
        <v/>
      </c>
      <c r="T45" s="153">
        <f>IF($N45="","",$N45*(1+$Q45))</f>
        <v/>
      </c>
      <c r="U45" s="150">
        <f>IF($D45="","",IFERROR(INDEX(WBS_CBS!$M$5:$M$16,MATCH($D45,WBS_CBS!$A$5:$A$16,0)),"Yes"))</f>
        <v/>
      </c>
      <c r="V45" s="150">
        <f>IF($D45="","",IFERROR(INDEX(WBS_CBS!$N$5:$N$16,MATCH($D45,WBS_CBS!$A$5:$A$16,0)),"Yes"))</f>
        <v/>
      </c>
      <c r="W45" s="150">
        <f>IF($D45="","",IFERROR(INDEX(WBS_CBS!$K$5:$K$16,MATCH($D45,WBS_CBS!$A$5:$A$16,0)),""))</f>
        <v/>
      </c>
      <c r="X45" s="150">
        <f>IF($D45="","",IFERROR(INDEX(WBS_CBS!$F$5:$F$16,MATCH($D45,WBS_CBS!$A$5:$A$16,0)),""))</f>
        <v/>
      </c>
      <c r="Y45" s="149" t="n"/>
      <c r="Z45" s="149" t="n"/>
      <c r="AA45" s="150">
        <f>IF($D45="","",IFERROR(INDEX(WBS_CBS!$L$5:$L$16,MATCH($D45,WBS_CBS!$A$5:$A$16,0)),""))</f>
        <v/>
      </c>
      <c r="AB45" s="149" t="n"/>
    </row>
    <row r="46">
      <c r="A46" s="149" t="n"/>
      <c r="B46" s="149" t="n"/>
      <c r="C46" s="150">
        <f>IF($D46="","",IFERROR(INDEX(WBS_CBS!$E$5:$E$16,MATCH($D46,WBS_CBS!$A$5:$A$16,0)),""))</f>
        <v/>
      </c>
      <c r="D46" s="149" t="n"/>
      <c r="E46" s="150">
        <f>IF($D46="","",IFERROR(INDEX(WBS_CBS!$C$5:$C$16,MATCH($D46,WBS_CBS!$A$5:$A$16,0)),""))</f>
        <v/>
      </c>
      <c r="F46" s="150">
        <f>IF($D46="","",IFERROR(INDEX(WBS_CBS!$J$5:$J$16,MATCH($D46,WBS_CBS!$A$5:$A$16,0)),""))</f>
        <v/>
      </c>
      <c r="G46" s="149" t="n"/>
      <c r="H46" s="151" t="n"/>
      <c r="I46" s="149" t="n"/>
      <c r="J46" s="152" t="n"/>
      <c r="K46" s="149" t="n"/>
      <c r="L46" s="153">
        <f>IF($K46="","",IFERROR(INDEX(FX_Rates!$B$5:$B$14,MATCH($K46,FX_Rates!$A$5:$A$14,0)),""))</f>
        <v/>
      </c>
      <c r="M46" s="153">
        <f>IF(OR($H46="",$J46=""),"",$H46*$J46)</f>
        <v/>
      </c>
      <c r="N46" s="153">
        <f>IF(OR($M46="",$L46=""),"",$M46*$L46)</f>
        <v/>
      </c>
      <c r="O46" s="149" t="n"/>
      <c r="P46" s="154">
        <f>IF($O46="","",IFERROR(INDEX(Basis_of_Estimate!$C$5:$C$9,MATCH($O46,Basis_of_Estimate!$A$5:$A$9,0)),""))</f>
        <v/>
      </c>
      <c r="Q46" s="154">
        <f>IF($O46="","",IFERROR(INDEX(Basis_of_Estimate!$D$5:$D$9,MATCH($O46,Basis_of_Estimate!$A$5:$A$9,0)),""))</f>
        <v/>
      </c>
      <c r="R46" s="153">
        <f>IF($N46="","",$N46*(1+$P46))</f>
        <v/>
      </c>
      <c r="S46" s="153">
        <f>IF($N46="","",$N46)</f>
        <v/>
      </c>
      <c r="T46" s="153">
        <f>IF($N46="","",$N46*(1+$Q46))</f>
        <v/>
      </c>
      <c r="U46" s="150">
        <f>IF($D46="","",IFERROR(INDEX(WBS_CBS!$M$5:$M$16,MATCH($D46,WBS_CBS!$A$5:$A$16,0)),"Yes"))</f>
        <v/>
      </c>
      <c r="V46" s="150">
        <f>IF($D46="","",IFERROR(INDEX(WBS_CBS!$N$5:$N$16,MATCH($D46,WBS_CBS!$A$5:$A$16,0)),"Yes"))</f>
        <v/>
      </c>
      <c r="W46" s="150">
        <f>IF($D46="","",IFERROR(INDEX(WBS_CBS!$K$5:$K$16,MATCH($D46,WBS_CBS!$A$5:$A$16,0)),""))</f>
        <v/>
      </c>
      <c r="X46" s="150">
        <f>IF($D46="","",IFERROR(INDEX(WBS_CBS!$F$5:$F$16,MATCH($D46,WBS_CBS!$A$5:$A$16,0)),""))</f>
        <v/>
      </c>
      <c r="Y46" s="149" t="n"/>
      <c r="Z46" s="149" t="n"/>
      <c r="AA46" s="150">
        <f>IF($D46="","",IFERROR(INDEX(WBS_CBS!$L$5:$L$16,MATCH($D46,WBS_CBS!$A$5:$A$16,0)),""))</f>
        <v/>
      </c>
      <c r="AB46" s="149" t="n"/>
    </row>
    <row r="47">
      <c r="A47" s="149" t="n"/>
      <c r="B47" s="149" t="n"/>
      <c r="C47" s="150">
        <f>IF($D47="","",IFERROR(INDEX(WBS_CBS!$E$5:$E$16,MATCH($D47,WBS_CBS!$A$5:$A$16,0)),""))</f>
        <v/>
      </c>
      <c r="D47" s="149" t="n"/>
      <c r="E47" s="150">
        <f>IF($D47="","",IFERROR(INDEX(WBS_CBS!$C$5:$C$16,MATCH($D47,WBS_CBS!$A$5:$A$16,0)),""))</f>
        <v/>
      </c>
      <c r="F47" s="150">
        <f>IF($D47="","",IFERROR(INDEX(WBS_CBS!$J$5:$J$16,MATCH($D47,WBS_CBS!$A$5:$A$16,0)),""))</f>
        <v/>
      </c>
      <c r="G47" s="149" t="n"/>
      <c r="H47" s="151" t="n"/>
      <c r="I47" s="149" t="n"/>
      <c r="J47" s="152" t="n"/>
      <c r="K47" s="149" t="n"/>
      <c r="L47" s="153">
        <f>IF($K47="","",IFERROR(INDEX(FX_Rates!$B$5:$B$14,MATCH($K47,FX_Rates!$A$5:$A$14,0)),""))</f>
        <v/>
      </c>
      <c r="M47" s="153">
        <f>IF(OR($H47="",$J47=""),"",$H47*$J47)</f>
        <v/>
      </c>
      <c r="N47" s="153">
        <f>IF(OR($M47="",$L47=""),"",$M47*$L47)</f>
        <v/>
      </c>
      <c r="O47" s="149" t="n"/>
      <c r="P47" s="154">
        <f>IF($O47="","",IFERROR(INDEX(Basis_of_Estimate!$C$5:$C$9,MATCH($O47,Basis_of_Estimate!$A$5:$A$9,0)),""))</f>
        <v/>
      </c>
      <c r="Q47" s="154">
        <f>IF($O47="","",IFERROR(INDEX(Basis_of_Estimate!$D$5:$D$9,MATCH($O47,Basis_of_Estimate!$A$5:$A$9,0)),""))</f>
        <v/>
      </c>
      <c r="R47" s="153">
        <f>IF($N47="","",$N47*(1+$P47))</f>
        <v/>
      </c>
      <c r="S47" s="153">
        <f>IF($N47="","",$N47)</f>
        <v/>
      </c>
      <c r="T47" s="153">
        <f>IF($N47="","",$N47*(1+$Q47))</f>
        <v/>
      </c>
      <c r="U47" s="150">
        <f>IF($D47="","",IFERROR(INDEX(WBS_CBS!$M$5:$M$16,MATCH($D47,WBS_CBS!$A$5:$A$16,0)),"Yes"))</f>
        <v/>
      </c>
      <c r="V47" s="150">
        <f>IF($D47="","",IFERROR(INDEX(WBS_CBS!$N$5:$N$16,MATCH($D47,WBS_CBS!$A$5:$A$16,0)),"Yes"))</f>
        <v/>
      </c>
      <c r="W47" s="150">
        <f>IF($D47="","",IFERROR(INDEX(WBS_CBS!$K$5:$K$16,MATCH($D47,WBS_CBS!$A$5:$A$16,0)),""))</f>
        <v/>
      </c>
      <c r="X47" s="150">
        <f>IF($D47="","",IFERROR(INDEX(WBS_CBS!$F$5:$F$16,MATCH($D47,WBS_CBS!$A$5:$A$16,0)),""))</f>
        <v/>
      </c>
      <c r="Y47" s="149" t="n"/>
      <c r="Z47" s="149" t="n"/>
      <c r="AA47" s="150">
        <f>IF($D47="","",IFERROR(INDEX(WBS_CBS!$L$5:$L$16,MATCH($D47,WBS_CBS!$A$5:$A$16,0)),""))</f>
        <v/>
      </c>
      <c r="AB47" s="149" t="n"/>
    </row>
    <row r="48">
      <c r="A48" s="149" t="n"/>
      <c r="B48" s="149" t="n"/>
      <c r="C48" s="150">
        <f>IF($D48="","",IFERROR(INDEX(WBS_CBS!$E$5:$E$16,MATCH($D48,WBS_CBS!$A$5:$A$16,0)),""))</f>
        <v/>
      </c>
      <c r="D48" s="149" t="n"/>
      <c r="E48" s="150">
        <f>IF($D48="","",IFERROR(INDEX(WBS_CBS!$C$5:$C$16,MATCH($D48,WBS_CBS!$A$5:$A$16,0)),""))</f>
        <v/>
      </c>
      <c r="F48" s="150">
        <f>IF($D48="","",IFERROR(INDEX(WBS_CBS!$J$5:$J$16,MATCH($D48,WBS_CBS!$A$5:$A$16,0)),""))</f>
        <v/>
      </c>
      <c r="G48" s="149" t="n"/>
      <c r="H48" s="151" t="n"/>
      <c r="I48" s="149" t="n"/>
      <c r="J48" s="152" t="n"/>
      <c r="K48" s="149" t="n"/>
      <c r="L48" s="153">
        <f>IF($K48="","",IFERROR(INDEX(FX_Rates!$B$5:$B$14,MATCH($K48,FX_Rates!$A$5:$A$14,0)),""))</f>
        <v/>
      </c>
      <c r="M48" s="153">
        <f>IF(OR($H48="",$J48=""),"",$H48*$J48)</f>
        <v/>
      </c>
      <c r="N48" s="153">
        <f>IF(OR($M48="",$L48=""),"",$M48*$L48)</f>
        <v/>
      </c>
      <c r="O48" s="149" t="n"/>
      <c r="P48" s="154">
        <f>IF($O48="","",IFERROR(INDEX(Basis_of_Estimate!$C$5:$C$9,MATCH($O48,Basis_of_Estimate!$A$5:$A$9,0)),""))</f>
        <v/>
      </c>
      <c r="Q48" s="154">
        <f>IF($O48="","",IFERROR(INDEX(Basis_of_Estimate!$D$5:$D$9,MATCH($O48,Basis_of_Estimate!$A$5:$A$9,0)),""))</f>
        <v/>
      </c>
      <c r="R48" s="153">
        <f>IF($N48="","",$N48*(1+$P48))</f>
        <v/>
      </c>
      <c r="S48" s="153">
        <f>IF($N48="","",$N48)</f>
        <v/>
      </c>
      <c r="T48" s="153">
        <f>IF($N48="","",$N48*(1+$Q48))</f>
        <v/>
      </c>
      <c r="U48" s="150">
        <f>IF($D48="","",IFERROR(INDEX(WBS_CBS!$M$5:$M$16,MATCH($D48,WBS_CBS!$A$5:$A$16,0)),"Yes"))</f>
        <v/>
      </c>
      <c r="V48" s="150">
        <f>IF($D48="","",IFERROR(INDEX(WBS_CBS!$N$5:$N$16,MATCH($D48,WBS_CBS!$A$5:$A$16,0)),"Yes"))</f>
        <v/>
      </c>
      <c r="W48" s="150">
        <f>IF($D48="","",IFERROR(INDEX(WBS_CBS!$K$5:$K$16,MATCH($D48,WBS_CBS!$A$5:$A$16,0)),""))</f>
        <v/>
      </c>
      <c r="X48" s="150">
        <f>IF($D48="","",IFERROR(INDEX(WBS_CBS!$F$5:$F$16,MATCH($D48,WBS_CBS!$A$5:$A$16,0)),""))</f>
        <v/>
      </c>
      <c r="Y48" s="149" t="n"/>
      <c r="Z48" s="149" t="n"/>
      <c r="AA48" s="150">
        <f>IF($D48="","",IFERROR(INDEX(WBS_CBS!$L$5:$L$16,MATCH($D48,WBS_CBS!$A$5:$A$16,0)),""))</f>
        <v/>
      </c>
      <c r="AB48" s="149" t="n"/>
    </row>
    <row r="49">
      <c r="A49" s="149" t="n"/>
      <c r="B49" s="149" t="n"/>
      <c r="C49" s="150">
        <f>IF($D49="","",IFERROR(INDEX(WBS_CBS!$E$5:$E$16,MATCH($D49,WBS_CBS!$A$5:$A$16,0)),""))</f>
        <v/>
      </c>
      <c r="D49" s="149" t="n"/>
      <c r="E49" s="150">
        <f>IF($D49="","",IFERROR(INDEX(WBS_CBS!$C$5:$C$16,MATCH($D49,WBS_CBS!$A$5:$A$16,0)),""))</f>
        <v/>
      </c>
      <c r="F49" s="150">
        <f>IF($D49="","",IFERROR(INDEX(WBS_CBS!$J$5:$J$16,MATCH($D49,WBS_CBS!$A$5:$A$16,0)),""))</f>
        <v/>
      </c>
      <c r="G49" s="149" t="n"/>
      <c r="H49" s="151" t="n"/>
      <c r="I49" s="149" t="n"/>
      <c r="J49" s="152" t="n"/>
      <c r="K49" s="149" t="n"/>
      <c r="L49" s="153">
        <f>IF($K49="","",IFERROR(INDEX(FX_Rates!$B$5:$B$14,MATCH($K49,FX_Rates!$A$5:$A$14,0)),""))</f>
        <v/>
      </c>
      <c r="M49" s="153">
        <f>IF(OR($H49="",$J49=""),"",$H49*$J49)</f>
        <v/>
      </c>
      <c r="N49" s="153">
        <f>IF(OR($M49="",$L49=""),"",$M49*$L49)</f>
        <v/>
      </c>
      <c r="O49" s="149" t="n"/>
      <c r="P49" s="154">
        <f>IF($O49="","",IFERROR(INDEX(Basis_of_Estimate!$C$5:$C$9,MATCH($O49,Basis_of_Estimate!$A$5:$A$9,0)),""))</f>
        <v/>
      </c>
      <c r="Q49" s="154">
        <f>IF($O49="","",IFERROR(INDEX(Basis_of_Estimate!$D$5:$D$9,MATCH($O49,Basis_of_Estimate!$A$5:$A$9,0)),""))</f>
        <v/>
      </c>
      <c r="R49" s="153">
        <f>IF($N49="","",$N49*(1+$P49))</f>
        <v/>
      </c>
      <c r="S49" s="153">
        <f>IF($N49="","",$N49)</f>
        <v/>
      </c>
      <c r="T49" s="153">
        <f>IF($N49="","",$N49*(1+$Q49))</f>
        <v/>
      </c>
      <c r="U49" s="150">
        <f>IF($D49="","",IFERROR(INDEX(WBS_CBS!$M$5:$M$16,MATCH($D49,WBS_CBS!$A$5:$A$16,0)),"Yes"))</f>
        <v/>
      </c>
      <c r="V49" s="150">
        <f>IF($D49="","",IFERROR(INDEX(WBS_CBS!$N$5:$N$16,MATCH($D49,WBS_CBS!$A$5:$A$16,0)),"Yes"))</f>
        <v/>
      </c>
      <c r="W49" s="150">
        <f>IF($D49="","",IFERROR(INDEX(WBS_CBS!$K$5:$K$16,MATCH($D49,WBS_CBS!$A$5:$A$16,0)),""))</f>
        <v/>
      </c>
      <c r="X49" s="150">
        <f>IF($D49="","",IFERROR(INDEX(WBS_CBS!$F$5:$F$16,MATCH($D49,WBS_CBS!$A$5:$A$16,0)),""))</f>
        <v/>
      </c>
      <c r="Y49" s="149" t="n"/>
      <c r="Z49" s="149" t="n"/>
      <c r="AA49" s="150">
        <f>IF($D49="","",IFERROR(INDEX(WBS_CBS!$L$5:$L$16,MATCH($D49,WBS_CBS!$A$5:$A$16,0)),""))</f>
        <v/>
      </c>
      <c r="AB49" s="149" t="n"/>
    </row>
    <row r="50">
      <c r="A50" s="149" t="n"/>
      <c r="B50" s="149" t="n"/>
      <c r="C50" s="150">
        <f>IF($D50="","",IFERROR(INDEX(WBS_CBS!$E$5:$E$16,MATCH($D50,WBS_CBS!$A$5:$A$16,0)),""))</f>
        <v/>
      </c>
      <c r="D50" s="149" t="n"/>
      <c r="E50" s="150">
        <f>IF($D50="","",IFERROR(INDEX(WBS_CBS!$C$5:$C$16,MATCH($D50,WBS_CBS!$A$5:$A$16,0)),""))</f>
        <v/>
      </c>
      <c r="F50" s="150">
        <f>IF($D50="","",IFERROR(INDEX(WBS_CBS!$J$5:$J$16,MATCH($D50,WBS_CBS!$A$5:$A$16,0)),""))</f>
        <v/>
      </c>
      <c r="G50" s="149" t="n"/>
      <c r="H50" s="151" t="n"/>
      <c r="I50" s="149" t="n"/>
      <c r="J50" s="152" t="n"/>
      <c r="K50" s="149" t="n"/>
      <c r="L50" s="153">
        <f>IF($K50="","",IFERROR(INDEX(FX_Rates!$B$5:$B$14,MATCH($K50,FX_Rates!$A$5:$A$14,0)),""))</f>
        <v/>
      </c>
      <c r="M50" s="153">
        <f>IF(OR($H50="",$J50=""),"",$H50*$J50)</f>
        <v/>
      </c>
      <c r="N50" s="153">
        <f>IF(OR($M50="",$L50=""),"",$M50*$L50)</f>
        <v/>
      </c>
      <c r="O50" s="149" t="n"/>
      <c r="P50" s="154">
        <f>IF($O50="","",IFERROR(INDEX(Basis_of_Estimate!$C$5:$C$9,MATCH($O50,Basis_of_Estimate!$A$5:$A$9,0)),""))</f>
        <v/>
      </c>
      <c r="Q50" s="154">
        <f>IF($O50="","",IFERROR(INDEX(Basis_of_Estimate!$D$5:$D$9,MATCH($O50,Basis_of_Estimate!$A$5:$A$9,0)),""))</f>
        <v/>
      </c>
      <c r="R50" s="153">
        <f>IF($N50="","",$N50*(1+$P50))</f>
        <v/>
      </c>
      <c r="S50" s="153">
        <f>IF($N50="","",$N50)</f>
        <v/>
      </c>
      <c r="T50" s="153">
        <f>IF($N50="","",$N50*(1+$Q50))</f>
        <v/>
      </c>
      <c r="U50" s="150">
        <f>IF($D50="","",IFERROR(INDEX(WBS_CBS!$M$5:$M$16,MATCH($D50,WBS_CBS!$A$5:$A$16,0)),"Yes"))</f>
        <v/>
      </c>
      <c r="V50" s="150">
        <f>IF($D50="","",IFERROR(INDEX(WBS_CBS!$N$5:$N$16,MATCH($D50,WBS_CBS!$A$5:$A$16,0)),"Yes"))</f>
        <v/>
      </c>
      <c r="W50" s="150">
        <f>IF($D50="","",IFERROR(INDEX(WBS_CBS!$K$5:$K$16,MATCH($D50,WBS_CBS!$A$5:$A$16,0)),""))</f>
        <v/>
      </c>
      <c r="X50" s="150">
        <f>IF($D50="","",IFERROR(INDEX(WBS_CBS!$F$5:$F$16,MATCH($D50,WBS_CBS!$A$5:$A$16,0)),""))</f>
        <v/>
      </c>
      <c r="Y50" s="149" t="n"/>
      <c r="Z50" s="149" t="n"/>
      <c r="AA50" s="150">
        <f>IF($D50="","",IFERROR(INDEX(WBS_CBS!$L$5:$L$16,MATCH($D50,WBS_CBS!$A$5:$A$16,0)),""))</f>
        <v/>
      </c>
      <c r="AB50" s="149" t="n"/>
    </row>
    <row r="51">
      <c r="A51" s="149" t="n"/>
      <c r="B51" s="149" t="n"/>
      <c r="C51" s="150">
        <f>IF($D51="","",IFERROR(INDEX(WBS_CBS!$E$5:$E$16,MATCH($D51,WBS_CBS!$A$5:$A$16,0)),""))</f>
        <v/>
      </c>
      <c r="D51" s="149" t="n"/>
      <c r="E51" s="150">
        <f>IF($D51="","",IFERROR(INDEX(WBS_CBS!$C$5:$C$16,MATCH($D51,WBS_CBS!$A$5:$A$16,0)),""))</f>
        <v/>
      </c>
      <c r="F51" s="150">
        <f>IF($D51="","",IFERROR(INDEX(WBS_CBS!$J$5:$J$16,MATCH($D51,WBS_CBS!$A$5:$A$16,0)),""))</f>
        <v/>
      </c>
      <c r="G51" s="149" t="n"/>
      <c r="H51" s="151" t="n"/>
      <c r="I51" s="149" t="n"/>
      <c r="J51" s="152" t="n"/>
      <c r="K51" s="149" t="n"/>
      <c r="L51" s="153">
        <f>IF($K51="","",IFERROR(INDEX(FX_Rates!$B$5:$B$14,MATCH($K51,FX_Rates!$A$5:$A$14,0)),""))</f>
        <v/>
      </c>
      <c r="M51" s="153">
        <f>IF(OR($H51="",$J51=""),"",$H51*$J51)</f>
        <v/>
      </c>
      <c r="N51" s="153">
        <f>IF(OR($M51="",$L51=""),"",$M51*$L51)</f>
        <v/>
      </c>
      <c r="O51" s="149" t="n"/>
      <c r="P51" s="154">
        <f>IF($O51="","",IFERROR(INDEX(Basis_of_Estimate!$C$5:$C$9,MATCH($O51,Basis_of_Estimate!$A$5:$A$9,0)),""))</f>
        <v/>
      </c>
      <c r="Q51" s="154">
        <f>IF($O51="","",IFERROR(INDEX(Basis_of_Estimate!$D$5:$D$9,MATCH($O51,Basis_of_Estimate!$A$5:$A$9,0)),""))</f>
        <v/>
      </c>
      <c r="R51" s="153">
        <f>IF($N51="","",$N51*(1+$P51))</f>
        <v/>
      </c>
      <c r="S51" s="153">
        <f>IF($N51="","",$N51)</f>
        <v/>
      </c>
      <c r="T51" s="153">
        <f>IF($N51="","",$N51*(1+$Q51))</f>
        <v/>
      </c>
      <c r="U51" s="150">
        <f>IF($D51="","",IFERROR(INDEX(WBS_CBS!$M$5:$M$16,MATCH($D51,WBS_CBS!$A$5:$A$16,0)),"Yes"))</f>
        <v/>
      </c>
      <c r="V51" s="150">
        <f>IF($D51="","",IFERROR(INDEX(WBS_CBS!$N$5:$N$16,MATCH($D51,WBS_CBS!$A$5:$A$16,0)),"Yes"))</f>
        <v/>
      </c>
      <c r="W51" s="150">
        <f>IF($D51="","",IFERROR(INDEX(WBS_CBS!$K$5:$K$16,MATCH($D51,WBS_CBS!$A$5:$A$16,0)),""))</f>
        <v/>
      </c>
      <c r="X51" s="150">
        <f>IF($D51="","",IFERROR(INDEX(WBS_CBS!$F$5:$F$16,MATCH($D51,WBS_CBS!$A$5:$A$16,0)),""))</f>
        <v/>
      </c>
      <c r="Y51" s="149" t="n"/>
      <c r="Z51" s="149" t="n"/>
      <c r="AA51" s="150">
        <f>IF($D51="","",IFERROR(INDEX(WBS_CBS!$L$5:$L$16,MATCH($D51,WBS_CBS!$A$5:$A$16,0)),""))</f>
        <v/>
      </c>
      <c r="AB51" s="149" t="n"/>
    </row>
    <row r="52">
      <c r="A52" s="149" t="n"/>
      <c r="B52" s="149" t="n"/>
      <c r="C52" s="150">
        <f>IF($D52="","",IFERROR(INDEX(WBS_CBS!$E$5:$E$16,MATCH($D52,WBS_CBS!$A$5:$A$16,0)),""))</f>
        <v/>
      </c>
      <c r="D52" s="149" t="n"/>
      <c r="E52" s="150">
        <f>IF($D52="","",IFERROR(INDEX(WBS_CBS!$C$5:$C$16,MATCH($D52,WBS_CBS!$A$5:$A$16,0)),""))</f>
        <v/>
      </c>
      <c r="F52" s="150">
        <f>IF($D52="","",IFERROR(INDEX(WBS_CBS!$J$5:$J$16,MATCH($D52,WBS_CBS!$A$5:$A$16,0)),""))</f>
        <v/>
      </c>
      <c r="G52" s="149" t="n"/>
      <c r="H52" s="151" t="n"/>
      <c r="I52" s="149" t="n"/>
      <c r="J52" s="152" t="n"/>
      <c r="K52" s="149" t="n"/>
      <c r="L52" s="153">
        <f>IF($K52="","",IFERROR(INDEX(FX_Rates!$B$5:$B$14,MATCH($K52,FX_Rates!$A$5:$A$14,0)),""))</f>
        <v/>
      </c>
      <c r="M52" s="153">
        <f>IF(OR($H52="",$J52=""),"",$H52*$J52)</f>
        <v/>
      </c>
      <c r="N52" s="153">
        <f>IF(OR($M52="",$L52=""),"",$M52*$L52)</f>
        <v/>
      </c>
      <c r="O52" s="149" t="n"/>
      <c r="P52" s="154">
        <f>IF($O52="","",IFERROR(INDEX(Basis_of_Estimate!$C$5:$C$9,MATCH($O52,Basis_of_Estimate!$A$5:$A$9,0)),""))</f>
        <v/>
      </c>
      <c r="Q52" s="154">
        <f>IF($O52="","",IFERROR(INDEX(Basis_of_Estimate!$D$5:$D$9,MATCH($O52,Basis_of_Estimate!$A$5:$A$9,0)),""))</f>
        <v/>
      </c>
      <c r="R52" s="153">
        <f>IF($N52="","",$N52*(1+$P52))</f>
        <v/>
      </c>
      <c r="S52" s="153">
        <f>IF($N52="","",$N52)</f>
        <v/>
      </c>
      <c r="T52" s="153">
        <f>IF($N52="","",$N52*(1+$Q52))</f>
        <v/>
      </c>
      <c r="U52" s="150">
        <f>IF($D52="","",IFERROR(INDEX(WBS_CBS!$M$5:$M$16,MATCH($D52,WBS_CBS!$A$5:$A$16,0)),"Yes"))</f>
        <v/>
      </c>
      <c r="V52" s="150">
        <f>IF($D52="","",IFERROR(INDEX(WBS_CBS!$N$5:$N$16,MATCH($D52,WBS_CBS!$A$5:$A$16,0)),"Yes"))</f>
        <v/>
      </c>
      <c r="W52" s="150">
        <f>IF($D52="","",IFERROR(INDEX(WBS_CBS!$K$5:$K$16,MATCH($D52,WBS_CBS!$A$5:$A$16,0)),""))</f>
        <v/>
      </c>
      <c r="X52" s="150">
        <f>IF($D52="","",IFERROR(INDEX(WBS_CBS!$F$5:$F$16,MATCH($D52,WBS_CBS!$A$5:$A$16,0)),""))</f>
        <v/>
      </c>
      <c r="Y52" s="149" t="n"/>
      <c r="Z52" s="149" t="n"/>
      <c r="AA52" s="150">
        <f>IF($D52="","",IFERROR(INDEX(WBS_CBS!$L$5:$L$16,MATCH($D52,WBS_CBS!$A$5:$A$16,0)),""))</f>
        <v/>
      </c>
      <c r="AB52" s="149" t="n"/>
    </row>
    <row r="53">
      <c r="A53" s="149" t="n"/>
      <c r="B53" s="149" t="n"/>
      <c r="C53" s="150">
        <f>IF($D53="","",IFERROR(INDEX(WBS_CBS!$E$5:$E$16,MATCH($D53,WBS_CBS!$A$5:$A$16,0)),""))</f>
        <v/>
      </c>
      <c r="D53" s="149" t="n"/>
      <c r="E53" s="150">
        <f>IF($D53="","",IFERROR(INDEX(WBS_CBS!$C$5:$C$16,MATCH($D53,WBS_CBS!$A$5:$A$16,0)),""))</f>
        <v/>
      </c>
      <c r="F53" s="150">
        <f>IF($D53="","",IFERROR(INDEX(WBS_CBS!$J$5:$J$16,MATCH($D53,WBS_CBS!$A$5:$A$16,0)),""))</f>
        <v/>
      </c>
      <c r="G53" s="149" t="n"/>
      <c r="H53" s="151" t="n"/>
      <c r="I53" s="149" t="n"/>
      <c r="J53" s="152" t="n"/>
      <c r="K53" s="149" t="n"/>
      <c r="L53" s="153">
        <f>IF($K53="","",IFERROR(INDEX(FX_Rates!$B$5:$B$14,MATCH($K53,FX_Rates!$A$5:$A$14,0)),""))</f>
        <v/>
      </c>
      <c r="M53" s="153">
        <f>IF(OR($H53="",$J53=""),"",$H53*$J53)</f>
        <v/>
      </c>
      <c r="N53" s="153">
        <f>IF(OR($M53="",$L53=""),"",$M53*$L53)</f>
        <v/>
      </c>
      <c r="O53" s="149" t="n"/>
      <c r="P53" s="154">
        <f>IF($O53="","",IFERROR(INDEX(Basis_of_Estimate!$C$5:$C$9,MATCH($O53,Basis_of_Estimate!$A$5:$A$9,0)),""))</f>
        <v/>
      </c>
      <c r="Q53" s="154">
        <f>IF($O53="","",IFERROR(INDEX(Basis_of_Estimate!$D$5:$D$9,MATCH($O53,Basis_of_Estimate!$A$5:$A$9,0)),""))</f>
        <v/>
      </c>
      <c r="R53" s="153">
        <f>IF($N53="","",$N53*(1+$P53))</f>
        <v/>
      </c>
      <c r="S53" s="153">
        <f>IF($N53="","",$N53)</f>
        <v/>
      </c>
      <c r="T53" s="153">
        <f>IF($N53="","",$N53*(1+$Q53))</f>
        <v/>
      </c>
      <c r="U53" s="150">
        <f>IF($D53="","",IFERROR(INDEX(WBS_CBS!$M$5:$M$16,MATCH($D53,WBS_CBS!$A$5:$A$16,0)),"Yes"))</f>
        <v/>
      </c>
      <c r="V53" s="150">
        <f>IF($D53="","",IFERROR(INDEX(WBS_CBS!$N$5:$N$16,MATCH($D53,WBS_CBS!$A$5:$A$16,0)),"Yes"))</f>
        <v/>
      </c>
      <c r="W53" s="150">
        <f>IF($D53="","",IFERROR(INDEX(WBS_CBS!$K$5:$K$16,MATCH($D53,WBS_CBS!$A$5:$A$16,0)),""))</f>
        <v/>
      </c>
      <c r="X53" s="150">
        <f>IF($D53="","",IFERROR(INDEX(WBS_CBS!$F$5:$F$16,MATCH($D53,WBS_CBS!$A$5:$A$16,0)),""))</f>
        <v/>
      </c>
      <c r="Y53" s="149" t="n"/>
      <c r="Z53" s="149" t="n"/>
      <c r="AA53" s="150">
        <f>IF($D53="","",IFERROR(INDEX(WBS_CBS!$L$5:$L$16,MATCH($D53,WBS_CBS!$A$5:$A$16,0)),""))</f>
        <v/>
      </c>
      <c r="AB53" s="149" t="n"/>
    </row>
    <row r="54">
      <c r="A54" s="149" t="n"/>
      <c r="B54" s="149" t="n"/>
      <c r="C54" s="150">
        <f>IF($D54="","",IFERROR(INDEX(WBS_CBS!$E$5:$E$16,MATCH($D54,WBS_CBS!$A$5:$A$16,0)),""))</f>
        <v/>
      </c>
      <c r="D54" s="149" t="n"/>
      <c r="E54" s="150">
        <f>IF($D54="","",IFERROR(INDEX(WBS_CBS!$C$5:$C$16,MATCH($D54,WBS_CBS!$A$5:$A$16,0)),""))</f>
        <v/>
      </c>
      <c r="F54" s="150">
        <f>IF($D54="","",IFERROR(INDEX(WBS_CBS!$J$5:$J$16,MATCH($D54,WBS_CBS!$A$5:$A$16,0)),""))</f>
        <v/>
      </c>
      <c r="G54" s="149" t="n"/>
      <c r="H54" s="151" t="n"/>
      <c r="I54" s="149" t="n"/>
      <c r="J54" s="152" t="n"/>
      <c r="K54" s="149" t="n"/>
      <c r="L54" s="153">
        <f>IF($K54="","",IFERROR(INDEX(FX_Rates!$B$5:$B$14,MATCH($K54,FX_Rates!$A$5:$A$14,0)),""))</f>
        <v/>
      </c>
      <c r="M54" s="153">
        <f>IF(OR($H54="",$J54=""),"",$H54*$J54)</f>
        <v/>
      </c>
      <c r="N54" s="153">
        <f>IF(OR($M54="",$L54=""),"",$M54*$L54)</f>
        <v/>
      </c>
      <c r="O54" s="149" t="n"/>
      <c r="P54" s="154">
        <f>IF($O54="","",IFERROR(INDEX(Basis_of_Estimate!$C$5:$C$9,MATCH($O54,Basis_of_Estimate!$A$5:$A$9,0)),""))</f>
        <v/>
      </c>
      <c r="Q54" s="154">
        <f>IF($O54="","",IFERROR(INDEX(Basis_of_Estimate!$D$5:$D$9,MATCH($O54,Basis_of_Estimate!$A$5:$A$9,0)),""))</f>
        <v/>
      </c>
      <c r="R54" s="153">
        <f>IF($N54="","",$N54*(1+$P54))</f>
        <v/>
      </c>
      <c r="S54" s="153">
        <f>IF($N54="","",$N54)</f>
        <v/>
      </c>
      <c r="T54" s="153">
        <f>IF($N54="","",$N54*(1+$Q54))</f>
        <v/>
      </c>
      <c r="U54" s="150">
        <f>IF($D54="","",IFERROR(INDEX(WBS_CBS!$M$5:$M$16,MATCH($D54,WBS_CBS!$A$5:$A$16,0)),"Yes"))</f>
        <v/>
      </c>
      <c r="V54" s="150">
        <f>IF($D54="","",IFERROR(INDEX(WBS_CBS!$N$5:$N$16,MATCH($D54,WBS_CBS!$A$5:$A$16,0)),"Yes"))</f>
        <v/>
      </c>
      <c r="W54" s="150">
        <f>IF($D54="","",IFERROR(INDEX(WBS_CBS!$K$5:$K$16,MATCH($D54,WBS_CBS!$A$5:$A$16,0)),""))</f>
        <v/>
      </c>
      <c r="X54" s="150">
        <f>IF($D54="","",IFERROR(INDEX(WBS_CBS!$F$5:$F$16,MATCH($D54,WBS_CBS!$A$5:$A$16,0)),""))</f>
        <v/>
      </c>
      <c r="Y54" s="149" t="n"/>
      <c r="Z54" s="149" t="n"/>
      <c r="AA54" s="150">
        <f>IF($D54="","",IFERROR(INDEX(WBS_CBS!$L$5:$L$16,MATCH($D54,WBS_CBS!$A$5:$A$16,0)),""))</f>
        <v/>
      </c>
      <c r="AB54" s="149" t="n"/>
    </row>
    <row r="55">
      <c r="A55" s="149" t="n"/>
      <c r="B55" s="149" t="n"/>
      <c r="C55" s="150">
        <f>IF($D55="","",IFERROR(INDEX(WBS_CBS!$E$5:$E$16,MATCH($D55,WBS_CBS!$A$5:$A$16,0)),""))</f>
        <v/>
      </c>
      <c r="D55" s="149" t="n"/>
      <c r="E55" s="150">
        <f>IF($D55="","",IFERROR(INDEX(WBS_CBS!$C$5:$C$16,MATCH($D55,WBS_CBS!$A$5:$A$16,0)),""))</f>
        <v/>
      </c>
      <c r="F55" s="150">
        <f>IF($D55="","",IFERROR(INDEX(WBS_CBS!$J$5:$J$16,MATCH($D55,WBS_CBS!$A$5:$A$16,0)),""))</f>
        <v/>
      </c>
      <c r="G55" s="149" t="n"/>
      <c r="H55" s="151" t="n"/>
      <c r="I55" s="149" t="n"/>
      <c r="J55" s="152" t="n"/>
      <c r="K55" s="149" t="n"/>
      <c r="L55" s="153">
        <f>IF($K55="","",IFERROR(INDEX(FX_Rates!$B$5:$B$14,MATCH($K55,FX_Rates!$A$5:$A$14,0)),""))</f>
        <v/>
      </c>
      <c r="M55" s="153">
        <f>IF(OR($H55="",$J55=""),"",$H55*$J55)</f>
        <v/>
      </c>
      <c r="N55" s="153">
        <f>IF(OR($M55="",$L55=""),"",$M55*$L55)</f>
        <v/>
      </c>
      <c r="O55" s="149" t="n"/>
      <c r="P55" s="154">
        <f>IF($O55="","",IFERROR(INDEX(Basis_of_Estimate!$C$5:$C$9,MATCH($O55,Basis_of_Estimate!$A$5:$A$9,0)),""))</f>
        <v/>
      </c>
      <c r="Q55" s="154">
        <f>IF($O55="","",IFERROR(INDEX(Basis_of_Estimate!$D$5:$D$9,MATCH($O55,Basis_of_Estimate!$A$5:$A$9,0)),""))</f>
        <v/>
      </c>
      <c r="R55" s="153">
        <f>IF($N55="","",$N55*(1+$P55))</f>
        <v/>
      </c>
      <c r="S55" s="153">
        <f>IF($N55="","",$N55)</f>
        <v/>
      </c>
      <c r="T55" s="153">
        <f>IF($N55="","",$N55*(1+$Q55))</f>
        <v/>
      </c>
      <c r="U55" s="150">
        <f>IF($D55="","",IFERROR(INDEX(WBS_CBS!$M$5:$M$16,MATCH($D55,WBS_CBS!$A$5:$A$16,0)),"Yes"))</f>
        <v/>
      </c>
      <c r="V55" s="150">
        <f>IF($D55="","",IFERROR(INDEX(WBS_CBS!$N$5:$N$16,MATCH($D55,WBS_CBS!$A$5:$A$16,0)),"Yes"))</f>
        <v/>
      </c>
      <c r="W55" s="150">
        <f>IF($D55="","",IFERROR(INDEX(WBS_CBS!$K$5:$K$16,MATCH($D55,WBS_CBS!$A$5:$A$16,0)),""))</f>
        <v/>
      </c>
      <c r="X55" s="150">
        <f>IF($D55="","",IFERROR(INDEX(WBS_CBS!$F$5:$F$16,MATCH($D55,WBS_CBS!$A$5:$A$16,0)),""))</f>
        <v/>
      </c>
      <c r="Y55" s="149" t="n"/>
      <c r="Z55" s="149" t="n"/>
      <c r="AA55" s="150">
        <f>IF($D55="","",IFERROR(INDEX(WBS_CBS!$L$5:$L$16,MATCH($D55,WBS_CBS!$A$5:$A$16,0)),""))</f>
        <v/>
      </c>
      <c r="AB55" s="149" t="n"/>
    </row>
    <row r="56">
      <c r="A56" s="149" t="n"/>
      <c r="B56" s="149" t="n"/>
      <c r="C56" s="150">
        <f>IF($D56="","",IFERROR(INDEX(WBS_CBS!$E$5:$E$16,MATCH($D56,WBS_CBS!$A$5:$A$16,0)),""))</f>
        <v/>
      </c>
      <c r="D56" s="149" t="n"/>
      <c r="E56" s="150">
        <f>IF($D56="","",IFERROR(INDEX(WBS_CBS!$C$5:$C$16,MATCH($D56,WBS_CBS!$A$5:$A$16,0)),""))</f>
        <v/>
      </c>
      <c r="F56" s="150">
        <f>IF($D56="","",IFERROR(INDEX(WBS_CBS!$J$5:$J$16,MATCH($D56,WBS_CBS!$A$5:$A$16,0)),""))</f>
        <v/>
      </c>
      <c r="G56" s="149" t="n"/>
      <c r="H56" s="151" t="n"/>
      <c r="I56" s="149" t="n"/>
      <c r="J56" s="152" t="n"/>
      <c r="K56" s="149" t="n"/>
      <c r="L56" s="153">
        <f>IF($K56="","",IFERROR(INDEX(FX_Rates!$B$5:$B$14,MATCH($K56,FX_Rates!$A$5:$A$14,0)),""))</f>
        <v/>
      </c>
      <c r="M56" s="153">
        <f>IF(OR($H56="",$J56=""),"",$H56*$J56)</f>
        <v/>
      </c>
      <c r="N56" s="153">
        <f>IF(OR($M56="",$L56=""),"",$M56*$L56)</f>
        <v/>
      </c>
      <c r="O56" s="149" t="n"/>
      <c r="P56" s="154">
        <f>IF($O56="","",IFERROR(INDEX(Basis_of_Estimate!$C$5:$C$9,MATCH($O56,Basis_of_Estimate!$A$5:$A$9,0)),""))</f>
        <v/>
      </c>
      <c r="Q56" s="154">
        <f>IF($O56="","",IFERROR(INDEX(Basis_of_Estimate!$D$5:$D$9,MATCH($O56,Basis_of_Estimate!$A$5:$A$9,0)),""))</f>
        <v/>
      </c>
      <c r="R56" s="153">
        <f>IF($N56="","",$N56*(1+$P56))</f>
        <v/>
      </c>
      <c r="S56" s="153">
        <f>IF($N56="","",$N56)</f>
        <v/>
      </c>
      <c r="T56" s="153">
        <f>IF($N56="","",$N56*(1+$Q56))</f>
        <v/>
      </c>
      <c r="U56" s="150">
        <f>IF($D56="","",IFERROR(INDEX(WBS_CBS!$M$5:$M$16,MATCH($D56,WBS_CBS!$A$5:$A$16,0)),"Yes"))</f>
        <v/>
      </c>
      <c r="V56" s="150">
        <f>IF($D56="","",IFERROR(INDEX(WBS_CBS!$N$5:$N$16,MATCH($D56,WBS_CBS!$A$5:$A$16,0)),"Yes"))</f>
        <v/>
      </c>
      <c r="W56" s="150">
        <f>IF($D56="","",IFERROR(INDEX(WBS_CBS!$K$5:$K$16,MATCH($D56,WBS_CBS!$A$5:$A$16,0)),""))</f>
        <v/>
      </c>
      <c r="X56" s="150">
        <f>IF($D56="","",IFERROR(INDEX(WBS_CBS!$F$5:$F$16,MATCH($D56,WBS_CBS!$A$5:$A$16,0)),""))</f>
        <v/>
      </c>
      <c r="Y56" s="149" t="n"/>
      <c r="Z56" s="149" t="n"/>
      <c r="AA56" s="150">
        <f>IF($D56="","",IFERROR(INDEX(WBS_CBS!$L$5:$L$16,MATCH($D56,WBS_CBS!$A$5:$A$16,0)),""))</f>
        <v/>
      </c>
      <c r="AB56" s="149" t="n"/>
    </row>
    <row r="57">
      <c r="A57" s="149" t="n"/>
      <c r="B57" s="149" t="n"/>
      <c r="C57" s="150">
        <f>IF($D57="","",IFERROR(INDEX(WBS_CBS!$E$5:$E$16,MATCH($D57,WBS_CBS!$A$5:$A$16,0)),""))</f>
        <v/>
      </c>
      <c r="D57" s="149" t="n"/>
      <c r="E57" s="150">
        <f>IF($D57="","",IFERROR(INDEX(WBS_CBS!$C$5:$C$16,MATCH($D57,WBS_CBS!$A$5:$A$16,0)),""))</f>
        <v/>
      </c>
      <c r="F57" s="150">
        <f>IF($D57="","",IFERROR(INDEX(WBS_CBS!$J$5:$J$16,MATCH($D57,WBS_CBS!$A$5:$A$16,0)),""))</f>
        <v/>
      </c>
      <c r="G57" s="149" t="n"/>
      <c r="H57" s="151" t="n"/>
      <c r="I57" s="149" t="n"/>
      <c r="J57" s="152" t="n"/>
      <c r="K57" s="149" t="n"/>
      <c r="L57" s="153">
        <f>IF($K57="","",IFERROR(INDEX(FX_Rates!$B$5:$B$14,MATCH($K57,FX_Rates!$A$5:$A$14,0)),""))</f>
        <v/>
      </c>
      <c r="M57" s="153">
        <f>IF(OR($H57="",$J57=""),"",$H57*$J57)</f>
        <v/>
      </c>
      <c r="N57" s="153">
        <f>IF(OR($M57="",$L57=""),"",$M57*$L57)</f>
        <v/>
      </c>
      <c r="O57" s="149" t="n"/>
      <c r="P57" s="154">
        <f>IF($O57="","",IFERROR(INDEX(Basis_of_Estimate!$C$5:$C$9,MATCH($O57,Basis_of_Estimate!$A$5:$A$9,0)),""))</f>
        <v/>
      </c>
      <c r="Q57" s="154">
        <f>IF($O57="","",IFERROR(INDEX(Basis_of_Estimate!$D$5:$D$9,MATCH($O57,Basis_of_Estimate!$A$5:$A$9,0)),""))</f>
        <v/>
      </c>
      <c r="R57" s="153">
        <f>IF($N57="","",$N57*(1+$P57))</f>
        <v/>
      </c>
      <c r="S57" s="153">
        <f>IF($N57="","",$N57)</f>
        <v/>
      </c>
      <c r="T57" s="153">
        <f>IF($N57="","",$N57*(1+$Q57))</f>
        <v/>
      </c>
      <c r="U57" s="150">
        <f>IF($D57="","",IFERROR(INDEX(WBS_CBS!$M$5:$M$16,MATCH($D57,WBS_CBS!$A$5:$A$16,0)),"Yes"))</f>
        <v/>
      </c>
      <c r="V57" s="150">
        <f>IF($D57="","",IFERROR(INDEX(WBS_CBS!$N$5:$N$16,MATCH($D57,WBS_CBS!$A$5:$A$16,0)),"Yes"))</f>
        <v/>
      </c>
      <c r="W57" s="150">
        <f>IF($D57="","",IFERROR(INDEX(WBS_CBS!$K$5:$K$16,MATCH($D57,WBS_CBS!$A$5:$A$16,0)),""))</f>
        <v/>
      </c>
      <c r="X57" s="150">
        <f>IF($D57="","",IFERROR(INDEX(WBS_CBS!$F$5:$F$16,MATCH($D57,WBS_CBS!$A$5:$A$16,0)),""))</f>
        <v/>
      </c>
      <c r="Y57" s="149" t="n"/>
      <c r="Z57" s="149" t="n"/>
      <c r="AA57" s="150">
        <f>IF($D57="","",IFERROR(INDEX(WBS_CBS!$L$5:$L$16,MATCH($D57,WBS_CBS!$A$5:$A$16,0)),""))</f>
        <v/>
      </c>
      <c r="AB57" s="149" t="n"/>
    </row>
    <row r="58">
      <c r="A58" s="149" t="n"/>
      <c r="B58" s="149" t="n"/>
      <c r="C58" s="150">
        <f>IF($D58="","",IFERROR(INDEX(WBS_CBS!$E$5:$E$16,MATCH($D58,WBS_CBS!$A$5:$A$16,0)),""))</f>
        <v/>
      </c>
      <c r="D58" s="149" t="n"/>
      <c r="E58" s="150">
        <f>IF($D58="","",IFERROR(INDEX(WBS_CBS!$C$5:$C$16,MATCH($D58,WBS_CBS!$A$5:$A$16,0)),""))</f>
        <v/>
      </c>
      <c r="F58" s="150">
        <f>IF($D58="","",IFERROR(INDEX(WBS_CBS!$J$5:$J$16,MATCH($D58,WBS_CBS!$A$5:$A$16,0)),""))</f>
        <v/>
      </c>
      <c r="G58" s="149" t="n"/>
      <c r="H58" s="151" t="n"/>
      <c r="I58" s="149" t="n"/>
      <c r="J58" s="152" t="n"/>
      <c r="K58" s="149" t="n"/>
      <c r="L58" s="153">
        <f>IF($K58="","",IFERROR(INDEX(FX_Rates!$B$5:$B$14,MATCH($K58,FX_Rates!$A$5:$A$14,0)),""))</f>
        <v/>
      </c>
      <c r="M58" s="153">
        <f>IF(OR($H58="",$J58=""),"",$H58*$J58)</f>
        <v/>
      </c>
      <c r="N58" s="153">
        <f>IF(OR($M58="",$L58=""),"",$M58*$L58)</f>
        <v/>
      </c>
      <c r="O58" s="149" t="n"/>
      <c r="P58" s="154">
        <f>IF($O58="","",IFERROR(INDEX(Basis_of_Estimate!$C$5:$C$9,MATCH($O58,Basis_of_Estimate!$A$5:$A$9,0)),""))</f>
        <v/>
      </c>
      <c r="Q58" s="154">
        <f>IF($O58="","",IFERROR(INDEX(Basis_of_Estimate!$D$5:$D$9,MATCH($O58,Basis_of_Estimate!$A$5:$A$9,0)),""))</f>
        <v/>
      </c>
      <c r="R58" s="153">
        <f>IF($N58="","",$N58*(1+$P58))</f>
        <v/>
      </c>
      <c r="S58" s="153">
        <f>IF($N58="","",$N58)</f>
        <v/>
      </c>
      <c r="T58" s="153">
        <f>IF($N58="","",$N58*(1+$Q58))</f>
        <v/>
      </c>
      <c r="U58" s="150">
        <f>IF($D58="","",IFERROR(INDEX(WBS_CBS!$M$5:$M$16,MATCH($D58,WBS_CBS!$A$5:$A$16,0)),"Yes"))</f>
        <v/>
      </c>
      <c r="V58" s="150">
        <f>IF($D58="","",IFERROR(INDEX(WBS_CBS!$N$5:$N$16,MATCH($D58,WBS_CBS!$A$5:$A$16,0)),"Yes"))</f>
        <v/>
      </c>
      <c r="W58" s="150">
        <f>IF($D58="","",IFERROR(INDEX(WBS_CBS!$K$5:$K$16,MATCH($D58,WBS_CBS!$A$5:$A$16,0)),""))</f>
        <v/>
      </c>
      <c r="X58" s="150">
        <f>IF($D58="","",IFERROR(INDEX(WBS_CBS!$F$5:$F$16,MATCH($D58,WBS_CBS!$A$5:$A$16,0)),""))</f>
        <v/>
      </c>
      <c r="Y58" s="149" t="n"/>
      <c r="Z58" s="149" t="n"/>
      <c r="AA58" s="150">
        <f>IF($D58="","",IFERROR(INDEX(WBS_CBS!$L$5:$L$16,MATCH($D58,WBS_CBS!$A$5:$A$16,0)),""))</f>
        <v/>
      </c>
      <c r="AB58" s="149" t="n"/>
    </row>
    <row r="59">
      <c r="A59" s="149" t="n"/>
      <c r="B59" s="149" t="n"/>
      <c r="C59" s="150">
        <f>IF($D59="","",IFERROR(INDEX(WBS_CBS!$E$5:$E$16,MATCH($D59,WBS_CBS!$A$5:$A$16,0)),""))</f>
        <v/>
      </c>
      <c r="D59" s="149" t="n"/>
      <c r="E59" s="150">
        <f>IF($D59="","",IFERROR(INDEX(WBS_CBS!$C$5:$C$16,MATCH($D59,WBS_CBS!$A$5:$A$16,0)),""))</f>
        <v/>
      </c>
      <c r="F59" s="150">
        <f>IF($D59="","",IFERROR(INDEX(WBS_CBS!$J$5:$J$16,MATCH($D59,WBS_CBS!$A$5:$A$16,0)),""))</f>
        <v/>
      </c>
      <c r="G59" s="149" t="n"/>
      <c r="H59" s="151" t="n"/>
      <c r="I59" s="149" t="n"/>
      <c r="J59" s="152" t="n"/>
      <c r="K59" s="149" t="n"/>
      <c r="L59" s="153">
        <f>IF($K59="","",IFERROR(INDEX(FX_Rates!$B$5:$B$14,MATCH($K59,FX_Rates!$A$5:$A$14,0)),""))</f>
        <v/>
      </c>
      <c r="M59" s="153">
        <f>IF(OR($H59="",$J59=""),"",$H59*$J59)</f>
        <v/>
      </c>
      <c r="N59" s="153">
        <f>IF(OR($M59="",$L59=""),"",$M59*$L59)</f>
        <v/>
      </c>
      <c r="O59" s="149" t="n"/>
      <c r="P59" s="154">
        <f>IF($O59="","",IFERROR(INDEX(Basis_of_Estimate!$C$5:$C$9,MATCH($O59,Basis_of_Estimate!$A$5:$A$9,0)),""))</f>
        <v/>
      </c>
      <c r="Q59" s="154">
        <f>IF($O59="","",IFERROR(INDEX(Basis_of_Estimate!$D$5:$D$9,MATCH($O59,Basis_of_Estimate!$A$5:$A$9,0)),""))</f>
        <v/>
      </c>
      <c r="R59" s="153">
        <f>IF($N59="","",$N59*(1+$P59))</f>
        <v/>
      </c>
      <c r="S59" s="153">
        <f>IF($N59="","",$N59)</f>
        <v/>
      </c>
      <c r="T59" s="153">
        <f>IF($N59="","",$N59*(1+$Q59))</f>
        <v/>
      </c>
      <c r="U59" s="150">
        <f>IF($D59="","",IFERROR(INDEX(WBS_CBS!$M$5:$M$16,MATCH($D59,WBS_CBS!$A$5:$A$16,0)),"Yes"))</f>
        <v/>
      </c>
      <c r="V59" s="150">
        <f>IF($D59="","",IFERROR(INDEX(WBS_CBS!$N$5:$N$16,MATCH($D59,WBS_CBS!$A$5:$A$16,0)),"Yes"))</f>
        <v/>
      </c>
      <c r="W59" s="150">
        <f>IF($D59="","",IFERROR(INDEX(WBS_CBS!$K$5:$K$16,MATCH($D59,WBS_CBS!$A$5:$A$16,0)),""))</f>
        <v/>
      </c>
      <c r="X59" s="150">
        <f>IF($D59="","",IFERROR(INDEX(WBS_CBS!$F$5:$F$16,MATCH($D59,WBS_CBS!$A$5:$A$16,0)),""))</f>
        <v/>
      </c>
      <c r="Y59" s="149" t="n"/>
      <c r="Z59" s="149" t="n"/>
      <c r="AA59" s="150">
        <f>IF($D59="","",IFERROR(INDEX(WBS_CBS!$L$5:$L$16,MATCH($D59,WBS_CBS!$A$5:$A$16,0)),""))</f>
        <v/>
      </c>
      <c r="AB59" s="149" t="n"/>
    </row>
    <row r="60">
      <c r="A60" s="149" t="n"/>
      <c r="B60" s="149" t="n"/>
      <c r="C60" s="150">
        <f>IF($D60="","",IFERROR(INDEX(WBS_CBS!$E$5:$E$16,MATCH($D60,WBS_CBS!$A$5:$A$16,0)),""))</f>
        <v/>
      </c>
      <c r="D60" s="149" t="n"/>
      <c r="E60" s="150">
        <f>IF($D60="","",IFERROR(INDEX(WBS_CBS!$C$5:$C$16,MATCH($D60,WBS_CBS!$A$5:$A$16,0)),""))</f>
        <v/>
      </c>
      <c r="F60" s="150">
        <f>IF($D60="","",IFERROR(INDEX(WBS_CBS!$J$5:$J$16,MATCH($D60,WBS_CBS!$A$5:$A$16,0)),""))</f>
        <v/>
      </c>
      <c r="G60" s="149" t="n"/>
      <c r="H60" s="151" t="n"/>
      <c r="I60" s="149" t="n"/>
      <c r="J60" s="152" t="n"/>
      <c r="K60" s="149" t="n"/>
      <c r="L60" s="153">
        <f>IF($K60="","",IFERROR(INDEX(FX_Rates!$B$5:$B$14,MATCH($K60,FX_Rates!$A$5:$A$14,0)),""))</f>
        <v/>
      </c>
      <c r="M60" s="153">
        <f>IF(OR($H60="",$J60=""),"",$H60*$J60)</f>
        <v/>
      </c>
      <c r="N60" s="153">
        <f>IF(OR($M60="",$L60=""),"",$M60*$L60)</f>
        <v/>
      </c>
      <c r="O60" s="149" t="n"/>
      <c r="P60" s="154">
        <f>IF($O60="","",IFERROR(INDEX(Basis_of_Estimate!$C$5:$C$9,MATCH($O60,Basis_of_Estimate!$A$5:$A$9,0)),""))</f>
        <v/>
      </c>
      <c r="Q60" s="154">
        <f>IF($O60="","",IFERROR(INDEX(Basis_of_Estimate!$D$5:$D$9,MATCH($O60,Basis_of_Estimate!$A$5:$A$9,0)),""))</f>
        <v/>
      </c>
      <c r="R60" s="153">
        <f>IF($N60="","",$N60*(1+$P60))</f>
        <v/>
      </c>
      <c r="S60" s="153">
        <f>IF($N60="","",$N60)</f>
        <v/>
      </c>
      <c r="T60" s="153">
        <f>IF($N60="","",$N60*(1+$Q60))</f>
        <v/>
      </c>
      <c r="U60" s="150">
        <f>IF($D60="","",IFERROR(INDEX(WBS_CBS!$M$5:$M$16,MATCH($D60,WBS_CBS!$A$5:$A$16,0)),"Yes"))</f>
        <v/>
      </c>
      <c r="V60" s="150">
        <f>IF($D60="","",IFERROR(INDEX(WBS_CBS!$N$5:$N$16,MATCH($D60,WBS_CBS!$A$5:$A$16,0)),"Yes"))</f>
        <v/>
      </c>
      <c r="W60" s="150">
        <f>IF($D60="","",IFERROR(INDEX(WBS_CBS!$K$5:$K$16,MATCH($D60,WBS_CBS!$A$5:$A$16,0)),""))</f>
        <v/>
      </c>
      <c r="X60" s="150">
        <f>IF($D60="","",IFERROR(INDEX(WBS_CBS!$F$5:$F$16,MATCH($D60,WBS_CBS!$A$5:$A$16,0)),""))</f>
        <v/>
      </c>
      <c r="Y60" s="149" t="n"/>
      <c r="Z60" s="149" t="n"/>
      <c r="AA60" s="150">
        <f>IF($D60="","",IFERROR(INDEX(WBS_CBS!$L$5:$L$16,MATCH($D60,WBS_CBS!$A$5:$A$16,0)),""))</f>
        <v/>
      </c>
      <c r="AB60" s="149" t="n"/>
    </row>
    <row r="61">
      <c r="A61" s="149" t="n"/>
      <c r="B61" s="149" t="n"/>
      <c r="C61" s="150">
        <f>IF($D61="","",IFERROR(INDEX(WBS_CBS!$E$5:$E$16,MATCH($D61,WBS_CBS!$A$5:$A$16,0)),""))</f>
        <v/>
      </c>
      <c r="D61" s="149" t="n"/>
      <c r="E61" s="150">
        <f>IF($D61="","",IFERROR(INDEX(WBS_CBS!$C$5:$C$16,MATCH($D61,WBS_CBS!$A$5:$A$16,0)),""))</f>
        <v/>
      </c>
      <c r="F61" s="150">
        <f>IF($D61="","",IFERROR(INDEX(WBS_CBS!$J$5:$J$16,MATCH($D61,WBS_CBS!$A$5:$A$16,0)),""))</f>
        <v/>
      </c>
      <c r="G61" s="149" t="n"/>
      <c r="H61" s="151" t="n"/>
      <c r="I61" s="149" t="n"/>
      <c r="J61" s="152" t="n"/>
      <c r="K61" s="149" t="n"/>
      <c r="L61" s="153">
        <f>IF($K61="","",IFERROR(INDEX(FX_Rates!$B$5:$B$14,MATCH($K61,FX_Rates!$A$5:$A$14,0)),""))</f>
        <v/>
      </c>
      <c r="M61" s="153">
        <f>IF(OR($H61="",$J61=""),"",$H61*$J61)</f>
        <v/>
      </c>
      <c r="N61" s="153">
        <f>IF(OR($M61="",$L61=""),"",$M61*$L61)</f>
        <v/>
      </c>
      <c r="O61" s="149" t="n"/>
      <c r="P61" s="154">
        <f>IF($O61="","",IFERROR(INDEX(Basis_of_Estimate!$C$5:$C$9,MATCH($O61,Basis_of_Estimate!$A$5:$A$9,0)),""))</f>
        <v/>
      </c>
      <c r="Q61" s="154">
        <f>IF($O61="","",IFERROR(INDEX(Basis_of_Estimate!$D$5:$D$9,MATCH($O61,Basis_of_Estimate!$A$5:$A$9,0)),""))</f>
        <v/>
      </c>
      <c r="R61" s="153">
        <f>IF($N61="","",$N61*(1+$P61))</f>
        <v/>
      </c>
      <c r="S61" s="153">
        <f>IF($N61="","",$N61)</f>
        <v/>
      </c>
      <c r="T61" s="153">
        <f>IF($N61="","",$N61*(1+$Q61))</f>
        <v/>
      </c>
      <c r="U61" s="150">
        <f>IF($D61="","",IFERROR(INDEX(WBS_CBS!$M$5:$M$16,MATCH($D61,WBS_CBS!$A$5:$A$16,0)),"Yes"))</f>
        <v/>
      </c>
      <c r="V61" s="150">
        <f>IF($D61="","",IFERROR(INDEX(WBS_CBS!$N$5:$N$16,MATCH($D61,WBS_CBS!$A$5:$A$16,0)),"Yes"))</f>
        <v/>
      </c>
      <c r="W61" s="150">
        <f>IF($D61="","",IFERROR(INDEX(WBS_CBS!$K$5:$K$16,MATCH($D61,WBS_CBS!$A$5:$A$16,0)),""))</f>
        <v/>
      </c>
      <c r="X61" s="150">
        <f>IF($D61="","",IFERROR(INDEX(WBS_CBS!$F$5:$F$16,MATCH($D61,WBS_CBS!$A$5:$A$16,0)),""))</f>
        <v/>
      </c>
      <c r="Y61" s="149" t="n"/>
      <c r="Z61" s="149" t="n"/>
      <c r="AA61" s="150">
        <f>IF($D61="","",IFERROR(INDEX(WBS_CBS!$L$5:$L$16,MATCH($D61,WBS_CBS!$A$5:$A$16,0)),""))</f>
        <v/>
      </c>
      <c r="AB61" s="149" t="n"/>
    </row>
    <row r="62">
      <c r="A62" s="149" t="n"/>
      <c r="B62" s="149" t="n"/>
      <c r="C62" s="150">
        <f>IF($D62="","",IFERROR(INDEX(WBS_CBS!$E$5:$E$16,MATCH($D62,WBS_CBS!$A$5:$A$16,0)),""))</f>
        <v/>
      </c>
      <c r="D62" s="149" t="n"/>
      <c r="E62" s="150">
        <f>IF($D62="","",IFERROR(INDEX(WBS_CBS!$C$5:$C$16,MATCH($D62,WBS_CBS!$A$5:$A$16,0)),""))</f>
        <v/>
      </c>
      <c r="F62" s="150">
        <f>IF($D62="","",IFERROR(INDEX(WBS_CBS!$J$5:$J$16,MATCH($D62,WBS_CBS!$A$5:$A$16,0)),""))</f>
        <v/>
      </c>
      <c r="G62" s="149" t="n"/>
      <c r="H62" s="151" t="n"/>
      <c r="I62" s="149" t="n"/>
      <c r="J62" s="152" t="n"/>
      <c r="K62" s="149" t="n"/>
      <c r="L62" s="153">
        <f>IF($K62="","",IFERROR(INDEX(FX_Rates!$B$5:$B$14,MATCH($K62,FX_Rates!$A$5:$A$14,0)),""))</f>
        <v/>
      </c>
      <c r="M62" s="153">
        <f>IF(OR($H62="",$J62=""),"",$H62*$J62)</f>
        <v/>
      </c>
      <c r="N62" s="153">
        <f>IF(OR($M62="",$L62=""),"",$M62*$L62)</f>
        <v/>
      </c>
      <c r="O62" s="149" t="n"/>
      <c r="P62" s="154">
        <f>IF($O62="","",IFERROR(INDEX(Basis_of_Estimate!$C$5:$C$9,MATCH($O62,Basis_of_Estimate!$A$5:$A$9,0)),""))</f>
        <v/>
      </c>
      <c r="Q62" s="154">
        <f>IF($O62="","",IFERROR(INDEX(Basis_of_Estimate!$D$5:$D$9,MATCH($O62,Basis_of_Estimate!$A$5:$A$9,0)),""))</f>
        <v/>
      </c>
      <c r="R62" s="153">
        <f>IF($N62="","",$N62*(1+$P62))</f>
        <v/>
      </c>
      <c r="S62" s="153">
        <f>IF($N62="","",$N62)</f>
        <v/>
      </c>
      <c r="T62" s="153">
        <f>IF($N62="","",$N62*(1+$Q62))</f>
        <v/>
      </c>
      <c r="U62" s="150">
        <f>IF($D62="","",IFERROR(INDEX(WBS_CBS!$M$5:$M$16,MATCH($D62,WBS_CBS!$A$5:$A$16,0)),"Yes"))</f>
        <v/>
      </c>
      <c r="V62" s="150">
        <f>IF($D62="","",IFERROR(INDEX(WBS_CBS!$N$5:$N$16,MATCH($D62,WBS_CBS!$A$5:$A$16,0)),"Yes"))</f>
        <v/>
      </c>
      <c r="W62" s="150">
        <f>IF($D62="","",IFERROR(INDEX(WBS_CBS!$K$5:$K$16,MATCH($D62,WBS_CBS!$A$5:$A$16,0)),""))</f>
        <v/>
      </c>
      <c r="X62" s="150">
        <f>IF($D62="","",IFERROR(INDEX(WBS_CBS!$F$5:$F$16,MATCH($D62,WBS_CBS!$A$5:$A$16,0)),""))</f>
        <v/>
      </c>
      <c r="Y62" s="149" t="n"/>
      <c r="Z62" s="149" t="n"/>
      <c r="AA62" s="150">
        <f>IF($D62="","",IFERROR(INDEX(WBS_CBS!$L$5:$L$16,MATCH($D62,WBS_CBS!$A$5:$A$16,0)),""))</f>
        <v/>
      </c>
      <c r="AB62" s="149" t="n"/>
    </row>
    <row r="63">
      <c r="A63" s="149" t="n"/>
      <c r="B63" s="149" t="n"/>
      <c r="C63" s="150">
        <f>IF($D63="","",IFERROR(INDEX(WBS_CBS!$E$5:$E$16,MATCH($D63,WBS_CBS!$A$5:$A$16,0)),""))</f>
        <v/>
      </c>
      <c r="D63" s="149" t="n"/>
      <c r="E63" s="150">
        <f>IF($D63="","",IFERROR(INDEX(WBS_CBS!$C$5:$C$16,MATCH($D63,WBS_CBS!$A$5:$A$16,0)),""))</f>
        <v/>
      </c>
      <c r="F63" s="150">
        <f>IF($D63="","",IFERROR(INDEX(WBS_CBS!$J$5:$J$16,MATCH($D63,WBS_CBS!$A$5:$A$16,0)),""))</f>
        <v/>
      </c>
      <c r="G63" s="149" t="n"/>
      <c r="H63" s="151" t="n"/>
      <c r="I63" s="149" t="n"/>
      <c r="J63" s="152" t="n"/>
      <c r="K63" s="149" t="n"/>
      <c r="L63" s="153">
        <f>IF($K63="","",IFERROR(INDEX(FX_Rates!$B$5:$B$14,MATCH($K63,FX_Rates!$A$5:$A$14,0)),""))</f>
        <v/>
      </c>
      <c r="M63" s="153">
        <f>IF(OR($H63="",$J63=""),"",$H63*$J63)</f>
        <v/>
      </c>
      <c r="N63" s="153">
        <f>IF(OR($M63="",$L63=""),"",$M63*$L63)</f>
        <v/>
      </c>
      <c r="O63" s="149" t="n"/>
      <c r="P63" s="154">
        <f>IF($O63="","",IFERROR(INDEX(Basis_of_Estimate!$C$5:$C$9,MATCH($O63,Basis_of_Estimate!$A$5:$A$9,0)),""))</f>
        <v/>
      </c>
      <c r="Q63" s="154">
        <f>IF($O63="","",IFERROR(INDEX(Basis_of_Estimate!$D$5:$D$9,MATCH($O63,Basis_of_Estimate!$A$5:$A$9,0)),""))</f>
        <v/>
      </c>
      <c r="R63" s="153">
        <f>IF($N63="","",$N63*(1+$P63))</f>
        <v/>
      </c>
      <c r="S63" s="153">
        <f>IF($N63="","",$N63)</f>
        <v/>
      </c>
      <c r="T63" s="153">
        <f>IF($N63="","",$N63*(1+$Q63))</f>
        <v/>
      </c>
      <c r="U63" s="150">
        <f>IF($D63="","",IFERROR(INDEX(WBS_CBS!$M$5:$M$16,MATCH($D63,WBS_CBS!$A$5:$A$16,0)),"Yes"))</f>
        <v/>
      </c>
      <c r="V63" s="150">
        <f>IF($D63="","",IFERROR(INDEX(WBS_CBS!$N$5:$N$16,MATCH($D63,WBS_CBS!$A$5:$A$16,0)),"Yes"))</f>
        <v/>
      </c>
      <c r="W63" s="150">
        <f>IF($D63="","",IFERROR(INDEX(WBS_CBS!$K$5:$K$16,MATCH($D63,WBS_CBS!$A$5:$A$16,0)),""))</f>
        <v/>
      </c>
      <c r="X63" s="150">
        <f>IF($D63="","",IFERROR(INDEX(WBS_CBS!$F$5:$F$16,MATCH($D63,WBS_CBS!$A$5:$A$16,0)),""))</f>
        <v/>
      </c>
      <c r="Y63" s="149" t="n"/>
      <c r="Z63" s="149" t="n"/>
      <c r="AA63" s="150">
        <f>IF($D63="","",IFERROR(INDEX(WBS_CBS!$L$5:$L$16,MATCH($D63,WBS_CBS!$A$5:$A$16,0)),""))</f>
        <v/>
      </c>
      <c r="AB63" s="149" t="n"/>
    </row>
    <row r="64">
      <c r="A64" s="149" t="n"/>
      <c r="B64" s="149" t="n"/>
      <c r="C64" s="150">
        <f>IF($D64="","",IFERROR(INDEX(WBS_CBS!$E$5:$E$16,MATCH($D64,WBS_CBS!$A$5:$A$16,0)),""))</f>
        <v/>
      </c>
      <c r="D64" s="149" t="n"/>
      <c r="E64" s="150">
        <f>IF($D64="","",IFERROR(INDEX(WBS_CBS!$C$5:$C$16,MATCH($D64,WBS_CBS!$A$5:$A$16,0)),""))</f>
        <v/>
      </c>
      <c r="F64" s="150">
        <f>IF($D64="","",IFERROR(INDEX(WBS_CBS!$J$5:$J$16,MATCH($D64,WBS_CBS!$A$5:$A$16,0)),""))</f>
        <v/>
      </c>
      <c r="G64" s="149" t="n"/>
      <c r="H64" s="151" t="n"/>
      <c r="I64" s="149" t="n"/>
      <c r="J64" s="152" t="n"/>
      <c r="K64" s="149" t="n"/>
      <c r="L64" s="153">
        <f>IF($K64="","",IFERROR(INDEX(FX_Rates!$B$5:$B$14,MATCH($K64,FX_Rates!$A$5:$A$14,0)),""))</f>
        <v/>
      </c>
      <c r="M64" s="153">
        <f>IF(OR($H64="",$J64=""),"",$H64*$J64)</f>
        <v/>
      </c>
      <c r="N64" s="153">
        <f>IF(OR($M64="",$L64=""),"",$M64*$L64)</f>
        <v/>
      </c>
      <c r="O64" s="149" t="n"/>
      <c r="P64" s="154">
        <f>IF($O64="","",IFERROR(INDEX(Basis_of_Estimate!$C$5:$C$9,MATCH($O64,Basis_of_Estimate!$A$5:$A$9,0)),""))</f>
        <v/>
      </c>
      <c r="Q64" s="154">
        <f>IF($O64="","",IFERROR(INDEX(Basis_of_Estimate!$D$5:$D$9,MATCH($O64,Basis_of_Estimate!$A$5:$A$9,0)),""))</f>
        <v/>
      </c>
      <c r="R64" s="153">
        <f>IF($N64="","",$N64*(1+$P64))</f>
        <v/>
      </c>
      <c r="S64" s="153">
        <f>IF($N64="","",$N64)</f>
        <v/>
      </c>
      <c r="T64" s="153">
        <f>IF($N64="","",$N64*(1+$Q64))</f>
        <v/>
      </c>
      <c r="U64" s="150">
        <f>IF($D64="","",IFERROR(INDEX(WBS_CBS!$M$5:$M$16,MATCH($D64,WBS_CBS!$A$5:$A$16,0)),"Yes"))</f>
        <v/>
      </c>
      <c r="V64" s="150">
        <f>IF($D64="","",IFERROR(INDEX(WBS_CBS!$N$5:$N$16,MATCH($D64,WBS_CBS!$A$5:$A$16,0)),"Yes"))</f>
        <v/>
      </c>
      <c r="W64" s="150">
        <f>IF($D64="","",IFERROR(INDEX(WBS_CBS!$K$5:$K$16,MATCH($D64,WBS_CBS!$A$5:$A$16,0)),""))</f>
        <v/>
      </c>
      <c r="X64" s="150">
        <f>IF($D64="","",IFERROR(INDEX(WBS_CBS!$F$5:$F$16,MATCH($D64,WBS_CBS!$A$5:$A$16,0)),""))</f>
        <v/>
      </c>
      <c r="Y64" s="149" t="n"/>
      <c r="Z64" s="149" t="n"/>
      <c r="AA64" s="150">
        <f>IF($D64="","",IFERROR(INDEX(WBS_CBS!$L$5:$L$16,MATCH($D64,WBS_CBS!$A$5:$A$16,0)),""))</f>
        <v/>
      </c>
      <c r="AB64" s="149" t="n"/>
    </row>
    <row r="65">
      <c r="A65" s="149" t="n"/>
      <c r="B65" s="149" t="n"/>
      <c r="C65" s="150">
        <f>IF($D65="","",IFERROR(INDEX(WBS_CBS!$E$5:$E$16,MATCH($D65,WBS_CBS!$A$5:$A$16,0)),""))</f>
        <v/>
      </c>
      <c r="D65" s="149" t="n"/>
      <c r="E65" s="150">
        <f>IF($D65="","",IFERROR(INDEX(WBS_CBS!$C$5:$C$16,MATCH($D65,WBS_CBS!$A$5:$A$16,0)),""))</f>
        <v/>
      </c>
      <c r="F65" s="150">
        <f>IF($D65="","",IFERROR(INDEX(WBS_CBS!$J$5:$J$16,MATCH($D65,WBS_CBS!$A$5:$A$16,0)),""))</f>
        <v/>
      </c>
      <c r="G65" s="149" t="n"/>
      <c r="H65" s="151" t="n"/>
      <c r="I65" s="149" t="n"/>
      <c r="J65" s="152" t="n"/>
      <c r="K65" s="149" t="n"/>
      <c r="L65" s="153">
        <f>IF($K65="","",IFERROR(INDEX(FX_Rates!$B$5:$B$14,MATCH($K65,FX_Rates!$A$5:$A$14,0)),""))</f>
        <v/>
      </c>
      <c r="M65" s="153">
        <f>IF(OR($H65="",$J65=""),"",$H65*$J65)</f>
        <v/>
      </c>
      <c r="N65" s="153">
        <f>IF(OR($M65="",$L65=""),"",$M65*$L65)</f>
        <v/>
      </c>
      <c r="O65" s="149" t="n"/>
      <c r="P65" s="154">
        <f>IF($O65="","",IFERROR(INDEX(Basis_of_Estimate!$C$5:$C$9,MATCH($O65,Basis_of_Estimate!$A$5:$A$9,0)),""))</f>
        <v/>
      </c>
      <c r="Q65" s="154">
        <f>IF($O65="","",IFERROR(INDEX(Basis_of_Estimate!$D$5:$D$9,MATCH($O65,Basis_of_Estimate!$A$5:$A$9,0)),""))</f>
        <v/>
      </c>
      <c r="R65" s="153">
        <f>IF($N65="","",$N65*(1+$P65))</f>
        <v/>
      </c>
      <c r="S65" s="153">
        <f>IF($N65="","",$N65)</f>
        <v/>
      </c>
      <c r="T65" s="153">
        <f>IF($N65="","",$N65*(1+$Q65))</f>
        <v/>
      </c>
      <c r="U65" s="150">
        <f>IF($D65="","",IFERROR(INDEX(WBS_CBS!$M$5:$M$16,MATCH($D65,WBS_CBS!$A$5:$A$16,0)),"Yes"))</f>
        <v/>
      </c>
      <c r="V65" s="150">
        <f>IF($D65="","",IFERROR(INDEX(WBS_CBS!$N$5:$N$16,MATCH($D65,WBS_CBS!$A$5:$A$16,0)),"Yes"))</f>
        <v/>
      </c>
      <c r="W65" s="150">
        <f>IF($D65="","",IFERROR(INDEX(WBS_CBS!$K$5:$K$16,MATCH($D65,WBS_CBS!$A$5:$A$16,0)),""))</f>
        <v/>
      </c>
      <c r="X65" s="150">
        <f>IF($D65="","",IFERROR(INDEX(WBS_CBS!$F$5:$F$16,MATCH($D65,WBS_CBS!$A$5:$A$16,0)),""))</f>
        <v/>
      </c>
      <c r="Y65" s="149" t="n"/>
      <c r="Z65" s="149" t="n"/>
      <c r="AA65" s="150">
        <f>IF($D65="","",IFERROR(INDEX(WBS_CBS!$L$5:$L$16,MATCH($D65,WBS_CBS!$A$5:$A$16,0)),""))</f>
        <v/>
      </c>
      <c r="AB65" s="149" t="n"/>
    </row>
    <row r="66">
      <c r="A66" s="149" t="n"/>
      <c r="B66" s="149" t="n"/>
      <c r="C66" s="150">
        <f>IF($D66="","",IFERROR(INDEX(WBS_CBS!$E$5:$E$16,MATCH($D66,WBS_CBS!$A$5:$A$16,0)),""))</f>
        <v/>
      </c>
      <c r="D66" s="149" t="n"/>
      <c r="E66" s="150">
        <f>IF($D66="","",IFERROR(INDEX(WBS_CBS!$C$5:$C$16,MATCH($D66,WBS_CBS!$A$5:$A$16,0)),""))</f>
        <v/>
      </c>
      <c r="F66" s="150">
        <f>IF($D66="","",IFERROR(INDEX(WBS_CBS!$J$5:$J$16,MATCH($D66,WBS_CBS!$A$5:$A$16,0)),""))</f>
        <v/>
      </c>
      <c r="G66" s="149" t="n"/>
      <c r="H66" s="151" t="n"/>
      <c r="I66" s="149" t="n"/>
      <c r="J66" s="152" t="n"/>
      <c r="K66" s="149" t="n"/>
      <c r="L66" s="153">
        <f>IF($K66="","",IFERROR(INDEX(FX_Rates!$B$5:$B$14,MATCH($K66,FX_Rates!$A$5:$A$14,0)),""))</f>
        <v/>
      </c>
      <c r="M66" s="153">
        <f>IF(OR($H66="",$J66=""),"",$H66*$J66)</f>
        <v/>
      </c>
      <c r="N66" s="153">
        <f>IF(OR($M66="",$L66=""),"",$M66*$L66)</f>
        <v/>
      </c>
      <c r="O66" s="149" t="n"/>
      <c r="P66" s="154">
        <f>IF($O66="","",IFERROR(INDEX(Basis_of_Estimate!$C$5:$C$9,MATCH($O66,Basis_of_Estimate!$A$5:$A$9,0)),""))</f>
        <v/>
      </c>
      <c r="Q66" s="154">
        <f>IF($O66="","",IFERROR(INDEX(Basis_of_Estimate!$D$5:$D$9,MATCH($O66,Basis_of_Estimate!$A$5:$A$9,0)),""))</f>
        <v/>
      </c>
      <c r="R66" s="153">
        <f>IF($N66="","",$N66*(1+$P66))</f>
        <v/>
      </c>
      <c r="S66" s="153">
        <f>IF($N66="","",$N66)</f>
        <v/>
      </c>
      <c r="T66" s="153">
        <f>IF($N66="","",$N66*(1+$Q66))</f>
        <v/>
      </c>
      <c r="U66" s="150">
        <f>IF($D66="","",IFERROR(INDEX(WBS_CBS!$M$5:$M$16,MATCH($D66,WBS_CBS!$A$5:$A$16,0)),"Yes"))</f>
        <v/>
      </c>
      <c r="V66" s="150">
        <f>IF($D66="","",IFERROR(INDEX(WBS_CBS!$N$5:$N$16,MATCH($D66,WBS_CBS!$A$5:$A$16,0)),"Yes"))</f>
        <v/>
      </c>
      <c r="W66" s="150">
        <f>IF($D66="","",IFERROR(INDEX(WBS_CBS!$K$5:$K$16,MATCH($D66,WBS_CBS!$A$5:$A$16,0)),""))</f>
        <v/>
      </c>
      <c r="X66" s="150">
        <f>IF($D66="","",IFERROR(INDEX(WBS_CBS!$F$5:$F$16,MATCH($D66,WBS_CBS!$A$5:$A$16,0)),""))</f>
        <v/>
      </c>
      <c r="Y66" s="149" t="n"/>
      <c r="Z66" s="149" t="n"/>
      <c r="AA66" s="150">
        <f>IF($D66="","",IFERROR(INDEX(WBS_CBS!$L$5:$L$16,MATCH($D66,WBS_CBS!$A$5:$A$16,0)),""))</f>
        <v/>
      </c>
      <c r="AB66" s="149" t="n"/>
    </row>
    <row r="67">
      <c r="A67" s="149" t="n"/>
      <c r="B67" s="149" t="n"/>
      <c r="C67" s="150">
        <f>IF($D67="","",IFERROR(INDEX(WBS_CBS!$E$5:$E$16,MATCH($D67,WBS_CBS!$A$5:$A$16,0)),""))</f>
        <v/>
      </c>
      <c r="D67" s="149" t="n"/>
      <c r="E67" s="150">
        <f>IF($D67="","",IFERROR(INDEX(WBS_CBS!$C$5:$C$16,MATCH($D67,WBS_CBS!$A$5:$A$16,0)),""))</f>
        <v/>
      </c>
      <c r="F67" s="150">
        <f>IF($D67="","",IFERROR(INDEX(WBS_CBS!$J$5:$J$16,MATCH($D67,WBS_CBS!$A$5:$A$16,0)),""))</f>
        <v/>
      </c>
      <c r="G67" s="149" t="n"/>
      <c r="H67" s="151" t="n"/>
      <c r="I67" s="149" t="n"/>
      <c r="J67" s="152" t="n"/>
      <c r="K67" s="149" t="n"/>
      <c r="L67" s="153">
        <f>IF($K67="","",IFERROR(INDEX(FX_Rates!$B$5:$B$14,MATCH($K67,FX_Rates!$A$5:$A$14,0)),""))</f>
        <v/>
      </c>
      <c r="M67" s="153">
        <f>IF(OR($H67="",$J67=""),"",$H67*$J67)</f>
        <v/>
      </c>
      <c r="N67" s="153">
        <f>IF(OR($M67="",$L67=""),"",$M67*$L67)</f>
        <v/>
      </c>
      <c r="O67" s="149" t="n"/>
      <c r="P67" s="154">
        <f>IF($O67="","",IFERROR(INDEX(Basis_of_Estimate!$C$5:$C$9,MATCH($O67,Basis_of_Estimate!$A$5:$A$9,0)),""))</f>
        <v/>
      </c>
      <c r="Q67" s="154">
        <f>IF($O67="","",IFERROR(INDEX(Basis_of_Estimate!$D$5:$D$9,MATCH($O67,Basis_of_Estimate!$A$5:$A$9,0)),""))</f>
        <v/>
      </c>
      <c r="R67" s="153">
        <f>IF($N67="","",$N67*(1+$P67))</f>
        <v/>
      </c>
      <c r="S67" s="153">
        <f>IF($N67="","",$N67)</f>
        <v/>
      </c>
      <c r="T67" s="153">
        <f>IF($N67="","",$N67*(1+$Q67))</f>
        <v/>
      </c>
      <c r="U67" s="150">
        <f>IF($D67="","",IFERROR(INDEX(WBS_CBS!$M$5:$M$16,MATCH($D67,WBS_CBS!$A$5:$A$16,0)),"Yes"))</f>
        <v/>
      </c>
      <c r="V67" s="150">
        <f>IF($D67="","",IFERROR(INDEX(WBS_CBS!$N$5:$N$16,MATCH($D67,WBS_CBS!$A$5:$A$16,0)),"Yes"))</f>
        <v/>
      </c>
      <c r="W67" s="150">
        <f>IF($D67="","",IFERROR(INDEX(WBS_CBS!$K$5:$K$16,MATCH($D67,WBS_CBS!$A$5:$A$16,0)),""))</f>
        <v/>
      </c>
      <c r="X67" s="150">
        <f>IF($D67="","",IFERROR(INDEX(WBS_CBS!$F$5:$F$16,MATCH($D67,WBS_CBS!$A$5:$A$16,0)),""))</f>
        <v/>
      </c>
      <c r="Y67" s="149" t="n"/>
      <c r="Z67" s="149" t="n"/>
      <c r="AA67" s="150">
        <f>IF($D67="","",IFERROR(INDEX(WBS_CBS!$L$5:$L$16,MATCH($D67,WBS_CBS!$A$5:$A$16,0)),""))</f>
        <v/>
      </c>
      <c r="AB67" s="149" t="n"/>
    </row>
    <row r="68">
      <c r="A68" s="149" t="n"/>
      <c r="B68" s="149" t="n"/>
      <c r="C68" s="150">
        <f>IF($D68="","",IFERROR(INDEX(WBS_CBS!$E$5:$E$16,MATCH($D68,WBS_CBS!$A$5:$A$16,0)),""))</f>
        <v/>
      </c>
      <c r="D68" s="149" t="n"/>
      <c r="E68" s="150">
        <f>IF($D68="","",IFERROR(INDEX(WBS_CBS!$C$5:$C$16,MATCH($D68,WBS_CBS!$A$5:$A$16,0)),""))</f>
        <v/>
      </c>
      <c r="F68" s="150">
        <f>IF($D68="","",IFERROR(INDEX(WBS_CBS!$J$5:$J$16,MATCH($D68,WBS_CBS!$A$5:$A$16,0)),""))</f>
        <v/>
      </c>
      <c r="G68" s="149" t="n"/>
      <c r="H68" s="151" t="n"/>
      <c r="I68" s="149" t="n"/>
      <c r="J68" s="152" t="n"/>
      <c r="K68" s="149" t="n"/>
      <c r="L68" s="153">
        <f>IF($K68="","",IFERROR(INDEX(FX_Rates!$B$5:$B$14,MATCH($K68,FX_Rates!$A$5:$A$14,0)),""))</f>
        <v/>
      </c>
      <c r="M68" s="153">
        <f>IF(OR($H68="",$J68=""),"",$H68*$J68)</f>
        <v/>
      </c>
      <c r="N68" s="153">
        <f>IF(OR($M68="",$L68=""),"",$M68*$L68)</f>
        <v/>
      </c>
      <c r="O68" s="149" t="n"/>
      <c r="P68" s="154">
        <f>IF($O68="","",IFERROR(INDEX(Basis_of_Estimate!$C$5:$C$9,MATCH($O68,Basis_of_Estimate!$A$5:$A$9,0)),""))</f>
        <v/>
      </c>
      <c r="Q68" s="154">
        <f>IF($O68="","",IFERROR(INDEX(Basis_of_Estimate!$D$5:$D$9,MATCH($O68,Basis_of_Estimate!$A$5:$A$9,0)),""))</f>
        <v/>
      </c>
      <c r="R68" s="153">
        <f>IF($N68="","",$N68*(1+$P68))</f>
        <v/>
      </c>
      <c r="S68" s="153">
        <f>IF($N68="","",$N68)</f>
        <v/>
      </c>
      <c r="T68" s="153">
        <f>IF($N68="","",$N68*(1+$Q68))</f>
        <v/>
      </c>
      <c r="U68" s="150">
        <f>IF($D68="","",IFERROR(INDEX(WBS_CBS!$M$5:$M$16,MATCH($D68,WBS_CBS!$A$5:$A$16,0)),"Yes"))</f>
        <v/>
      </c>
      <c r="V68" s="150">
        <f>IF($D68="","",IFERROR(INDEX(WBS_CBS!$N$5:$N$16,MATCH($D68,WBS_CBS!$A$5:$A$16,0)),"Yes"))</f>
        <v/>
      </c>
      <c r="W68" s="150">
        <f>IF($D68="","",IFERROR(INDEX(WBS_CBS!$K$5:$K$16,MATCH($D68,WBS_CBS!$A$5:$A$16,0)),""))</f>
        <v/>
      </c>
      <c r="X68" s="150">
        <f>IF($D68="","",IFERROR(INDEX(WBS_CBS!$F$5:$F$16,MATCH($D68,WBS_CBS!$A$5:$A$16,0)),""))</f>
        <v/>
      </c>
      <c r="Y68" s="149" t="n"/>
      <c r="Z68" s="149" t="n"/>
      <c r="AA68" s="150">
        <f>IF($D68="","",IFERROR(INDEX(WBS_CBS!$L$5:$L$16,MATCH($D68,WBS_CBS!$A$5:$A$16,0)),""))</f>
        <v/>
      </c>
      <c r="AB68" s="149" t="n"/>
    </row>
    <row r="69">
      <c r="A69" s="149" t="n"/>
      <c r="B69" s="149" t="n"/>
      <c r="C69" s="150">
        <f>IF($D69="","",IFERROR(INDEX(WBS_CBS!$E$5:$E$16,MATCH($D69,WBS_CBS!$A$5:$A$16,0)),""))</f>
        <v/>
      </c>
      <c r="D69" s="149" t="n"/>
      <c r="E69" s="150">
        <f>IF($D69="","",IFERROR(INDEX(WBS_CBS!$C$5:$C$16,MATCH($D69,WBS_CBS!$A$5:$A$16,0)),""))</f>
        <v/>
      </c>
      <c r="F69" s="150">
        <f>IF($D69="","",IFERROR(INDEX(WBS_CBS!$J$5:$J$16,MATCH($D69,WBS_CBS!$A$5:$A$16,0)),""))</f>
        <v/>
      </c>
      <c r="G69" s="149" t="n"/>
      <c r="H69" s="151" t="n"/>
      <c r="I69" s="149" t="n"/>
      <c r="J69" s="152" t="n"/>
      <c r="K69" s="149" t="n"/>
      <c r="L69" s="153">
        <f>IF($K69="","",IFERROR(INDEX(FX_Rates!$B$5:$B$14,MATCH($K69,FX_Rates!$A$5:$A$14,0)),""))</f>
        <v/>
      </c>
      <c r="M69" s="153">
        <f>IF(OR($H69="",$J69=""),"",$H69*$J69)</f>
        <v/>
      </c>
      <c r="N69" s="153">
        <f>IF(OR($M69="",$L69=""),"",$M69*$L69)</f>
        <v/>
      </c>
      <c r="O69" s="149" t="n"/>
      <c r="P69" s="154">
        <f>IF($O69="","",IFERROR(INDEX(Basis_of_Estimate!$C$5:$C$9,MATCH($O69,Basis_of_Estimate!$A$5:$A$9,0)),""))</f>
        <v/>
      </c>
      <c r="Q69" s="154">
        <f>IF($O69="","",IFERROR(INDEX(Basis_of_Estimate!$D$5:$D$9,MATCH($O69,Basis_of_Estimate!$A$5:$A$9,0)),""))</f>
        <v/>
      </c>
      <c r="R69" s="153">
        <f>IF($N69="","",$N69*(1+$P69))</f>
        <v/>
      </c>
      <c r="S69" s="153">
        <f>IF($N69="","",$N69)</f>
        <v/>
      </c>
      <c r="T69" s="153">
        <f>IF($N69="","",$N69*(1+$Q69))</f>
        <v/>
      </c>
      <c r="U69" s="150">
        <f>IF($D69="","",IFERROR(INDEX(WBS_CBS!$M$5:$M$16,MATCH($D69,WBS_CBS!$A$5:$A$16,0)),"Yes"))</f>
        <v/>
      </c>
      <c r="V69" s="150">
        <f>IF($D69="","",IFERROR(INDEX(WBS_CBS!$N$5:$N$16,MATCH($D69,WBS_CBS!$A$5:$A$16,0)),"Yes"))</f>
        <v/>
      </c>
      <c r="W69" s="150">
        <f>IF($D69="","",IFERROR(INDEX(WBS_CBS!$K$5:$K$16,MATCH($D69,WBS_CBS!$A$5:$A$16,0)),""))</f>
        <v/>
      </c>
      <c r="X69" s="150">
        <f>IF($D69="","",IFERROR(INDEX(WBS_CBS!$F$5:$F$16,MATCH($D69,WBS_CBS!$A$5:$A$16,0)),""))</f>
        <v/>
      </c>
      <c r="Y69" s="149" t="n"/>
      <c r="Z69" s="149" t="n"/>
      <c r="AA69" s="150">
        <f>IF($D69="","",IFERROR(INDEX(WBS_CBS!$L$5:$L$16,MATCH($D69,WBS_CBS!$A$5:$A$16,0)),""))</f>
        <v/>
      </c>
      <c r="AB69" s="149" t="n"/>
    </row>
    <row r="70">
      <c r="A70" s="149" t="n"/>
      <c r="B70" s="149" t="n"/>
      <c r="C70" s="150">
        <f>IF($D70="","",IFERROR(INDEX(WBS_CBS!$E$5:$E$16,MATCH($D70,WBS_CBS!$A$5:$A$16,0)),""))</f>
        <v/>
      </c>
      <c r="D70" s="149" t="n"/>
      <c r="E70" s="150">
        <f>IF($D70="","",IFERROR(INDEX(WBS_CBS!$C$5:$C$16,MATCH($D70,WBS_CBS!$A$5:$A$16,0)),""))</f>
        <v/>
      </c>
      <c r="F70" s="150">
        <f>IF($D70="","",IFERROR(INDEX(WBS_CBS!$J$5:$J$16,MATCH($D70,WBS_CBS!$A$5:$A$16,0)),""))</f>
        <v/>
      </c>
      <c r="G70" s="149" t="n"/>
      <c r="H70" s="151" t="n"/>
      <c r="I70" s="149" t="n"/>
      <c r="J70" s="152" t="n"/>
      <c r="K70" s="149" t="n"/>
      <c r="L70" s="153">
        <f>IF($K70="","",IFERROR(INDEX(FX_Rates!$B$5:$B$14,MATCH($K70,FX_Rates!$A$5:$A$14,0)),""))</f>
        <v/>
      </c>
      <c r="M70" s="153">
        <f>IF(OR($H70="",$J70=""),"",$H70*$J70)</f>
        <v/>
      </c>
      <c r="N70" s="153">
        <f>IF(OR($M70="",$L70=""),"",$M70*$L70)</f>
        <v/>
      </c>
      <c r="O70" s="149" t="n"/>
      <c r="P70" s="154">
        <f>IF($O70="","",IFERROR(INDEX(Basis_of_Estimate!$C$5:$C$9,MATCH($O70,Basis_of_Estimate!$A$5:$A$9,0)),""))</f>
        <v/>
      </c>
      <c r="Q70" s="154">
        <f>IF($O70="","",IFERROR(INDEX(Basis_of_Estimate!$D$5:$D$9,MATCH($O70,Basis_of_Estimate!$A$5:$A$9,0)),""))</f>
        <v/>
      </c>
      <c r="R70" s="153">
        <f>IF($N70="","",$N70*(1+$P70))</f>
        <v/>
      </c>
      <c r="S70" s="153">
        <f>IF($N70="","",$N70)</f>
        <v/>
      </c>
      <c r="T70" s="153">
        <f>IF($N70="","",$N70*(1+$Q70))</f>
        <v/>
      </c>
      <c r="U70" s="150">
        <f>IF($D70="","",IFERROR(INDEX(WBS_CBS!$M$5:$M$16,MATCH($D70,WBS_CBS!$A$5:$A$16,0)),"Yes"))</f>
        <v/>
      </c>
      <c r="V70" s="150">
        <f>IF($D70="","",IFERROR(INDEX(WBS_CBS!$N$5:$N$16,MATCH($D70,WBS_CBS!$A$5:$A$16,0)),"Yes"))</f>
        <v/>
      </c>
      <c r="W70" s="150">
        <f>IF($D70="","",IFERROR(INDEX(WBS_CBS!$K$5:$K$16,MATCH($D70,WBS_CBS!$A$5:$A$16,0)),""))</f>
        <v/>
      </c>
      <c r="X70" s="150">
        <f>IF($D70="","",IFERROR(INDEX(WBS_CBS!$F$5:$F$16,MATCH($D70,WBS_CBS!$A$5:$A$16,0)),""))</f>
        <v/>
      </c>
      <c r="Y70" s="149" t="n"/>
      <c r="Z70" s="149" t="n"/>
      <c r="AA70" s="150">
        <f>IF($D70="","",IFERROR(INDEX(WBS_CBS!$L$5:$L$16,MATCH($D70,WBS_CBS!$A$5:$A$16,0)),""))</f>
        <v/>
      </c>
      <c r="AB70" s="149" t="n"/>
    </row>
    <row r="71">
      <c r="A71" s="149" t="n"/>
      <c r="B71" s="149" t="n"/>
      <c r="C71" s="150">
        <f>IF($D71="","",IFERROR(INDEX(WBS_CBS!$E$5:$E$16,MATCH($D71,WBS_CBS!$A$5:$A$16,0)),""))</f>
        <v/>
      </c>
      <c r="D71" s="149" t="n"/>
      <c r="E71" s="150">
        <f>IF($D71="","",IFERROR(INDEX(WBS_CBS!$C$5:$C$16,MATCH($D71,WBS_CBS!$A$5:$A$16,0)),""))</f>
        <v/>
      </c>
      <c r="F71" s="150">
        <f>IF($D71="","",IFERROR(INDEX(WBS_CBS!$J$5:$J$16,MATCH($D71,WBS_CBS!$A$5:$A$16,0)),""))</f>
        <v/>
      </c>
      <c r="G71" s="149" t="n"/>
      <c r="H71" s="151" t="n"/>
      <c r="I71" s="149" t="n"/>
      <c r="J71" s="152" t="n"/>
      <c r="K71" s="149" t="n"/>
      <c r="L71" s="153">
        <f>IF($K71="","",IFERROR(INDEX(FX_Rates!$B$5:$B$14,MATCH($K71,FX_Rates!$A$5:$A$14,0)),""))</f>
        <v/>
      </c>
      <c r="M71" s="153">
        <f>IF(OR($H71="",$J71=""),"",$H71*$J71)</f>
        <v/>
      </c>
      <c r="N71" s="153">
        <f>IF(OR($M71="",$L71=""),"",$M71*$L71)</f>
        <v/>
      </c>
      <c r="O71" s="149" t="n"/>
      <c r="P71" s="154">
        <f>IF($O71="","",IFERROR(INDEX(Basis_of_Estimate!$C$5:$C$9,MATCH($O71,Basis_of_Estimate!$A$5:$A$9,0)),""))</f>
        <v/>
      </c>
      <c r="Q71" s="154">
        <f>IF($O71="","",IFERROR(INDEX(Basis_of_Estimate!$D$5:$D$9,MATCH($O71,Basis_of_Estimate!$A$5:$A$9,0)),""))</f>
        <v/>
      </c>
      <c r="R71" s="153">
        <f>IF($N71="","",$N71*(1+$P71))</f>
        <v/>
      </c>
      <c r="S71" s="153">
        <f>IF($N71="","",$N71)</f>
        <v/>
      </c>
      <c r="T71" s="153">
        <f>IF($N71="","",$N71*(1+$Q71))</f>
        <v/>
      </c>
      <c r="U71" s="150">
        <f>IF($D71="","",IFERROR(INDEX(WBS_CBS!$M$5:$M$16,MATCH($D71,WBS_CBS!$A$5:$A$16,0)),"Yes"))</f>
        <v/>
      </c>
      <c r="V71" s="150">
        <f>IF($D71="","",IFERROR(INDEX(WBS_CBS!$N$5:$N$16,MATCH($D71,WBS_CBS!$A$5:$A$16,0)),"Yes"))</f>
        <v/>
      </c>
      <c r="W71" s="150">
        <f>IF($D71="","",IFERROR(INDEX(WBS_CBS!$K$5:$K$16,MATCH($D71,WBS_CBS!$A$5:$A$16,0)),""))</f>
        <v/>
      </c>
      <c r="X71" s="150">
        <f>IF($D71="","",IFERROR(INDEX(WBS_CBS!$F$5:$F$16,MATCH($D71,WBS_CBS!$A$5:$A$16,0)),""))</f>
        <v/>
      </c>
      <c r="Y71" s="149" t="n"/>
      <c r="Z71" s="149" t="n"/>
      <c r="AA71" s="150">
        <f>IF($D71="","",IFERROR(INDEX(WBS_CBS!$L$5:$L$16,MATCH($D71,WBS_CBS!$A$5:$A$16,0)),""))</f>
        <v/>
      </c>
      <c r="AB71" s="149" t="n"/>
    </row>
    <row r="72">
      <c r="A72" s="149" t="n"/>
      <c r="B72" s="149" t="n"/>
      <c r="C72" s="150">
        <f>IF($D72="","",IFERROR(INDEX(WBS_CBS!$E$5:$E$16,MATCH($D72,WBS_CBS!$A$5:$A$16,0)),""))</f>
        <v/>
      </c>
      <c r="D72" s="149" t="n"/>
      <c r="E72" s="150">
        <f>IF($D72="","",IFERROR(INDEX(WBS_CBS!$C$5:$C$16,MATCH($D72,WBS_CBS!$A$5:$A$16,0)),""))</f>
        <v/>
      </c>
      <c r="F72" s="150">
        <f>IF($D72="","",IFERROR(INDEX(WBS_CBS!$J$5:$J$16,MATCH($D72,WBS_CBS!$A$5:$A$16,0)),""))</f>
        <v/>
      </c>
      <c r="G72" s="149" t="n"/>
      <c r="H72" s="151" t="n"/>
      <c r="I72" s="149" t="n"/>
      <c r="J72" s="152" t="n"/>
      <c r="K72" s="149" t="n"/>
      <c r="L72" s="153">
        <f>IF($K72="","",IFERROR(INDEX(FX_Rates!$B$5:$B$14,MATCH($K72,FX_Rates!$A$5:$A$14,0)),""))</f>
        <v/>
      </c>
      <c r="M72" s="153">
        <f>IF(OR($H72="",$J72=""),"",$H72*$J72)</f>
        <v/>
      </c>
      <c r="N72" s="153">
        <f>IF(OR($M72="",$L72=""),"",$M72*$L72)</f>
        <v/>
      </c>
      <c r="O72" s="149" t="n"/>
      <c r="P72" s="154">
        <f>IF($O72="","",IFERROR(INDEX(Basis_of_Estimate!$C$5:$C$9,MATCH($O72,Basis_of_Estimate!$A$5:$A$9,0)),""))</f>
        <v/>
      </c>
      <c r="Q72" s="154">
        <f>IF($O72="","",IFERROR(INDEX(Basis_of_Estimate!$D$5:$D$9,MATCH($O72,Basis_of_Estimate!$A$5:$A$9,0)),""))</f>
        <v/>
      </c>
      <c r="R72" s="153">
        <f>IF($N72="","",$N72*(1+$P72))</f>
        <v/>
      </c>
      <c r="S72" s="153">
        <f>IF($N72="","",$N72)</f>
        <v/>
      </c>
      <c r="T72" s="153">
        <f>IF($N72="","",$N72*(1+$Q72))</f>
        <v/>
      </c>
      <c r="U72" s="150">
        <f>IF($D72="","",IFERROR(INDEX(WBS_CBS!$M$5:$M$16,MATCH($D72,WBS_CBS!$A$5:$A$16,0)),"Yes"))</f>
        <v/>
      </c>
      <c r="V72" s="150">
        <f>IF($D72="","",IFERROR(INDEX(WBS_CBS!$N$5:$N$16,MATCH($D72,WBS_CBS!$A$5:$A$16,0)),"Yes"))</f>
        <v/>
      </c>
      <c r="W72" s="150">
        <f>IF($D72="","",IFERROR(INDEX(WBS_CBS!$K$5:$K$16,MATCH($D72,WBS_CBS!$A$5:$A$16,0)),""))</f>
        <v/>
      </c>
      <c r="X72" s="150">
        <f>IF($D72="","",IFERROR(INDEX(WBS_CBS!$F$5:$F$16,MATCH($D72,WBS_CBS!$A$5:$A$16,0)),""))</f>
        <v/>
      </c>
      <c r="Y72" s="149" t="n"/>
      <c r="Z72" s="149" t="n"/>
      <c r="AA72" s="150">
        <f>IF($D72="","",IFERROR(INDEX(WBS_CBS!$L$5:$L$16,MATCH($D72,WBS_CBS!$A$5:$A$16,0)),""))</f>
        <v/>
      </c>
      <c r="AB72" s="149" t="n"/>
    </row>
    <row r="73">
      <c r="A73" s="149" t="n"/>
      <c r="B73" s="149" t="n"/>
      <c r="C73" s="150">
        <f>IF($D73="","",IFERROR(INDEX(WBS_CBS!$E$5:$E$16,MATCH($D73,WBS_CBS!$A$5:$A$16,0)),""))</f>
        <v/>
      </c>
      <c r="D73" s="149" t="n"/>
      <c r="E73" s="150">
        <f>IF($D73="","",IFERROR(INDEX(WBS_CBS!$C$5:$C$16,MATCH($D73,WBS_CBS!$A$5:$A$16,0)),""))</f>
        <v/>
      </c>
      <c r="F73" s="150">
        <f>IF($D73="","",IFERROR(INDEX(WBS_CBS!$J$5:$J$16,MATCH($D73,WBS_CBS!$A$5:$A$16,0)),""))</f>
        <v/>
      </c>
      <c r="G73" s="149" t="n"/>
      <c r="H73" s="151" t="n"/>
      <c r="I73" s="149" t="n"/>
      <c r="J73" s="152" t="n"/>
      <c r="K73" s="149" t="n"/>
      <c r="L73" s="153">
        <f>IF($K73="","",IFERROR(INDEX(FX_Rates!$B$5:$B$14,MATCH($K73,FX_Rates!$A$5:$A$14,0)),""))</f>
        <v/>
      </c>
      <c r="M73" s="153">
        <f>IF(OR($H73="",$J73=""),"",$H73*$J73)</f>
        <v/>
      </c>
      <c r="N73" s="153">
        <f>IF(OR($M73="",$L73=""),"",$M73*$L73)</f>
        <v/>
      </c>
      <c r="O73" s="149" t="n"/>
      <c r="P73" s="154">
        <f>IF($O73="","",IFERROR(INDEX(Basis_of_Estimate!$C$5:$C$9,MATCH($O73,Basis_of_Estimate!$A$5:$A$9,0)),""))</f>
        <v/>
      </c>
      <c r="Q73" s="154">
        <f>IF($O73="","",IFERROR(INDEX(Basis_of_Estimate!$D$5:$D$9,MATCH($O73,Basis_of_Estimate!$A$5:$A$9,0)),""))</f>
        <v/>
      </c>
      <c r="R73" s="153">
        <f>IF($N73="","",$N73*(1+$P73))</f>
        <v/>
      </c>
      <c r="S73" s="153">
        <f>IF($N73="","",$N73)</f>
        <v/>
      </c>
      <c r="T73" s="153">
        <f>IF($N73="","",$N73*(1+$Q73))</f>
        <v/>
      </c>
      <c r="U73" s="150">
        <f>IF($D73="","",IFERROR(INDEX(WBS_CBS!$M$5:$M$16,MATCH($D73,WBS_CBS!$A$5:$A$16,0)),"Yes"))</f>
        <v/>
      </c>
      <c r="V73" s="150">
        <f>IF($D73="","",IFERROR(INDEX(WBS_CBS!$N$5:$N$16,MATCH($D73,WBS_CBS!$A$5:$A$16,0)),"Yes"))</f>
        <v/>
      </c>
      <c r="W73" s="150">
        <f>IF($D73="","",IFERROR(INDEX(WBS_CBS!$K$5:$K$16,MATCH($D73,WBS_CBS!$A$5:$A$16,0)),""))</f>
        <v/>
      </c>
      <c r="X73" s="150">
        <f>IF($D73="","",IFERROR(INDEX(WBS_CBS!$F$5:$F$16,MATCH($D73,WBS_CBS!$A$5:$A$16,0)),""))</f>
        <v/>
      </c>
      <c r="Y73" s="149" t="n"/>
      <c r="Z73" s="149" t="n"/>
      <c r="AA73" s="150">
        <f>IF($D73="","",IFERROR(INDEX(WBS_CBS!$L$5:$L$16,MATCH($D73,WBS_CBS!$A$5:$A$16,0)),""))</f>
        <v/>
      </c>
      <c r="AB73" s="149" t="n"/>
    </row>
    <row r="74">
      <c r="A74" s="149" t="n"/>
      <c r="B74" s="149" t="n"/>
      <c r="C74" s="150">
        <f>IF($D74="","",IFERROR(INDEX(WBS_CBS!$E$5:$E$16,MATCH($D74,WBS_CBS!$A$5:$A$16,0)),""))</f>
        <v/>
      </c>
      <c r="D74" s="149" t="n"/>
      <c r="E74" s="150">
        <f>IF($D74="","",IFERROR(INDEX(WBS_CBS!$C$5:$C$16,MATCH($D74,WBS_CBS!$A$5:$A$16,0)),""))</f>
        <v/>
      </c>
      <c r="F74" s="150">
        <f>IF($D74="","",IFERROR(INDEX(WBS_CBS!$J$5:$J$16,MATCH($D74,WBS_CBS!$A$5:$A$16,0)),""))</f>
        <v/>
      </c>
      <c r="G74" s="149" t="n"/>
      <c r="H74" s="151" t="n"/>
      <c r="I74" s="149" t="n"/>
      <c r="J74" s="152" t="n"/>
      <c r="K74" s="149" t="n"/>
      <c r="L74" s="153">
        <f>IF($K74="","",IFERROR(INDEX(FX_Rates!$B$5:$B$14,MATCH($K74,FX_Rates!$A$5:$A$14,0)),""))</f>
        <v/>
      </c>
      <c r="M74" s="153">
        <f>IF(OR($H74="",$J74=""),"",$H74*$J74)</f>
        <v/>
      </c>
      <c r="N74" s="153">
        <f>IF(OR($M74="",$L74=""),"",$M74*$L74)</f>
        <v/>
      </c>
      <c r="O74" s="149" t="n"/>
      <c r="P74" s="154">
        <f>IF($O74="","",IFERROR(INDEX(Basis_of_Estimate!$C$5:$C$9,MATCH($O74,Basis_of_Estimate!$A$5:$A$9,0)),""))</f>
        <v/>
      </c>
      <c r="Q74" s="154">
        <f>IF($O74="","",IFERROR(INDEX(Basis_of_Estimate!$D$5:$D$9,MATCH($O74,Basis_of_Estimate!$A$5:$A$9,0)),""))</f>
        <v/>
      </c>
      <c r="R74" s="153">
        <f>IF($N74="","",$N74*(1+$P74))</f>
        <v/>
      </c>
      <c r="S74" s="153">
        <f>IF($N74="","",$N74)</f>
        <v/>
      </c>
      <c r="T74" s="153">
        <f>IF($N74="","",$N74*(1+$Q74))</f>
        <v/>
      </c>
      <c r="U74" s="150">
        <f>IF($D74="","",IFERROR(INDEX(WBS_CBS!$M$5:$M$16,MATCH($D74,WBS_CBS!$A$5:$A$16,0)),"Yes"))</f>
        <v/>
      </c>
      <c r="V74" s="150">
        <f>IF($D74="","",IFERROR(INDEX(WBS_CBS!$N$5:$N$16,MATCH($D74,WBS_CBS!$A$5:$A$16,0)),"Yes"))</f>
        <v/>
      </c>
      <c r="W74" s="150">
        <f>IF($D74="","",IFERROR(INDEX(WBS_CBS!$K$5:$K$16,MATCH($D74,WBS_CBS!$A$5:$A$16,0)),""))</f>
        <v/>
      </c>
      <c r="X74" s="150">
        <f>IF($D74="","",IFERROR(INDEX(WBS_CBS!$F$5:$F$16,MATCH($D74,WBS_CBS!$A$5:$A$16,0)),""))</f>
        <v/>
      </c>
      <c r="Y74" s="149" t="n"/>
      <c r="Z74" s="149" t="n"/>
      <c r="AA74" s="150">
        <f>IF($D74="","",IFERROR(INDEX(WBS_CBS!$L$5:$L$16,MATCH($D74,WBS_CBS!$A$5:$A$16,0)),""))</f>
        <v/>
      </c>
      <c r="AB74" s="149" t="n"/>
    </row>
    <row r="75">
      <c r="A75" s="149" t="n"/>
      <c r="B75" s="149" t="n"/>
      <c r="C75" s="150">
        <f>IF($D75="","",IFERROR(INDEX(WBS_CBS!$E$5:$E$16,MATCH($D75,WBS_CBS!$A$5:$A$16,0)),""))</f>
        <v/>
      </c>
      <c r="D75" s="149" t="n"/>
      <c r="E75" s="150">
        <f>IF($D75="","",IFERROR(INDEX(WBS_CBS!$C$5:$C$16,MATCH($D75,WBS_CBS!$A$5:$A$16,0)),""))</f>
        <v/>
      </c>
      <c r="F75" s="150">
        <f>IF($D75="","",IFERROR(INDEX(WBS_CBS!$J$5:$J$16,MATCH($D75,WBS_CBS!$A$5:$A$16,0)),""))</f>
        <v/>
      </c>
      <c r="G75" s="149" t="n"/>
      <c r="H75" s="151" t="n"/>
      <c r="I75" s="149" t="n"/>
      <c r="J75" s="152" t="n"/>
      <c r="K75" s="149" t="n"/>
      <c r="L75" s="153">
        <f>IF($K75="","",IFERROR(INDEX(FX_Rates!$B$5:$B$14,MATCH($K75,FX_Rates!$A$5:$A$14,0)),""))</f>
        <v/>
      </c>
      <c r="M75" s="153">
        <f>IF(OR($H75="",$J75=""),"",$H75*$J75)</f>
        <v/>
      </c>
      <c r="N75" s="153">
        <f>IF(OR($M75="",$L75=""),"",$M75*$L75)</f>
        <v/>
      </c>
      <c r="O75" s="149" t="n"/>
      <c r="P75" s="154">
        <f>IF($O75="","",IFERROR(INDEX(Basis_of_Estimate!$C$5:$C$9,MATCH($O75,Basis_of_Estimate!$A$5:$A$9,0)),""))</f>
        <v/>
      </c>
      <c r="Q75" s="154">
        <f>IF($O75="","",IFERROR(INDEX(Basis_of_Estimate!$D$5:$D$9,MATCH($O75,Basis_of_Estimate!$A$5:$A$9,0)),""))</f>
        <v/>
      </c>
      <c r="R75" s="153">
        <f>IF($N75="","",$N75*(1+$P75))</f>
        <v/>
      </c>
      <c r="S75" s="153">
        <f>IF($N75="","",$N75)</f>
        <v/>
      </c>
      <c r="T75" s="153">
        <f>IF($N75="","",$N75*(1+$Q75))</f>
        <v/>
      </c>
      <c r="U75" s="150">
        <f>IF($D75="","",IFERROR(INDEX(WBS_CBS!$M$5:$M$16,MATCH($D75,WBS_CBS!$A$5:$A$16,0)),"Yes"))</f>
        <v/>
      </c>
      <c r="V75" s="150">
        <f>IF($D75="","",IFERROR(INDEX(WBS_CBS!$N$5:$N$16,MATCH($D75,WBS_CBS!$A$5:$A$16,0)),"Yes"))</f>
        <v/>
      </c>
      <c r="W75" s="150">
        <f>IF($D75="","",IFERROR(INDEX(WBS_CBS!$K$5:$K$16,MATCH($D75,WBS_CBS!$A$5:$A$16,0)),""))</f>
        <v/>
      </c>
      <c r="X75" s="150">
        <f>IF($D75="","",IFERROR(INDEX(WBS_CBS!$F$5:$F$16,MATCH($D75,WBS_CBS!$A$5:$A$16,0)),""))</f>
        <v/>
      </c>
      <c r="Y75" s="149" t="n"/>
      <c r="Z75" s="149" t="n"/>
      <c r="AA75" s="150">
        <f>IF($D75="","",IFERROR(INDEX(WBS_CBS!$L$5:$L$16,MATCH($D75,WBS_CBS!$A$5:$A$16,0)),""))</f>
        <v/>
      </c>
      <c r="AB75" s="149" t="n"/>
    </row>
    <row r="76">
      <c r="A76" s="149" t="n"/>
      <c r="B76" s="149" t="n"/>
      <c r="C76" s="150">
        <f>IF($D76="","",IFERROR(INDEX(WBS_CBS!$E$5:$E$16,MATCH($D76,WBS_CBS!$A$5:$A$16,0)),""))</f>
        <v/>
      </c>
      <c r="D76" s="149" t="n"/>
      <c r="E76" s="150">
        <f>IF($D76="","",IFERROR(INDEX(WBS_CBS!$C$5:$C$16,MATCH($D76,WBS_CBS!$A$5:$A$16,0)),""))</f>
        <v/>
      </c>
      <c r="F76" s="150">
        <f>IF($D76="","",IFERROR(INDEX(WBS_CBS!$J$5:$J$16,MATCH($D76,WBS_CBS!$A$5:$A$16,0)),""))</f>
        <v/>
      </c>
      <c r="G76" s="149" t="n"/>
      <c r="H76" s="151" t="n"/>
      <c r="I76" s="149" t="n"/>
      <c r="J76" s="152" t="n"/>
      <c r="K76" s="149" t="n"/>
      <c r="L76" s="153">
        <f>IF($K76="","",IFERROR(INDEX(FX_Rates!$B$5:$B$14,MATCH($K76,FX_Rates!$A$5:$A$14,0)),""))</f>
        <v/>
      </c>
      <c r="M76" s="153">
        <f>IF(OR($H76="",$J76=""),"",$H76*$J76)</f>
        <v/>
      </c>
      <c r="N76" s="153">
        <f>IF(OR($M76="",$L76=""),"",$M76*$L76)</f>
        <v/>
      </c>
      <c r="O76" s="149" t="n"/>
      <c r="P76" s="154">
        <f>IF($O76="","",IFERROR(INDEX(Basis_of_Estimate!$C$5:$C$9,MATCH($O76,Basis_of_Estimate!$A$5:$A$9,0)),""))</f>
        <v/>
      </c>
      <c r="Q76" s="154">
        <f>IF($O76="","",IFERROR(INDEX(Basis_of_Estimate!$D$5:$D$9,MATCH($O76,Basis_of_Estimate!$A$5:$A$9,0)),""))</f>
        <v/>
      </c>
      <c r="R76" s="153">
        <f>IF($N76="","",$N76*(1+$P76))</f>
        <v/>
      </c>
      <c r="S76" s="153">
        <f>IF($N76="","",$N76)</f>
        <v/>
      </c>
      <c r="T76" s="153">
        <f>IF($N76="","",$N76*(1+$Q76))</f>
        <v/>
      </c>
      <c r="U76" s="150">
        <f>IF($D76="","",IFERROR(INDEX(WBS_CBS!$M$5:$M$16,MATCH($D76,WBS_CBS!$A$5:$A$16,0)),"Yes"))</f>
        <v/>
      </c>
      <c r="V76" s="150">
        <f>IF($D76="","",IFERROR(INDEX(WBS_CBS!$N$5:$N$16,MATCH($D76,WBS_CBS!$A$5:$A$16,0)),"Yes"))</f>
        <v/>
      </c>
      <c r="W76" s="150">
        <f>IF($D76="","",IFERROR(INDEX(WBS_CBS!$K$5:$K$16,MATCH($D76,WBS_CBS!$A$5:$A$16,0)),""))</f>
        <v/>
      </c>
      <c r="X76" s="150">
        <f>IF($D76="","",IFERROR(INDEX(WBS_CBS!$F$5:$F$16,MATCH($D76,WBS_CBS!$A$5:$A$16,0)),""))</f>
        <v/>
      </c>
      <c r="Y76" s="149" t="n"/>
      <c r="Z76" s="149" t="n"/>
      <c r="AA76" s="150">
        <f>IF($D76="","",IFERROR(INDEX(WBS_CBS!$L$5:$L$16,MATCH($D76,WBS_CBS!$A$5:$A$16,0)),""))</f>
        <v/>
      </c>
      <c r="AB76" s="149" t="n"/>
    </row>
    <row r="77">
      <c r="A77" s="149" t="n"/>
      <c r="B77" s="149" t="n"/>
      <c r="C77" s="150">
        <f>IF($D77="","",IFERROR(INDEX(WBS_CBS!$E$5:$E$16,MATCH($D77,WBS_CBS!$A$5:$A$16,0)),""))</f>
        <v/>
      </c>
      <c r="D77" s="149" t="n"/>
      <c r="E77" s="150">
        <f>IF($D77="","",IFERROR(INDEX(WBS_CBS!$C$5:$C$16,MATCH($D77,WBS_CBS!$A$5:$A$16,0)),""))</f>
        <v/>
      </c>
      <c r="F77" s="150">
        <f>IF($D77="","",IFERROR(INDEX(WBS_CBS!$J$5:$J$16,MATCH($D77,WBS_CBS!$A$5:$A$16,0)),""))</f>
        <v/>
      </c>
      <c r="G77" s="149" t="n"/>
      <c r="H77" s="151" t="n"/>
      <c r="I77" s="149" t="n"/>
      <c r="J77" s="152" t="n"/>
      <c r="K77" s="149" t="n"/>
      <c r="L77" s="153">
        <f>IF($K77="","",IFERROR(INDEX(FX_Rates!$B$5:$B$14,MATCH($K77,FX_Rates!$A$5:$A$14,0)),""))</f>
        <v/>
      </c>
      <c r="M77" s="153">
        <f>IF(OR($H77="",$J77=""),"",$H77*$J77)</f>
        <v/>
      </c>
      <c r="N77" s="153">
        <f>IF(OR($M77="",$L77=""),"",$M77*$L77)</f>
        <v/>
      </c>
      <c r="O77" s="149" t="n"/>
      <c r="P77" s="154">
        <f>IF($O77="","",IFERROR(INDEX(Basis_of_Estimate!$C$5:$C$9,MATCH($O77,Basis_of_Estimate!$A$5:$A$9,0)),""))</f>
        <v/>
      </c>
      <c r="Q77" s="154">
        <f>IF($O77="","",IFERROR(INDEX(Basis_of_Estimate!$D$5:$D$9,MATCH($O77,Basis_of_Estimate!$A$5:$A$9,0)),""))</f>
        <v/>
      </c>
      <c r="R77" s="153">
        <f>IF($N77="","",$N77*(1+$P77))</f>
        <v/>
      </c>
      <c r="S77" s="153">
        <f>IF($N77="","",$N77)</f>
        <v/>
      </c>
      <c r="T77" s="153">
        <f>IF($N77="","",$N77*(1+$Q77))</f>
        <v/>
      </c>
      <c r="U77" s="150">
        <f>IF($D77="","",IFERROR(INDEX(WBS_CBS!$M$5:$M$16,MATCH($D77,WBS_CBS!$A$5:$A$16,0)),"Yes"))</f>
        <v/>
      </c>
      <c r="V77" s="150">
        <f>IF($D77="","",IFERROR(INDEX(WBS_CBS!$N$5:$N$16,MATCH($D77,WBS_CBS!$A$5:$A$16,0)),"Yes"))</f>
        <v/>
      </c>
      <c r="W77" s="150">
        <f>IF($D77="","",IFERROR(INDEX(WBS_CBS!$K$5:$K$16,MATCH($D77,WBS_CBS!$A$5:$A$16,0)),""))</f>
        <v/>
      </c>
      <c r="X77" s="150">
        <f>IF($D77="","",IFERROR(INDEX(WBS_CBS!$F$5:$F$16,MATCH($D77,WBS_CBS!$A$5:$A$16,0)),""))</f>
        <v/>
      </c>
      <c r="Y77" s="149" t="n"/>
      <c r="Z77" s="149" t="n"/>
      <c r="AA77" s="150">
        <f>IF($D77="","",IFERROR(INDEX(WBS_CBS!$L$5:$L$16,MATCH($D77,WBS_CBS!$A$5:$A$16,0)),""))</f>
        <v/>
      </c>
      <c r="AB77" s="149" t="n"/>
    </row>
    <row r="78">
      <c r="A78" s="149" t="n"/>
      <c r="B78" s="149" t="n"/>
      <c r="C78" s="150">
        <f>IF($D78="","",IFERROR(INDEX(WBS_CBS!$E$5:$E$16,MATCH($D78,WBS_CBS!$A$5:$A$16,0)),""))</f>
        <v/>
      </c>
      <c r="D78" s="149" t="n"/>
      <c r="E78" s="150">
        <f>IF($D78="","",IFERROR(INDEX(WBS_CBS!$C$5:$C$16,MATCH($D78,WBS_CBS!$A$5:$A$16,0)),""))</f>
        <v/>
      </c>
      <c r="F78" s="150">
        <f>IF($D78="","",IFERROR(INDEX(WBS_CBS!$J$5:$J$16,MATCH($D78,WBS_CBS!$A$5:$A$16,0)),""))</f>
        <v/>
      </c>
      <c r="G78" s="149" t="n"/>
      <c r="H78" s="151" t="n"/>
      <c r="I78" s="149" t="n"/>
      <c r="J78" s="152" t="n"/>
      <c r="K78" s="149" t="n"/>
      <c r="L78" s="153">
        <f>IF($K78="","",IFERROR(INDEX(FX_Rates!$B$5:$B$14,MATCH($K78,FX_Rates!$A$5:$A$14,0)),""))</f>
        <v/>
      </c>
      <c r="M78" s="153">
        <f>IF(OR($H78="",$J78=""),"",$H78*$J78)</f>
        <v/>
      </c>
      <c r="N78" s="153">
        <f>IF(OR($M78="",$L78=""),"",$M78*$L78)</f>
        <v/>
      </c>
      <c r="O78" s="149" t="n"/>
      <c r="P78" s="154">
        <f>IF($O78="","",IFERROR(INDEX(Basis_of_Estimate!$C$5:$C$9,MATCH($O78,Basis_of_Estimate!$A$5:$A$9,0)),""))</f>
        <v/>
      </c>
      <c r="Q78" s="154">
        <f>IF($O78="","",IFERROR(INDEX(Basis_of_Estimate!$D$5:$D$9,MATCH($O78,Basis_of_Estimate!$A$5:$A$9,0)),""))</f>
        <v/>
      </c>
      <c r="R78" s="153">
        <f>IF($N78="","",$N78*(1+$P78))</f>
        <v/>
      </c>
      <c r="S78" s="153">
        <f>IF($N78="","",$N78)</f>
        <v/>
      </c>
      <c r="T78" s="153">
        <f>IF($N78="","",$N78*(1+$Q78))</f>
        <v/>
      </c>
      <c r="U78" s="150">
        <f>IF($D78="","",IFERROR(INDEX(WBS_CBS!$M$5:$M$16,MATCH($D78,WBS_CBS!$A$5:$A$16,0)),"Yes"))</f>
        <v/>
      </c>
      <c r="V78" s="150">
        <f>IF($D78="","",IFERROR(INDEX(WBS_CBS!$N$5:$N$16,MATCH($D78,WBS_CBS!$A$5:$A$16,0)),"Yes"))</f>
        <v/>
      </c>
      <c r="W78" s="150">
        <f>IF($D78="","",IFERROR(INDEX(WBS_CBS!$K$5:$K$16,MATCH($D78,WBS_CBS!$A$5:$A$16,0)),""))</f>
        <v/>
      </c>
      <c r="X78" s="150">
        <f>IF($D78="","",IFERROR(INDEX(WBS_CBS!$F$5:$F$16,MATCH($D78,WBS_CBS!$A$5:$A$16,0)),""))</f>
        <v/>
      </c>
      <c r="Y78" s="149" t="n"/>
      <c r="Z78" s="149" t="n"/>
      <c r="AA78" s="150">
        <f>IF($D78="","",IFERROR(INDEX(WBS_CBS!$L$5:$L$16,MATCH($D78,WBS_CBS!$A$5:$A$16,0)),""))</f>
        <v/>
      </c>
      <c r="AB78" s="149" t="n"/>
    </row>
    <row r="79">
      <c r="A79" s="149" t="n"/>
      <c r="B79" s="149" t="n"/>
      <c r="C79" s="150">
        <f>IF($D79="","",IFERROR(INDEX(WBS_CBS!$E$5:$E$16,MATCH($D79,WBS_CBS!$A$5:$A$16,0)),""))</f>
        <v/>
      </c>
      <c r="D79" s="149" t="n"/>
      <c r="E79" s="150">
        <f>IF($D79="","",IFERROR(INDEX(WBS_CBS!$C$5:$C$16,MATCH($D79,WBS_CBS!$A$5:$A$16,0)),""))</f>
        <v/>
      </c>
      <c r="F79" s="150">
        <f>IF($D79="","",IFERROR(INDEX(WBS_CBS!$J$5:$J$16,MATCH($D79,WBS_CBS!$A$5:$A$16,0)),""))</f>
        <v/>
      </c>
      <c r="G79" s="149" t="n"/>
      <c r="H79" s="151" t="n"/>
      <c r="I79" s="149" t="n"/>
      <c r="J79" s="152" t="n"/>
      <c r="K79" s="149" t="n"/>
      <c r="L79" s="153">
        <f>IF($K79="","",IFERROR(INDEX(FX_Rates!$B$5:$B$14,MATCH($K79,FX_Rates!$A$5:$A$14,0)),""))</f>
        <v/>
      </c>
      <c r="M79" s="153">
        <f>IF(OR($H79="",$J79=""),"",$H79*$J79)</f>
        <v/>
      </c>
      <c r="N79" s="153">
        <f>IF(OR($M79="",$L79=""),"",$M79*$L79)</f>
        <v/>
      </c>
      <c r="O79" s="149" t="n"/>
      <c r="P79" s="154">
        <f>IF($O79="","",IFERROR(INDEX(Basis_of_Estimate!$C$5:$C$9,MATCH($O79,Basis_of_Estimate!$A$5:$A$9,0)),""))</f>
        <v/>
      </c>
      <c r="Q79" s="154">
        <f>IF($O79="","",IFERROR(INDEX(Basis_of_Estimate!$D$5:$D$9,MATCH($O79,Basis_of_Estimate!$A$5:$A$9,0)),""))</f>
        <v/>
      </c>
      <c r="R79" s="153">
        <f>IF($N79="","",$N79*(1+$P79))</f>
        <v/>
      </c>
      <c r="S79" s="153">
        <f>IF($N79="","",$N79)</f>
        <v/>
      </c>
      <c r="T79" s="153">
        <f>IF($N79="","",$N79*(1+$Q79))</f>
        <v/>
      </c>
      <c r="U79" s="150">
        <f>IF($D79="","",IFERROR(INDEX(WBS_CBS!$M$5:$M$16,MATCH($D79,WBS_CBS!$A$5:$A$16,0)),"Yes"))</f>
        <v/>
      </c>
      <c r="V79" s="150">
        <f>IF($D79="","",IFERROR(INDEX(WBS_CBS!$N$5:$N$16,MATCH($D79,WBS_CBS!$A$5:$A$16,0)),"Yes"))</f>
        <v/>
      </c>
      <c r="W79" s="150">
        <f>IF($D79="","",IFERROR(INDEX(WBS_CBS!$K$5:$K$16,MATCH($D79,WBS_CBS!$A$5:$A$16,0)),""))</f>
        <v/>
      </c>
      <c r="X79" s="150">
        <f>IF($D79="","",IFERROR(INDEX(WBS_CBS!$F$5:$F$16,MATCH($D79,WBS_CBS!$A$5:$A$16,0)),""))</f>
        <v/>
      </c>
      <c r="Y79" s="149" t="n"/>
      <c r="Z79" s="149" t="n"/>
      <c r="AA79" s="150">
        <f>IF($D79="","",IFERROR(INDEX(WBS_CBS!$L$5:$L$16,MATCH($D79,WBS_CBS!$A$5:$A$16,0)),""))</f>
        <v/>
      </c>
      <c r="AB79" s="149" t="n"/>
    </row>
    <row r="80">
      <c r="A80" s="149" t="n"/>
      <c r="B80" s="149" t="n"/>
      <c r="C80" s="150">
        <f>IF($D80="","",IFERROR(INDEX(WBS_CBS!$E$5:$E$16,MATCH($D80,WBS_CBS!$A$5:$A$16,0)),""))</f>
        <v/>
      </c>
      <c r="D80" s="149" t="n"/>
      <c r="E80" s="150">
        <f>IF($D80="","",IFERROR(INDEX(WBS_CBS!$C$5:$C$16,MATCH($D80,WBS_CBS!$A$5:$A$16,0)),""))</f>
        <v/>
      </c>
      <c r="F80" s="150">
        <f>IF($D80="","",IFERROR(INDEX(WBS_CBS!$J$5:$J$16,MATCH($D80,WBS_CBS!$A$5:$A$16,0)),""))</f>
        <v/>
      </c>
      <c r="G80" s="149" t="n"/>
      <c r="H80" s="151" t="n"/>
      <c r="I80" s="149" t="n"/>
      <c r="J80" s="152" t="n"/>
      <c r="K80" s="149" t="n"/>
      <c r="L80" s="153">
        <f>IF($K80="","",IFERROR(INDEX(FX_Rates!$B$5:$B$14,MATCH($K80,FX_Rates!$A$5:$A$14,0)),""))</f>
        <v/>
      </c>
      <c r="M80" s="153">
        <f>IF(OR($H80="",$J80=""),"",$H80*$J80)</f>
        <v/>
      </c>
      <c r="N80" s="153">
        <f>IF(OR($M80="",$L80=""),"",$M80*$L80)</f>
        <v/>
      </c>
      <c r="O80" s="149" t="n"/>
      <c r="P80" s="154">
        <f>IF($O80="","",IFERROR(INDEX(Basis_of_Estimate!$C$5:$C$9,MATCH($O80,Basis_of_Estimate!$A$5:$A$9,0)),""))</f>
        <v/>
      </c>
      <c r="Q80" s="154">
        <f>IF($O80="","",IFERROR(INDEX(Basis_of_Estimate!$D$5:$D$9,MATCH($O80,Basis_of_Estimate!$A$5:$A$9,0)),""))</f>
        <v/>
      </c>
      <c r="R80" s="153">
        <f>IF($N80="","",$N80*(1+$P80))</f>
        <v/>
      </c>
      <c r="S80" s="153">
        <f>IF($N80="","",$N80)</f>
        <v/>
      </c>
      <c r="T80" s="153">
        <f>IF($N80="","",$N80*(1+$Q80))</f>
        <v/>
      </c>
      <c r="U80" s="150">
        <f>IF($D80="","",IFERROR(INDEX(WBS_CBS!$M$5:$M$16,MATCH($D80,WBS_CBS!$A$5:$A$16,0)),"Yes"))</f>
        <v/>
      </c>
      <c r="V80" s="150">
        <f>IF($D80="","",IFERROR(INDEX(WBS_CBS!$N$5:$N$16,MATCH($D80,WBS_CBS!$A$5:$A$16,0)),"Yes"))</f>
        <v/>
      </c>
      <c r="W80" s="150">
        <f>IF($D80="","",IFERROR(INDEX(WBS_CBS!$K$5:$K$16,MATCH($D80,WBS_CBS!$A$5:$A$16,0)),""))</f>
        <v/>
      </c>
      <c r="X80" s="150">
        <f>IF($D80="","",IFERROR(INDEX(WBS_CBS!$F$5:$F$16,MATCH($D80,WBS_CBS!$A$5:$A$16,0)),""))</f>
        <v/>
      </c>
      <c r="Y80" s="149" t="n"/>
      <c r="Z80" s="149" t="n"/>
      <c r="AA80" s="150">
        <f>IF($D80="","",IFERROR(INDEX(WBS_CBS!$L$5:$L$16,MATCH($D80,WBS_CBS!$A$5:$A$16,0)),""))</f>
        <v/>
      </c>
      <c r="AB80" s="149" t="n"/>
    </row>
    <row r="81">
      <c r="A81" s="149" t="n"/>
      <c r="B81" s="149" t="n"/>
      <c r="C81" s="150">
        <f>IF($D81="","",IFERROR(INDEX(WBS_CBS!$E$5:$E$16,MATCH($D81,WBS_CBS!$A$5:$A$16,0)),""))</f>
        <v/>
      </c>
      <c r="D81" s="149" t="n"/>
      <c r="E81" s="150">
        <f>IF($D81="","",IFERROR(INDEX(WBS_CBS!$C$5:$C$16,MATCH($D81,WBS_CBS!$A$5:$A$16,0)),""))</f>
        <v/>
      </c>
      <c r="F81" s="150">
        <f>IF($D81="","",IFERROR(INDEX(WBS_CBS!$J$5:$J$16,MATCH($D81,WBS_CBS!$A$5:$A$16,0)),""))</f>
        <v/>
      </c>
      <c r="G81" s="149" t="n"/>
      <c r="H81" s="151" t="n"/>
      <c r="I81" s="149" t="n"/>
      <c r="J81" s="152" t="n"/>
      <c r="K81" s="149" t="n"/>
      <c r="L81" s="153">
        <f>IF($K81="","",IFERROR(INDEX(FX_Rates!$B$5:$B$14,MATCH($K81,FX_Rates!$A$5:$A$14,0)),""))</f>
        <v/>
      </c>
      <c r="M81" s="153">
        <f>IF(OR($H81="",$J81=""),"",$H81*$J81)</f>
        <v/>
      </c>
      <c r="N81" s="153">
        <f>IF(OR($M81="",$L81=""),"",$M81*$L81)</f>
        <v/>
      </c>
      <c r="O81" s="149" t="n"/>
      <c r="P81" s="154">
        <f>IF($O81="","",IFERROR(INDEX(Basis_of_Estimate!$C$5:$C$9,MATCH($O81,Basis_of_Estimate!$A$5:$A$9,0)),""))</f>
        <v/>
      </c>
      <c r="Q81" s="154">
        <f>IF($O81="","",IFERROR(INDEX(Basis_of_Estimate!$D$5:$D$9,MATCH($O81,Basis_of_Estimate!$A$5:$A$9,0)),""))</f>
        <v/>
      </c>
      <c r="R81" s="153">
        <f>IF($N81="","",$N81*(1+$P81))</f>
        <v/>
      </c>
      <c r="S81" s="153">
        <f>IF($N81="","",$N81)</f>
        <v/>
      </c>
      <c r="T81" s="153">
        <f>IF($N81="","",$N81*(1+$Q81))</f>
        <v/>
      </c>
      <c r="U81" s="150">
        <f>IF($D81="","",IFERROR(INDEX(WBS_CBS!$M$5:$M$16,MATCH($D81,WBS_CBS!$A$5:$A$16,0)),"Yes"))</f>
        <v/>
      </c>
      <c r="V81" s="150">
        <f>IF($D81="","",IFERROR(INDEX(WBS_CBS!$N$5:$N$16,MATCH($D81,WBS_CBS!$A$5:$A$16,0)),"Yes"))</f>
        <v/>
      </c>
      <c r="W81" s="150">
        <f>IF($D81="","",IFERROR(INDEX(WBS_CBS!$K$5:$K$16,MATCH($D81,WBS_CBS!$A$5:$A$16,0)),""))</f>
        <v/>
      </c>
      <c r="X81" s="150">
        <f>IF($D81="","",IFERROR(INDEX(WBS_CBS!$F$5:$F$16,MATCH($D81,WBS_CBS!$A$5:$A$16,0)),""))</f>
        <v/>
      </c>
      <c r="Y81" s="149" t="n"/>
      <c r="Z81" s="149" t="n"/>
      <c r="AA81" s="150">
        <f>IF($D81="","",IFERROR(INDEX(WBS_CBS!$L$5:$L$16,MATCH($D81,WBS_CBS!$A$5:$A$16,0)),""))</f>
        <v/>
      </c>
      <c r="AB81" s="149" t="n"/>
    </row>
    <row r="82">
      <c r="A82" s="149" t="n"/>
      <c r="B82" s="149" t="n"/>
      <c r="C82" s="150">
        <f>IF($D82="","",IFERROR(INDEX(WBS_CBS!$E$5:$E$16,MATCH($D82,WBS_CBS!$A$5:$A$16,0)),""))</f>
        <v/>
      </c>
      <c r="D82" s="149" t="n"/>
      <c r="E82" s="150">
        <f>IF($D82="","",IFERROR(INDEX(WBS_CBS!$C$5:$C$16,MATCH($D82,WBS_CBS!$A$5:$A$16,0)),""))</f>
        <v/>
      </c>
      <c r="F82" s="150">
        <f>IF($D82="","",IFERROR(INDEX(WBS_CBS!$J$5:$J$16,MATCH($D82,WBS_CBS!$A$5:$A$16,0)),""))</f>
        <v/>
      </c>
      <c r="G82" s="149" t="n"/>
      <c r="H82" s="151" t="n"/>
      <c r="I82" s="149" t="n"/>
      <c r="J82" s="152" t="n"/>
      <c r="K82" s="149" t="n"/>
      <c r="L82" s="153">
        <f>IF($K82="","",IFERROR(INDEX(FX_Rates!$B$5:$B$14,MATCH($K82,FX_Rates!$A$5:$A$14,0)),""))</f>
        <v/>
      </c>
      <c r="M82" s="153">
        <f>IF(OR($H82="",$J82=""),"",$H82*$J82)</f>
        <v/>
      </c>
      <c r="N82" s="153">
        <f>IF(OR($M82="",$L82=""),"",$M82*$L82)</f>
        <v/>
      </c>
      <c r="O82" s="149" t="n"/>
      <c r="P82" s="154">
        <f>IF($O82="","",IFERROR(INDEX(Basis_of_Estimate!$C$5:$C$9,MATCH($O82,Basis_of_Estimate!$A$5:$A$9,0)),""))</f>
        <v/>
      </c>
      <c r="Q82" s="154">
        <f>IF($O82="","",IFERROR(INDEX(Basis_of_Estimate!$D$5:$D$9,MATCH($O82,Basis_of_Estimate!$A$5:$A$9,0)),""))</f>
        <v/>
      </c>
      <c r="R82" s="153">
        <f>IF($N82="","",$N82*(1+$P82))</f>
        <v/>
      </c>
      <c r="S82" s="153">
        <f>IF($N82="","",$N82)</f>
        <v/>
      </c>
      <c r="T82" s="153">
        <f>IF($N82="","",$N82*(1+$Q82))</f>
        <v/>
      </c>
      <c r="U82" s="150">
        <f>IF($D82="","",IFERROR(INDEX(WBS_CBS!$M$5:$M$16,MATCH($D82,WBS_CBS!$A$5:$A$16,0)),"Yes"))</f>
        <v/>
      </c>
      <c r="V82" s="150">
        <f>IF($D82="","",IFERROR(INDEX(WBS_CBS!$N$5:$N$16,MATCH($D82,WBS_CBS!$A$5:$A$16,0)),"Yes"))</f>
        <v/>
      </c>
      <c r="W82" s="150">
        <f>IF($D82="","",IFERROR(INDEX(WBS_CBS!$K$5:$K$16,MATCH($D82,WBS_CBS!$A$5:$A$16,0)),""))</f>
        <v/>
      </c>
      <c r="X82" s="150">
        <f>IF($D82="","",IFERROR(INDEX(WBS_CBS!$F$5:$F$16,MATCH($D82,WBS_CBS!$A$5:$A$16,0)),""))</f>
        <v/>
      </c>
      <c r="Y82" s="149" t="n"/>
      <c r="Z82" s="149" t="n"/>
      <c r="AA82" s="150">
        <f>IF($D82="","",IFERROR(INDEX(WBS_CBS!$L$5:$L$16,MATCH($D82,WBS_CBS!$A$5:$A$16,0)),""))</f>
        <v/>
      </c>
      <c r="AB82" s="149" t="n"/>
    </row>
    <row r="83">
      <c r="A83" s="149" t="n"/>
      <c r="B83" s="149" t="n"/>
      <c r="C83" s="150">
        <f>IF($D83="","",IFERROR(INDEX(WBS_CBS!$E$5:$E$16,MATCH($D83,WBS_CBS!$A$5:$A$16,0)),""))</f>
        <v/>
      </c>
      <c r="D83" s="149" t="n"/>
      <c r="E83" s="150">
        <f>IF($D83="","",IFERROR(INDEX(WBS_CBS!$C$5:$C$16,MATCH($D83,WBS_CBS!$A$5:$A$16,0)),""))</f>
        <v/>
      </c>
      <c r="F83" s="150">
        <f>IF($D83="","",IFERROR(INDEX(WBS_CBS!$J$5:$J$16,MATCH($D83,WBS_CBS!$A$5:$A$16,0)),""))</f>
        <v/>
      </c>
      <c r="G83" s="149" t="n"/>
      <c r="H83" s="151" t="n"/>
      <c r="I83" s="149" t="n"/>
      <c r="J83" s="152" t="n"/>
      <c r="K83" s="149" t="n"/>
      <c r="L83" s="153">
        <f>IF($K83="","",IFERROR(INDEX(FX_Rates!$B$5:$B$14,MATCH($K83,FX_Rates!$A$5:$A$14,0)),""))</f>
        <v/>
      </c>
      <c r="M83" s="153">
        <f>IF(OR($H83="",$J83=""),"",$H83*$J83)</f>
        <v/>
      </c>
      <c r="N83" s="153">
        <f>IF(OR($M83="",$L83=""),"",$M83*$L83)</f>
        <v/>
      </c>
      <c r="O83" s="149" t="n"/>
      <c r="P83" s="154">
        <f>IF($O83="","",IFERROR(INDEX(Basis_of_Estimate!$C$5:$C$9,MATCH($O83,Basis_of_Estimate!$A$5:$A$9,0)),""))</f>
        <v/>
      </c>
      <c r="Q83" s="154">
        <f>IF($O83="","",IFERROR(INDEX(Basis_of_Estimate!$D$5:$D$9,MATCH($O83,Basis_of_Estimate!$A$5:$A$9,0)),""))</f>
        <v/>
      </c>
      <c r="R83" s="153">
        <f>IF($N83="","",$N83*(1+$P83))</f>
        <v/>
      </c>
      <c r="S83" s="153">
        <f>IF($N83="","",$N83)</f>
        <v/>
      </c>
      <c r="T83" s="153">
        <f>IF($N83="","",$N83*(1+$Q83))</f>
        <v/>
      </c>
      <c r="U83" s="150">
        <f>IF($D83="","",IFERROR(INDEX(WBS_CBS!$M$5:$M$16,MATCH($D83,WBS_CBS!$A$5:$A$16,0)),"Yes"))</f>
        <v/>
      </c>
      <c r="V83" s="150">
        <f>IF($D83="","",IFERROR(INDEX(WBS_CBS!$N$5:$N$16,MATCH($D83,WBS_CBS!$A$5:$A$16,0)),"Yes"))</f>
        <v/>
      </c>
      <c r="W83" s="150">
        <f>IF($D83="","",IFERROR(INDEX(WBS_CBS!$K$5:$K$16,MATCH($D83,WBS_CBS!$A$5:$A$16,0)),""))</f>
        <v/>
      </c>
      <c r="X83" s="150">
        <f>IF($D83="","",IFERROR(INDEX(WBS_CBS!$F$5:$F$16,MATCH($D83,WBS_CBS!$A$5:$A$16,0)),""))</f>
        <v/>
      </c>
      <c r="Y83" s="149" t="n"/>
      <c r="Z83" s="149" t="n"/>
      <c r="AA83" s="150">
        <f>IF($D83="","",IFERROR(INDEX(WBS_CBS!$L$5:$L$16,MATCH($D83,WBS_CBS!$A$5:$A$16,0)),""))</f>
        <v/>
      </c>
      <c r="AB83" s="149" t="n"/>
    </row>
    <row r="84">
      <c r="A84" s="149" t="n"/>
      <c r="B84" s="149" t="n"/>
      <c r="C84" s="150">
        <f>IF($D84="","",IFERROR(INDEX(WBS_CBS!$E$5:$E$16,MATCH($D84,WBS_CBS!$A$5:$A$16,0)),""))</f>
        <v/>
      </c>
      <c r="D84" s="149" t="n"/>
      <c r="E84" s="150">
        <f>IF($D84="","",IFERROR(INDEX(WBS_CBS!$C$5:$C$16,MATCH($D84,WBS_CBS!$A$5:$A$16,0)),""))</f>
        <v/>
      </c>
      <c r="F84" s="150">
        <f>IF($D84="","",IFERROR(INDEX(WBS_CBS!$J$5:$J$16,MATCH($D84,WBS_CBS!$A$5:$A$16,0)),""))</f>
        <v/>
      </c>
      <c r="G84" s="149" t="n"/>
      <c r="H84" s="151" t="n"/>
      <c r="I84" s="149" t="n"/>
      <c r="J84" s="152" t="n"/>
      <c r="K84" s="149" t="n"/>
      <c r="L84" s="153">
        <f>IF($K84="","",IFERROR(INDEX(FX_Rates!$B$5:$B$14,MATCH($K84,FX_Rates!$A$5:$A$14,0)),""))</f>
        <v/>
      </c>
      <c r="M84" s="153">
        <f>IF(OR($H84="",$J84=""),"",$H84*$J84)</f>
        <v/>
      </c>
      <c r="N84" s="153">
        <f>IF(OR($M84="",$L84=""),"",$M84*$L84)</f>
        <v/>
      </c>
      <c r="O84" s="149" t="n"/>
      <c r="P84" s="154">
        <f>IF($O84="","",IFERROR(INDEX(Basis_of_Estimate!$C$5:$C$9,MATCH($O84,Basis_of_Estimate!$A$5:$A$9,0)),""))</f>
        <v/>
      </c>
      <c r="Q84" s="154">
        <f>IF($O84="","",IFERROR(INDEX(Basis_of_Estimate!$D$5:$D$9,MATCH($O84,Basis_of_Estimate!$A$5:$A$9,0)),""))</f>
        <v/>
      </c>
      <c r="R84" s="153">
        <f>IF($N84="","",$N84*(1+$P84))</f>
        <v/>
      </c>
      <c r="S84" s="153">
        <f>IF($N84="","",$N84)</f>
        <v/>
      </c>
      <c r="T84" s="153">
        <f>IF($N84="","",$N84*(1+$Q84))</f>
        <v/>
      </c>
      <c r="U84" s="150">
        <f>IF($D84="","",IFERROR(INDEX(WBS_CBS!$M$5:$M$16,MATCH($D84,WBS_CBS!$A$5:$A$16,0)),"Yes"))</f>
        <v/>
      </c>
      <c r="V84" s="150">
        <f>IF($D84="","",IFERROR(INDEX(WBS_CBS!$N$5:$N$16,MATCH($D84,WBS_CBS!$A$5:$A$16,0)),"Yes"))</f>
        <v/>
      </c>
      <c r="W84" s="150">
        <f>IF($D84="","",IFERROR(INDEX(WBS_CBS!$K$5:$K$16,MATCH($D84,WBS_CBS!$A$5:$A$16,0)),""))</f>
        <v/>
      </c>
      <c r="X84" s="150">
        <f>IF($D84="","",IFERROR(INDEX(WBS_CBS!$F$5:$F$16,MATCH($D84,WBS_CBS!$A$5:$A$16,0)),""))</f>
        <v/>
      </c>
      <c r="Y84" s="149" t="n"/>
      <c r="Z84" s="149" t="n"/>
      <c r="AA84" s="150">
        <f>IF($D84="","",IFERROR(INDEX(WBS_CBS!$L$5:$L$16,MATCH($D84,WBS_CBS!$A$5:$A$16,0)),""))</f>
        <v/>
      </c>
      <c r="AB84" s="149" t="n"/>
    </row>
    <row r="85">
      <c r="A85" s="149" t="n"/>
      <c r="B85" s="149" t="n"/>
      <c r="C85" s="150">
        <f>IF($D85="","",IFERROR(INDEX(WBS_CBS!$E$5:$E$16,MATCH($D85,WBS_CBS!$A$5:$A$16,0)),""))</f>
        <v/>
      </c>
      <c r="D85" s="149" t="n"/>
      <c r="E85" s="150">
        <f>IF($D85="","",IFERROR(INDEX(WBS_CBS!$C$5:$C$16,MATCH($D85,WBS_CBS!$A$5:$A$16,0)),""))</f>
        <v/>
      </c>
      <c r="F85" s="150">
        <f>IF($D85="","",IFERROR(INDEX(WBS_CBS!$J$5:$J$16,MATCH($D85,WBS_CBS!$A$5:$A$16,0)),""))</f>
        <v/>
      </c>
      <c r="G85" s="149" t="n"/>
      <c r="H85" s="151" t="n"/>
      <c r="I85" s="149" t="n"/>
      <c r="J85" s="152" t="n"/>
      <c r="K85" s="149" t="n"/>
      <c r="L85" s="153">
        <f>IF($K85="","",IFERROR(INDEX(FX_Rates!$B$5:$B$14,MATCH($K85,FX_Rates!$A$5:$A$14,0)),""))</f>
        <v/>
      </c>
      <c r="M85" s="153">
        <f>IF(OR($H85="",$J85=""),"",$H85*$J85)</f>
        <v/>
      </c>
      <c r="N85" s="153">
        <f>IF(OR($M85="",$L85=""),"",$M85*$L85)</f>
        <v/>
      </c>
      <c r="O85" s="149" t="n"/>
      <c r="P85" s="154">
        <f>IF($O85="","",IFERROR(INDEX(Basis_of_Estimate!$C$5:$C$9,MATCH($O85,Basis_of_Estimate!$A$5:$A$9,0)),""))</f>
        <v/>
      </c>
      <c r="Q85" s="154">
        <f>IF($O85="","",IFERROR(INDEX(Basis_of_Estimate!$D$5:$D$9,MATCH($O85,Basis_of_Estimate!$A$5:$A$9,0)),""))</f>
        <v/>
      </c>
      <c r="R85" s="153">
        <f>IF($N85="","",$N85*(1+$P85))</f>
        <v/>
      </c>
      <c r="S85" s="153">
        <f>IF($N85="","",$N85)</f>
        <v/>
      </c>
      <c r="T85" s="153">
        <f>IF($N85="","",$N85*(1+$Q85))</f>
        <v/>
      </c>
      <c r="U85" s="150">
        <f>IF($D85="","",IFERROR(INDEX(WBS_CBS!$M$5:$M$16,MATCH($D85,WBS_CBS!$A$5:$A$16,0)),"Yes"))</f>
        <v/>
      </c>
      <c r="V85" s="150">
        <f>IF($D85="","",IFERROR(INDEX(WBS_CBS!$N$5:$N$16,MATCH($D85,WBS_CBS!$A$5:$A$16,0)),"Yes"))</f>
        <v/>
      </c>
      <c r="W85" s="150">
        <f>IF($D85="","",IFERROR(INDEX(WBS_CBS!$K$5:$K$16,MATCH($D85,WBS_CBS!$A$5:$A$16,0)),""))</f>
        <v/>
      </c>
      <c r="X85" s="150">
        <f>IF($D85="","",IFERROR(INDEX(WBS_CBS!$F$5:$F$16,MATCH($D85,WBS_CBS!$A$5:$A$16,0)),""))</f>
        <v/>
      </c>
      <c r="Y85" s="149" t="n"/>
      <c r="Z85" s="149" t="n"/>
      <c r="AA85" s="150">
        <f>IF($D85="","",IFERROR(INDEX(WBS_CBS!$L$5:$L$16,MATCH($D85,WBS_CBS!$A$5:$A$16,0)),""))</f>
        <v/>
      </c>
      <c r="AB85" s="149" t="n"/>
    </row>
    <row r="86">
      <c r="A86" s="149" t="n"/>
      <c r="B86" s="149" t="n"/>
      <c r="C86" s="150">
        <f>IF($D86="","",IFERROR(INDEX(WBS_CBS!$E$5:$E$16,MATCH($D86,WBS_CBS!$A$5:$A$16,0)),""))</f>
        <v/>
      </c>
      <c r="D86" s="149" t="n"/>
      <c r="E86" s="150">
        <f>IF($D86="","",IFERROR(INDEX(WBS_CBS!$C$5:$C$16,MATCH($D86,WBS_CBS!$A$5:$A$16,0)),""))</f>
        <v/>
      </c>
      <c r="F86" s="150">
        <f>IF($D86="","",IFERROR(INDEX(WBS_CBS!$J$5:$J$16,MATCH($D86,WBS_CBS!$A$5:$A$16,0)),""))</f>
        <v/>
      </c>
      <c r="G86" s="149" t="n"/>
      <c r="H86" s="151" t="n"/>
      <c r="I86" s="149" t="n"/>
      <c r="J86" s="152" t="n"/>
      <c r="K86" s="149" t="n"/>
      <c r="L86" s="153">
        <f>IF($K86="","",IFERROR(INDEX(FX_Rates!$B$5:$B$14,MATCH($K86,FX_Rates!$A$5:$A$14,0)),""))</f>
        <v/>
      </c>
      <c r="M86" s="153">
        <f>IF(OR($H86="",$J86=""),"",$H86*$J86)</f>
        <v/>
      </c>
      <c r="N86" s="153">
        <f>IF(OR($M86="",$L86=""),"",$M86*$L86)</f>
        <v/>
      </c>
      <c r="O86" s="149" t="n"/>
      <c r="P86" s="154">
        <f>IF($O86="","",IFERROR(INDEX(Basis_of_Estimate!$C$5:$C$9,MATCH($O86,Basis_of_Estimate!$A$5:$A$9,0)),""))</f>
        <v/>
      </c>
      <c r="Q86" s="154">
        <f>IF($O86="","",IFERROR(INDEX(Basis_of_Estimate!$D$5:$D$9,MATCH($O86,Basis_of_Estimate!$A$5:$A$9,0)),""))</f>
        <v/>
      </c>
      <c r="R86" s="153">
        <f>IF($N86="","",$N86*(1+$P86))</f>
        <v/>
      </c>
      <c r="S86" s="153">
        <f>IF($N86="","",$N86)</f>
        <v/>
      </c>
      <c r="T86" s="153">
        <f>IF($N86="","",$N86*(1+$Q86))</f>
        <v/>
      </c>
      <c r="U86" s="150">
        <f>IF($D86="","",IFERROR(INDEX(WBS_CBS!$M$5:$M$16,MATCH($D86,WBS_CBS!$A$5:$A$16,0)),"Yes"))</f>
        <v/>
      </c>
      <c r="V86" s="150">
        <f>IF($D86="","",IFERROR(INDEX(WBS_CBS!$N$5:$N$16,MATCH($D86,WBS_CBS!$A$5:$A$16,0)),"Yes"))</f>
        <v/>
      </c>
      <c r="W86" s="150">
        <f>IF($D86="","",IFERROR(INDEX(WBS_CBS!$K$5:$K$16,MATCH($D86,WBS_CBS!$A$5:$A$16,0)),""))</f>
        <v/>
      </c>
      <c r="X86" s="150">
        <f>IF($D86="","",IFERROR(INDEX(WBS_CBS!$F$5:$F$16,MATCH($D86,WBS_CBS!$A$5:$A$16,0)),""))</f>
        <v/>
      </c>
      <c r="Y86" s="149" t="n"/>
      <c r="Z86" s="149" t="n"/>
      <c r="AA86" s="150">
        <f>IF($D86="","",IFERROR(INDEX(WBS_CBS!$L$5:$L$16,MATCH($D86,WBS_CBS!$A$5:$A$16,0)),""))</f>
        <v/>
      </c>
      <c r="AB86" s="149" t="n"/>
    </row>
    <row r="87">
      <c r="A87" s="149" t="n"/>
      <c r="B87" s="149" t="n"/>
      <c r="C87" s="150">
        <f>IF($D87="","",IFERROR(INDEX(WBS_CBS!$E$5:$E$16,MATCH($D87,WBS_CBS!$A$5:$A$16,0)),""))</f>
        <v/>
      </c>
      <c r="D87" s="149" t="n"/>
      <c r="E87" s="150">
        <f>IF($D87="","",IFERROR(INDEX(WBS_CBS!$C$5:$C$16,MATCH($D87,WBS_CBS!$A$5:$A$16,0)),""))</f>
        <v/>
      </c>
      <c r="F87" s="150">
        <f>IF($D87="","",IFERROR(INDEX(WBS_CBS!$J$5:$J$16,MATCH($D87,WBS_CBS!$A$5:$A$16,0)),""))</f>
        <v/>
      </c>
      <c r="G87" s="149" t="n"/>
      <c r="H87" s="151" t="n"/>
      <c r="I87" s="149" t="n"/>
      <c r="J87" s="152" t="n"/>
      <c r="K87" s="149" t="n"/>
      <c r="L87" s="153">
        <f>IF($K87="","",IFERROR(INDEX(FX_Rates!$B$5:$B$14,MATCH($K87,FX_Rates!$A$5:$A$14,0)),""))</f>
        <v/>
      </c>
      <c r="M87" s="153">
        <f>IF(OR($H87="",$J87=""),"",$H87*$J87)</f>
        <v/>
      </c>
      <c r="N87" s="153">
        <f>IF(OR($M87="",$L87=""),"",$M87*$L87)</f>
        <v/>
      </c>
      <c r="O87" s="149" t="n"/>
      <c r="P87" s="154">
        <f>IF($O87="","",IFERROR(INDEX(Basis_of_Estimate!$C$5:$C$9,MATCH($O87,Basis_of_Estimate!$A$5:$A$9,0)),""))</f>
        <v/>
      </c>
      <c r="Q87" s="154">
        <f>IF($O87="","",IFERROR(INDEX(Basis_of_Estimate!$D$5:$D$9,MATCH($O87,Basis_of_Estimate!$A$5:$A$9,0)),""))</f>
        <v/>
      </c>
      <c r="R87" s="153">
        <f>IF($N87="","",$N87*(1+$P87))</f>
        <v/>
      </c>
      <c r="S87" s="153">
        <f>IF($N87="","",$N87)</f>
        <v/>
      </c>
      <c r="T87" s="153">
        <f>IF($N87="","",$N87*(1+$Q87))</f>
        <v/>
      </c>
      <c r="U87" s="150">
        <f>IF($D87="","",IFERROR(INDEX(WBS_CBS!$M$5:$M$16,MATCH($D87,WBS_CBS!$A$5:$A$16,0)),"Yes"))</f>
        <v/>
      </c>
      <c r="V87" s="150">
        <f>IF($D87="","",IFERROR(INDEX(WBS_CBS!$N$5:$N$16,MATCH($D87,WBS_CBS!$A$5:$A$16,0)),"Yes"))</f>
        <v/>
      </c>
      <c r="W87" s="150">
        <f>IF($D87="","",IFERROR(INDEX(WBS_CBS!$K$5:$K$16,MATCH($D87,WBS_CBS!$A$5:$A$16,0)),""))</f>
        <v/>
      </c>
      <c r="X87" s="150">
        <f>IF($D87="","",IFERROR(INDEX(WBS_CBS!$F$5:$F$16,MATCH($D87,WBS_CBS!$A$5:$A$16,0)),""))</f>
        <v/>
      </c>
      <c r="Y87" s="149" t="n"/>
      <c r="Z87" s="149" t="n"/>
      <c r="AA87" s="150">
        <f>IF($D87="","",IFERROR(INDEX(WBS_CBS!$L$5:$L$16,MATCH($D87,WBS_CBS!$A$5:$A$16,0)),""))</f>
        <v/>
      </c>
      <c r="AB87" s="149" t="n"/>
    </row>
    <row r="88">
      <c r="A88" s="149" t="n"/>
      <c r="B88" s="149" t="n"/>
      <c r="C88" s="150">
        <f>IF($D88="","",IFERROR(INDEX(WBS_CBS!$E$5:$E$16,MATCH($D88,WBS_CBS!$A$5:$A$16,0)),""))</f>
        <v/>
      </c>
      <c r="D88" s="149" t="n"/>
      <c r="E88" s="150">
        <f>IF($D88="","",IFERROR(INDEX(WBS_CBS!$C$5:$C$16,MATCH($D88,WBS_CBS!$A$5:$A$16,0)),""))</f>
        <v/>
      </c>
      <c r="F88" s="150">
        <f>IF($D88="","",IFERROR(INDEX(WBS_CBS!$J$5:$J$16,MATCH($D88,WBS_CBS!$A$5:$A$16,0)),""))</f>
        <v/>
      </c>
      <c r="G88" s="149" t="n"/>
      <c r="H88" s="151" t="n"/>
      <c r="I88" s="149" t="n"/>
      <c r="J88" s="152" t="n"/>
      <c r="K88" s="149" t="n"/>
      <c r="L88" s="153">
        <f>IF($K88="","",IFERROR(INDEX(FX_Rates!$B$5:$B$14,MATCH($K88,FX_Rates!$A$5:$A$14,0)),""))</f>
        <v/>
      </c>
      <c r="M88" s="153">
        <f>IF(OR($H88="",$J88=""),"",$H88*$J88)</f>
        <v/>
      </c>
      <c r="N88" s="153">
        <f>IF(OR($M88="",$L88=""),"",$M88*$L88)</f>
        <v/>
      </c>
      <c r="O88" s="149" t="n"/>
      <c r="P88" s="154">
        <f>IF($O88="","",IFERROR(INDEX(Basis_of_Estimate!$C$5:$C$9,MATCH($O88,Basis_of_Estimate!$A$5:$A$9,0)),""))</f>
        <v/>
      </c>
      <c r="Q88" s="154">
        <f>IF($O88="","",IFERROR(INDEX(Basis_of_Estimate!$D$5:$D$9,MATCH($O88,Basis_of_Estimate!$A$5:$A$9,0)),""))</f>
        <v/>
      </c>
      <c r="R88" s="153">
        <f>IF($N88="","",$N88*(1+$P88))</f>
        <v/>
      </c>
      <c r="S88" s="153">
        <f>IF($N88="","",$N88)</f>
        <v/>
      </c>
      <c r="T88" s="153">
        <f>IF($N88="","",$N88*(1+$Q88))</f>
        <v/>
      </c>
      <c r="U88" s="150">
        <f>IF($D88="","",IFERROR(INDEX(WBS_CBS!$M$5:$M$16,MATCH($D88,WBS_CBS!$A$5:$A$16,0)),"Yes"))</f>
        <v/>
      </c>
      <c r="V88" s="150">
        <f>IF($D88="","",IFERROR(INDEX(WBS_CBS!$N$5:$N$16,MATCH($D88,WBS_CBS!$A$5:$A$16,0)),"Yes"))</f>
        <v/>
      </c>
      <c r="W88" s="150">
        <f>IF($D88="","",IFERROR(INDEX(WBS_CBS!$K$5:$K$16,MATCH($D88,WBS_CBS!$A$5:$A$16,0)),""))</f>
        <v/>
      </c>
      <c r="X88" s="150">
        <f>IF($D88="","",IFERROR(INDEX(WBS_CBS!$F$5:$F$16,MATCH($D88,WBS_CBS!$A$5:$A$16,0)),""))</f>
        <v/>
      </c>
      <c r="Y88" s="149" t="n"/>
      <c r="Z88" s="149" t="n"/>
      <c r="AA88" s="150">
        <f>IF($D88="","",IFERROR(INDEX(WBS_CBS!$L$5:$L$16,MATCH($D88,WBS_CBS!$A$5:$A$16,0)),""))</f>
        <v/>
      </c>
      <c r="AB88" s="149" t="n"/>
    </row>
    <row r="89">
      <c r="A89" s="149" t="n"/>
      <c r="B89" s="149" t="n"/>
      <c r="C89" s="150">
        <f>IF($D89="","",IFERROR(INDEX(WBS_CBS!$E$5:$E$16,MATCH($D89,WBS_CBS!$A$5:$A$16,0)),""))</f>
        <v/>
      </c>
      <c r="D89" s="149" t="n"/>
      <c r="E89" s="150">
        <f>IF($D89="","",IFERROR(INDEX(WBS_CBS!$C$5:$C$16,MATCH($D89,WBS_CBS!$A$5:$A$16,0)),""))</f>
        <v/>
      </c>
      <c r="F89" s="150">
        <f>IF($D89="","",IFERROR(INDEX(WBS_CBS!$J$5:$J$16,MATCH($D89,WBS_CBS!$A$5:$A$16,0)),""))</f>
        <v/>
      </c>
      <c r="G89" s="149" t="n"/>
      <c r="H89" s="151" t="n"/>
      <c r="I89" s="149" t="n"/>
      <c r="J89" s="152" t="n"/>
      <c r="K89" s="149" t="n"/>
      <c r="L89" s="153">
        <f>IF($K89="","",IFERROR(INDEX(FX_Rates!$B$5:$B$14,MATCH($K89,FX_Rates!$A$5:$A$14,0)),""))</f>
        <v/>
      </c>
      <c r="M89" s="153">
        <f>IF(OR($H89="",$J89=""),"",$H89*$J89)</f>
        <v/>
      </c>
      <c r="N89" s="153">
        <f>IF(OR($M89="",$L89=""),"",$M89*$L89)</f>
        <v/>
      </c>
      <c r="O89" s="149" t="n"/>
      <c r="P89" s="154">
        <f>IF($O89="","",IFERROR(INDEX(Basis_of_Estimate!$C$5:$C$9,MATCH($O89,Basis_of_Estimate!$A$5:$A$9,0)),""))</f>
        <v/>
      </c>
      <c r="Q89" s="154">
        <f>IF($O89="","",IFERROR(INDEX(Basis_of_Estimate!$D$5:$D$9,MATCH($O89,Basis_of_Estimate!$A$5:$A$9,0)),""))</f>
        <v/>
      </c>
      <c r="R89" s="153">
        <f>IF($N89="","",$N89*(1+$P89))</f>
        <v/>
      </c>
      <c r="S89" s="153">
        <f>IF($N89="","",$N89)</f>
        <v/>
      </c>
      <c r="T89" s="153">
        <f>IF($N89="","",$N89*(1+$Q89))</f>
        <v/>
      </c>
      <c r="U89" s="150">
        <f>IF($D89="","",IFERROR(INDEX(WBS_CBS!$M$5:$M$16,MATCH($D89,WBS_CBS!$A$5:$A$16,0)),"Yes"))</f>
        <v/>
      </c>
      <c r="V89" s="150">
        <f>IF($D89="","",IFERROR(INDEX(WBS_CBS!$N$5:$N$16,MATCH($D89,WBS_CBS!$A$5:$A$16,0)),"Yes"))</f>
        <v/>
      </c>
      <c r="W89" s="150">
        <f>IF($D89="","",IFERROR(INDEX(WBS_CBS!$K$5:$K$16,MATCH($D89,WBS_CBS!$A$5:$A$16,0)),""))</f>
        <v/>
      </c>
      <c r="X89" s="150">
        <f>IF($D89="","",IFERROR(INDEX(WBS_CBS!$F$5:$F$16,MATCH($D89,WBS_CBS!$A$5:$A$16,0)),""))</f>
        <v/>
      </c>
      <c r="Y89" s="149" t="n"/>
      <c r="Z89" s="149" t="n"/>
      <c r="AA89" s="150">
        <f>IF($D89="","",IFERROR(INDEX(WBS_CBS!$L$5:$L$16,MATCH($D89,WBS_CBS!$A$5:$A$16,0)),""))</f>
        <v/>
      </c>
      <c r="AB89" s="149" t="n"/>
    </row>
    <row r="90">
      <c r="A90" s="149" t="n"/>
      <c r="B90" s="149" t="n"/>
      <c r="C90" s="150">
        <f>IF($D90="","",IFERROR(INDEX(WBS_CBS!$E$5:$E$16,MATCH($D90,WBS_CBS!$A$5:$A$16,0)),""))</f>
        <v/>
      </c>
      <c r="D90" s="149" t="n"/>
      <c r="E90" s="150">
        <f>IF($D90="","",IFERROR(INDEX(WBS_CBS!$C$5:$C$16,MATCH($D90,WBS_CBS!$A$5:$A$16,0)),""))</f>
        <v/>
      </c>
      <c r="F90" s="150">
        <f>IF($D90="","",IFERROR(INDEX(WBS_CBS!$J$5:$J$16,MATCH($D90,WBS_CBS!$A$5:$A$16,0)),""))</f>
        <v/>
      </c>
      <c r="G90" s="149" t="n"/>
      <c r="H90" s="151" t="n"/>
      <c r="I90" s="149" t="n"/>
      <c r="J90" s="152" t="n"/>
      <c r="K90" s="149" t="n"/>
      <c r="L90" s="153">
        <f>IF($K90="","",IFERROR(INDEX(FX_Rates!$B$5:$B$14,MATCH($K90,FX_Rates!$A$5:$A$14,0)),""))</f>
        <v/>
      </c>
      <c r="M90" s="153">
        <f>IF(OR($H90="",$J90=""),"",$H90*$J90)</f>
        <v/>
      </c>
      <c r="N90" s="153">
        <f>IF(OR($M90="",$L90=""),"",$M90*$L90)</f>
        <v/>
      </c>
      <c r="O90" s="149" t="n"/>
      <c r="P90" s="154">
        <f>IF($O90="","",IFERROR(INDEX(Basis_of_Estimate!$C$5:$C$9,MATCH($O90,Basis_of_Estimate!$A$5:$A$9,0)),""))</f>
        <v/>
      </c>
      <c r="Q90" s="154">
        <f>IF($O90="","",IFERROR(INDEX(Basis_of_Estimate!$D$5:$D$9,MATCH($O90,Basis_of_Estimate!$A$5:$A$9,0)),""))</f>
        <v/>
      </c>
      <c r="R90" s="153">
        <f>IF($N90="","",$N90*(1+$P90))</f>
        <v/>
      </c>
      <c r="S90" s="153">
        <f>IF($N90="","",$N90)</f>
        <v/>
      </c>
      <c r="T90" s="153">
        <f>IF($N90="","",$N90*(1+$Q90))</f>
        <v/>
      </c>
      <c r="U90" s="150">
        <f>IF($D90="","",IFERROR(INDEX(WBS_CBS!$M$5:$M$16,MATCH($D90,WBS_CBS!$A$5:$A$16,0)),"Yes"))</f>
        <v/>
      </c>
      <c r="V90" s="150">
        <f>IF($D90="","",IFERROR(INDEX(WBS_CBS!$N$5:$N$16,MATCH($D90,WBS_CBS!$A$5:$A$16,0)),"Yes"))</f>
        <v/>
      </c>
      <c r="W90" s="150">
        <f>IF($D90="","",IFERROR(INDEX(WBS_CBS!$K$5:$K$16,MATCH($D90,WBS_CBS!$A$5:$A$16,0)),""))</f>
        <v/>
      </c>
      <c r="X90" s="150">
        <f>IF($D90="","",IFERROR(INDEX(WBS_CBS!$F$5:$F$16,MATCH($D90,WBS_CBS!$A$5:$A$16,0)),""))</f>
        <v/>
      </c>
      <c r="Y90" s="149" t="n"/>
      <c r="Z90" s="149" t="n"/>
      <c r="AA90" s="150">
        <f>IF($D90="","",IFERROR(INDEX(WBS_CBS!$L$5:$L$16,MATCH($D90,WBS_CBS!$A$5:$A$16,0)),""))</f>
        <v/>
      </c>
      <c r="AB90" s="149" t="n"/>
    </row>
    <row r="91">
      <c r="A91" s="149" t="n"/>
      <c r="B91" s="149" t="n"/>
      <c r="C91" s="150">
        <f>IF($D91="","",IFERROR(INDEX(WBS_CBS!$E$5:$E$16,MATCH($D91,WBS_CBS!$A$5:$A$16,0)),""))</f>
        <v/>
      </c>
      <c r="D91" s="149" t="n"/>
      <c r="E91" s="150">
        <f>IF($D91="","",IFERROR(INDEX(WBS_CBS!$C$5:$C$16,MATCH($D91,WBS_CBS!$A$5:$A$16,0)),""))</f>
        <v/>
      </c>
      <c r="F91" s="150">
        <f>IF($D91="","",IFERROR(INDEX(WBS_CBS!$J$5:$J$16,MATCH($D91,WBS_CBS!$A$5:$A$16,0)),""))</f>
        <v/>
      </c>
      <c r="G91" s="149" t="n"/>
      <c r="H91" s="151" t="n"/>
      <c r="I91" s="149" t="n"/>
      <c r="J91" s="152" t="n"/>
      <c r="K91" s="149" t="n"/>
      <c r="L91" s="153">
        <f>IF($K91="","",IFERROR(INDEX(FX_Rates!$B$5:$B$14,MATCH($K91,FX_Rates!$A$5:$A$14,0)),""))</f>
        <v/>
      </c>
      <c r="M91" s="153">
        <f>IF(OR($H91="",$J91=""),"",$H91*$J91)</f>
        <v/>
      </c>
      <c r="N91" s="153">
        <f>IF(OR($M91="",$L91=""),"",$M91*$L91)</f>
        <v/>
      </c>
      <c r="O91" s="149" t="n"/>
      <c r="P91" s="154">
        <f>IF($O91="","",IFERROR(INDEX(Basis_of_Estimate!$C$5:$C$9,MATCH($O91,Basis_of_Estimate!$A$5:$A$9,0)),""))</f>
        <v/>
      </c>
      <c r="Q91" s="154">
        <f>IF($O91="","",IFERROR(INDEX(Basis_of_Estimate!$D$5:$D$9,MATCH($O91,Basis_of_Estimate!$A$5:$A$9,0)),""))</f>
        <v/>
      </c>
      <c r="R91" s="153">
        <f>IF($N91="","",$N91*(1+$P91))</f>
        <v/>
      </c>
      <c r="S91" s="153">
        <f>IF($N91="","",$N91)</f>
        <v/>
      </c>
      <c r="T91" s="153">
        <f>IF($N91="","",$N91*(1+$Q91))</f>
        <v/>
      </c>
      <c r="U91" s="150">
        <f>IF($D91="","",IFERROR(INDEX(WBS_CBS!$M$5:$M$16,MATCH($D91,WBS_CBS!$A$5:$A$16,0)),"Yes"))</f>
        <v/>
      </c>
      <c r="V91" s="150">
        <f>IF($D91="","",IFERROR(INDEX(WBS_CBS!$N$5:$N$16,MATCH($D91,WBS_CBS!$A$5:$A$16,0)),"Yes"))</f>
        <v/>
      </c>
      <c r="W91" s="150">
        <f>IF($D91="","",IFERROR(INDEX(WBS_CBS!$K$5:$K$16,MATCH($D91,WBS_CBS!$A$5:$A$16,0)),""))</f>
        <v/>
      </c>
      <c r="X91" s="150">
        <f>IF($D91="","",IFERROR(INDEX(WBS_CBS!$F$5:$F$16,MATCH($D91,WBS_CBS!$A$5:$A$16,0)),""))</f>
        <v/>
      </c>
      <c r="Y91" s="149" t="n"/>
      <c r="Z91" s="149" t="n"/>
      <c r="AA91" s="150">
        <f>IF($D91="","",IFERROR(INDEX(WBS_CBS!$L$5:$L$16,MATCH($D91,WBS_CBS!$A$5:$A$16,0)),""))</f>
        <v/>
      </c>
      <c r="AB91" s="149" t="n"/>
    </row>
    <row r="92">
      <c r="A92" s="149" t="n"/>
      <c r="B92" s="149" t="n"/>
      <c r="C92" s="150">
        <f>IF($D92="","",IFERROR(INDEX(WBS_CBS!$E$5:$E$16,MATCH($D92,WBS_CBS!$A$5:$A$16,0)),""))</f>
        <v/>
      </c>
      <c r="D92" s="149" t="n"/>
      <c r="E92" s="150">
        <f>IF($D92="","",IFERROR(INDEX(WBS_CBS!$C$5:$C$16,MATCH($D92,WBS_CBS!$A$5:$A$16,0)),""))</f>
        <v/>
      </c>
      <c r="F92" s="150">
        <f>IF($D92="","",IFERROR(INDEX(WBS_CBS!$J$5:$J$16,MATCH($D92,WBS_CBS!$A$5:$A$16,0)),""))</f>
        <v/>
      </c>
      <c r="G92" s="149" t="n"/>
      <c r="H92" s="151" t="n"/>
      <c r="I92" s="149" t="n"/>
      <c r="J92" s="152" t="n"/>
      <c r="K92" s="149" t="n"/>
      <c r="L92" s="153">
        <f>IF($K92="","",IFERROR(INDEX(FX_Rates!$B$5:$B$14,MATCH($K92,FX_Rates!$A$5:$A$14,0)),""))</f>
        <v/>
      </c>
      <c r="M92" s="153">
        <f>IF(OR($H92="",$J92=""),"",$H92*$J92)</f>
        <v/>
      </c>
      <c r="N92" s="153">
        <f>IF(OR($M92="",$L92=""),"",$M92*$L92)</f>
        <v/>
      </c>
      <c r="O92" s="149" t="n"/>
      <c r="P92" s="154">
        <f>IF($O92="","",IFERROR(INDEX(Basis_of_Estimate!$C$5:$C$9,MATCH($O92,Basis_of_Estimate!$A$5:$A$9,0)),""))</f>
        <v/>
      </c>
      <c r="Q92" s="154">
        <f>IF($O92="","",IFERROR(INDEX(Basis_of_Estimate!$D$5:$D$9,MATCH($O92,Basis_of_Estimate!$A$5:$A$9,0)),""))</f>
        <v/>
      </c>
      <c r="R92" s="153">
        <f>IF($N92="","",$N92*(1+$P92))</f>
        <v/>
      </c>
      <c r="S92" s="153">
        <f>IF($N92="","",$N92)</f>
        <v/>
      </c>
      <c r="T92" s="153">
        <f>IF($N92="","",$N92*(1+$Q92))</f>
        <v/>
      </c>
      <c r="U92" s="150">
        <f>IF($D92="","",IFERROR(INDEX(WBS_CBS!$M$5:$M$16,MATCH($D92,WBS_CBS!$A$5:$A$16,0)),"Yes"))</f>
        <v/>
      </c>
      <c r="V92" s="150">
        <f>IF($D92="","",IFERROR(INDEX(WBS_CBS!$N$5:$N$16,MATCH($D92,WBS_CBS!$A$5:$A$16,0)),"Yes"))</f>
        <v/>
      </c>
      <c r="W92" s="150">
        <f>IF($D92="","",IFERROR(INDEX(WBS_CBS!$K$5:$K$16,MATCH($D92,WBS_CBS!$A$5:$A$16,0)),""))</f>
        <v/>
      </c>
      <c r="X92" s="150">
        <f>IF($D92="","",IFERROR(INDEX(WBS_CBS!$F$5:$F$16,MATCH($D92,WBS_CBS!$A$5:$A$16,0)),""))</f>
        <v/>
      </c>
      <c r="Y92" s="149" t="n"/>
      <c r="Z92" s="149" t="n"/>
      <c r="AA92" s="150">
        <f>IF($D92="","",IFERROR(INDEX(WBS_CBS!$L$5:$L$16,MATCH($D92,WBS_CBS!$A$5:$A$16,0)),""))</f>
        <v/>
      </c>
      <c r="AB92" s="149" t="n"/>
    </row>
    <row r="93">
      <c r="A93" s="149" t="n"/>
      <c r="B93" s="149" t="n"/>
      <c r="C93" s="150">
        <f>IF($D93="","",IFERROR(INDEX(WBS_CBS!$E$5:$E$16,MATCH($D93,WBS_CBS!$A$5:$A$16,0)),""))</f>
        <v/>
      </c>
      <c r="D93" s="149" t="n"/>
      <c r="E93" s="150">
        <f>IF($D93="","",IFERROR(INDEX(WBS_CBS!$C$5:$C$16,MATCH($D93,WBS_CBS!$A$5:$A$16,0)),""))</f>
        <v/>
      </c>
      <c r="F93" s="150">
        <f>IF($D93="","",IFERROR(INDEX(WBS_CBS!$J$5:$J$16,MATCH($D93,WBS_CBS!$A$5:$A$16,0)),""))</f>
        <v/>
      </c>
      <c r="G93" s="149" t="n"/>
      <c r="H93" s="151" t="n"/>
      <c r="I93" s="149" t="n"/>
      <c r="J93" s="152" t="n"/>
      <c r="K93" s="149" t="n"/>
      <c r="L93" s="153">
        <f>IF($K93="","",IFERROR(INDEX(FX_Rates!$B$5:$B$14,MATCH($K93,FX_Rates!$A$5:$A$14,0)),""))</f>
        <v/>
      </c>
      <c r="M93" s="153">
        <f>IF(OR($H93="",$J93=""),"",$H93*$J93)</f>
        <v/>
      </c>
      <c r="N93" s="153">
        <f>IF(OR($M93="",$L93=""),"",$M93*$L93)</f>
        <v/>
      </c>
      <c r="O93" s="149" t="n"/>
      <c r="P93" s="154">
        <f>IF($O93="","",IFERROR(INDEX(Basis_of_Estimate!$C$5:$C$9,MATCH($O93,Basis_of_Estimate!$A$5:$A$9,0)),""))</f>
        <v/>
      </c>
      <c r="Q93" s="154">
        <f>IF($O93="","",IFERROR(INDEX(Basis_of_Estimate!$D$5:$D$9,MATCH($O93,Basis_of_Estimate!$A$5:$A$9,0)),""))</f>
        <v/>
      </c>
      <c r="R93" s="153">
        <f>IF($N93="","",$N93*(1+$P93))</f>
        <v/>
      </c>
      <c r="S93" s="153">
        <f>IF($N93="","",$N93)</f>
        <v/>
      </c>
      <c r="T93" s="153">
        <f>IF($N93="","",$N93*(1+$Q93))</f>
        <v/>
      </c>
      <c r="U93" s="150">
        <f>IF($D93="","",IFERROR(INDEX(WBS_CBS!$M$5:$M$16,MATCH($D93,WBS_CBS!$A$5:$A$16,0)),"Yes"))</f>
        <v/>
      </c>
      <c r="V93" s="150">
        <f>IF($D93="","",IFERROR(INDEX(WBS_CBS!$N$5:$N$16,MATCH($D93,WBS_CBS!$A$5:$A$16,0)),"Yes"))</f>
        <v/>
      </c>
      <c r="W93" s="150">
        <f>IF($D93="","",IFERROR(INDEX(WBS_CBS!$K$5:$K$16,MATCH($D93,WBS_CBS!$A$5:$A$16,0)),""))</f>
        <v/>
      </c>
      <c r="X93" s="150">
        <f>IF($D93="","",IFERROR(INDEX(WBS_CBS!$F$5:$F$16,MATCH($D93,WBS_CBS!$A$5:$A$16,0)),""))</f>
        <v/>
      </c>
      <c r="Y93" s="149" t="n"/>
      <c r="Z93" s="149" t="n"/>
      <c r="AA93" s="150">
        <f>IF($D93="","",IFERROR(INDEX(WBS_CBS!$L$5:$L$16,MATCH($D93,WBS_CBS!$A$5:$A$16,0)),""))</f>
        <v/>
      </c>
      <c r="AB93" s="149" t="n"/>
    </row>
    <row r="94">
      <c r="A94" s="149" t="n"/>
      <c r="B94" s="149" t="n"/>
      <c r="C94" s="150">
        <f>IF($D94="","",IFERROR(INDEX(WBS_CBS!$E$5:$E$16,MATCH($D94,WBS_CBS!$A$5:$A$16,0)),""))</f>
        <v/>
      </c>
      <c r="D94" s="149" t="n"/>
      <c r="E94" s="150">
        <f>IF($D94="","",IFERROR(INDEX(WBS_CBS!$C$5:$C$16,MATCH($D94,WBS_CBS!$A$5:$A$16,0)),""))</f>
        <v/>
      </c>
      <c r="F94" s="150">
        <f>IF($D94="","",IFERROR(INDEX(WBS_CBS!$J$5:$J$16,MATCH($D94,WBS_CBS!$A$5:$A$16,0)),""))</f>
        <v/>
      </c>
      <c r="G94" s="149" t="n"/>
      <c r="H94" s="151" t="n"/>
      <c r="I94" s="149" t="n"/>
      <c r="J94" s="152" t="n"/>
      <c r="K94" s="149" t="n"/>
      <c r="L94" s="153">
        <f>IF($K94="","",IFERROR(INDEX(FX_Rates!$B$5:$B$14,MATCH($K94,FX_Rates!$A$5:$A$14,0)),""))</f>
        <v/>
      </c>
      <c r="M94" s="153">
        <f>IF(OR($H94="",$J94=""),"",$H94*$J94)</f>
        <v/>
      </c>
      <c r="N94" s="153">
        <f>IF(OR($M94="",$L94=""),"",$M94*$L94)</f>
        <v/>
      </c>
      <c r="O94" s="149" t="n"/>
      <c r="P94" s="154">
        <f>IF($O94="","",IFERROR(INDEX(Basis_of_Estimate!$C$5:$C$9,MATCH($O94,Basis_of_Estimate!$A$5:$A$9,0)),""))</f>
        <v/>
      </c>
      <c r="Q94" s="154">
        <f>IF($O94="","",IFERROR(INDEX(Basis_of_Estimate!$D$5:$D$9,MATCH($O94,Basis_of_Estimate!$A$5:$A$9,0)),""))</f>
        <v/>
      </c>
      <c r="R94" s="153">
        <f>IF($N94="","",$N94*(1+$P94))</f>
        <v/>
      </c>
      <c r="S94" s="153">
        <f>IF($N94="","",$N94)</f>
        <v/>
      </c>
      <c r="T94" s="153">
        <f>IF($N94="","",$N94*(1+$Q94))</f>
        <v/>
      </c>
      <c r="U94" s="150">
        <f>IF($D94="","",IFERROR(INDEX(WBS_CBS!$M$5:$M$16,MATCH($D94,WBS_CBS!$A$5:$A$16,0)),"Yes"))</f>
        <v/>
      </c>
      <c r="V94" s="150">
        <f>IF($D94="","",IFERROR(INDEX(WBS_CBS!$N$5:$N$16,MATCH($D94,WBS_CBS!$A$5:$A$16,0)),"Yes"))</f>
        <v/>
      </c>
      <c r="W94" s="150">
        <f>IF($D94="","",IFERROR(INDEX(WBS_CBS!$K$5:$K$16,MATCH($D94,WBS_CBS!$A$5:$A$16,0)),""))</f>
        <v/>
      </c>
      <c r="X94" s="150">
        <f>IF($D94="","",IFERROR(INDEX(WBS_CBS!$F$5:$F$16,MATCH($D94,WBS_CBS!$A$5:$A$16,0)),""))</f>
        <v/>
      </c>
      <c r="Y94" s="149" t="n"/>
      <c r="Z94" s="149" t="n"/>
      <c r="AA94" s="150">
        <f>IF($D94="","",IFERROR(INDEX(WBS_CBS!$L$5:$L$16,MATCH($D94,WBS_CBS!$A$5:$A$16,0)),""))</f>
        <v/>
      </c>
      <c r="AB94" s="149" t="n"/>
    </row>
    <row r="95">
      <c r="A95" s="149" t="n"/>
      <c r="B95" s="149" t="n"/>
      <c r="C95" s="150">
        <f>IF($D95="","",IFERROR(INDEX(WBS_CBS!$E$5:$E$16,MATCH($D95,WBS_CBS!$A$5:$A$16,0)),""))</f>
        <v/>
      </c>
      <c r="D95" s="149" t="n"/>
      <c r="E95" s="150">
        <f>IF($D95="","",IFERROR(INDEX(WBS_CBS!$C$5:$C$16,MATCH($D95,WBS_CBS!$A$5:$A$16,0)),""))</f>
        <v/>
      </c>
      <c r="F95" s="150">
        <f>IF($D95="","",IFERROR(INDEX(WBS_CBS!$J$5:$J$16,MATCH($D95,WBS_CBS!$A$5:$A$16,0)),""))</f>
        <v/>
      </c>
      <c r="G95" s="149" t="n"/>
      <c r="H95" s="151" t="n"/>
      <c r="I95" s="149" t="n"/>
      <c r="J95" s="152" t="n"/>
      <c r="K95" s="149" t="n"/>
      <c r="L95" s="153">
        <f>IF($K95="","",IFERROR(INDEX(FX_Rates!$B$5:$B$14,MATCH($K95,FX_Rates!$A$5:$A$14,0)),""))</f>
        <v/>
      </c>
      <c r="M95" s="153">
        <f>IF(OR($H95="",$J95=""),"",$H95*$J95)</f>
        <v/>
      </c>
      <c r="N95" s="153">
        <f>IF(OR($M95="",$L95=""),"",$M95*$L95)</f>
        <v/>
      </c>
      <c r="O95" s="149" t="n"/>
      <c r="P95" s="154">
        <f>IF($O95="","",IFERROR(INDEX(Basis_of_Estimate!$C$5:$C$9,MATCH($O95,Basis_of_Estimate!$A$5:$A$9,0)),""))</f>
        <v/>
      </c>
      <c r="Q95" s="154">
        <f>IF($O95="","",IFERROR(INDEX(Basis_of_Estimate!$D$5:$D$9,MATCH($O95,Basis_of_Estimate!$A$5:$A$9,0)),""))</f>
        <v/>
      </c>
      <c r="R95" s="153">
        <f>IF($N95="","",$N95*(1+$P95))</f>
        <v/>
      </c>
      <c r="S95" s="153">
        <f>IF($N95="","",$N95)</f>
        <v/>
      </c>
      <c r="T95" s="153">
        <f>IF($N95="","",$N95*(1+$Q95))</f>
        <v/>
      </c>
      <c r="U95" s="150">
        <f>IF($D95="","",IFERROR(INDEX(WBS_CBS!$M$5:$M$16,MATCH($D95,WBS_CBS!$A$5:$A$16,0)),"Yes"))</f>
        <v/>
      </c>
      <c r="V95" s="150">
        <f>IF($D95="","",IFERROR(INDEX(WBS_CBS!$N$5:$N$16,MATCH($D95,WBS_CBS!$A$5:$A$16,0)),"Yes"))</f>
        <v/>
      </c>
      <c r="W95" s="150">
        <f>IF($D95="","",IFERROR(INDEX(WBS_CBS!$K$5:$K$16,MATCH($D95,WBS_CBS!$A$5:$A$16,0)),""))</f>
        <v/>
      </c>
      <c r="X95" s="150">
        <f>IF($D95="","",IFERROR(INDEX(WBS_CBS!$F$5:$F$16,MATCH($D95,WBS_CBS!$A$5:$A$16,0)),""))</f>
        <v/>
      </c>
      <c r="Y95" s="149" t="n"/>
      <c r="Z95" s="149" t="n"/>
      <c r="AA95" s="150">
        <f>IF($D95="","",IFERROR(INDEX(WBS_CBS!$L$5:$L$16,MATCH($D95,WBS_CBS!$A$5:$A$16,0)),""))</f>
        <v/>
      </c>
      <c r="AB95" s="149" t="n"/>
    </row>
    <row r="96">
      <c r="A96" s="149" t="n"/>
      <c r="B96" s="149" t="n"/>
      <c r="C96" s="150">
        <f>IF($D96="","",IFERROR(INDEX(WBS_CBS!$E$5:$E$16,MATCH($D96,WBS_CBS!$A$5:$A$16,0)),""))</f>
        <v/>
      </c>
      <c r="D96" s="149" t="n"/>
      <c r="E96" s="150">
        <f>IF($D96="","",IFERROR(INDEX(WBS_CBS!$C$5:$C$16,MATCH($D96,WBS_CBS!$A$5:$A$16,0)),""))</f>
        <v/>
      </c>
      <c r="F96" s="150">
        <f>IF($D96="","",IFERROR(INDEX(WBS_CBS!$J$5:$J$16,MATCH($D96,WBS_CBS!$A$5:$A$16,0)),""))</f>
        <v/>
      </c>
      <c r="G96" s="149" t="n"/>
      <c r="H96" s="151" t="n"/>
      <c r="I96" s="149" t="n"/>
      <c r="J96" s="152" t="n"/>
      <c r="K96" s="149" t="n"/>
      <c r="L96" s="153">
        <f>IF($K96="","",IFERROR(INDEX(FX_Rates!$B$5:$B$14,MATCH($K96,FX_Rates!$A$5:$A$14,0)),""))</f>
        <v/>
      </c>
      <c r="M96" s="153">
        <f>IF(OR($H96="",$J96=""),"",$H96*$J96)</f>
        <v/>
      </c>
      <c r="N96" s="153">
        <f>IF(OR($M96="",$L96=""),"",$M96*$L96)</f>
        <v/>
      </c>
      <c r="O96" s="149" t="n"/>
      <c r="P96" s="154">
        <f>IF($O96="","",IFERROR(INDEX(Basis_of_Estimate!$C$5:$C$9,MATCH($O96,Basis_of_Estimate!$A$5:$A$9,0)),""))</f>
        <v/>
      </c>
      <c r="Q96" s="154">
        <f>IF($O96="","",IFERROR(INDEX(Basis_of_Estimate!$D$5:$D$9,MATCH($O96,Basis_of_Estimate!$A$5:$A$9,0)),""))</f>
        <v/>
      </c>
      <c r="R96" s="153">
        <f>IF($N96="","",$N96*(1+$P96))</f>
        <v/>
      </c>
      <c r="S96" s="153">
        <f>IF($N96="","",$N96)</f>
        <v/>
      </c>
      <c r="T96" s="153">
        <f>IF($N96="","",$N96*(1+$Q96))</f>
        <v/>
      </c>
      <c r="U96" s="150">
        <f>IF($D96="","",IFERROR(INDEX(WBS_CBS!$M$5:$M$16,MATCH($D96,WBS_CBS!$A$5:$A$16,0)),"Yes"))</f>
        <v/>
      </c>
      <c r="V96" s="150">
        <f>IF($D96="","",IFERROR(INDEX(WBS_CBS!$N$5:$N$16,MATCH($D96,WBS_CBS!$A$5:$A$16,0)),"Yes"))</f>
        <v/>
      </c>
      <c r="W96" s="150">
        <f>IF($D96="","",IFERROR(INDEX(WBS_CBS!$K$5:$K$16,MATCH($D96,WBS_CBS!$A$5:$A$16,0)),""))</f>
        <v/>
      </c>
      <c r="X96" s="150">
        <f>IF($D96="","",IFERROR(INDEX(WBS_CBS!$F$5:$F$16,MATCH($D96,WBS_CBS!$A$5:$A$16,0)),""))</f>
        <v/>
      </c>
      <c r="Y96" s="149" t="n"/>
      <c r="Z96" s="149" t="n"/>
      <c r="AA96" s="150">
        <f>IF($D96="","",IFERROR(INDEX(WBS_CBS!$L$5:$L$16,MATCH($D96,WBS_CBS!$A$5:$A$16,0)),""))</f>
        <v/>
      </c>
      <c r="AB96" s="149" t="n"/>
    </row>
    <row r="97">
      <c r="A97" s="149" t="n"/>
      <c r="B97" s="149" t="n"/>
      <c r="C97" s="150">
        <f>IF($D97="","",IFERROR(INDEX(WBS_CBS!$E$5:$E$16,MATCH($D97,WBS_CBS!$A$5:$A$16,0)),""))</f>
        <v/>
      </c>
      <c r="D97" s="149" t="n"/>
      <c r="E97" s="150">
        <f>IF($D97="","",IFERROR(INDEX(WBS_CBS!$C$5:$C$16,MATCH($D97,WBS_CBS!$A$5:$A$16,0)),""))</f>
        <v/>
      </c>
      <c r="F97" s="150">
        <f>IF($D97="","",IFERROR(INDEX(WBS_CBS!$J$5:$J$16,MATCH($D97,WBS_CBS!$A$5:$A$16,0)),""))</f>
        <v/>
      </c>
      <c r="G97" s="149" t="n"/>
      <c r="H97" s="151" t="n"/>
      <c r="I97" s="149" t="n"/>
      <c r="J97" s="152" t="n"/>
      <c r="K97" s="149" t="n"/>
      <c r="L97" s="153">
        <f>IF($K97="","",IFERROR(INDEX(FX_Rates!$B$5:$B$14,MATCH($K97,FX_Rates!$A$5:$A$14,0)),""))</f>
        <v/>
      </c>
      <c r="M97" s="153">
        <f>IF(OR($H97="",$J97=""),"",$H97*$J97)</f>
        <v/>
      </c>
      <c r="N97" s="153">
        <f>IF(OR($M97="",$L97=""),"",$M97*$L97)</f>
        <v/>
      </c>
      <c r="O97" s="149" t="n"/>
      <c r="P97" s="154">
        <f>IF($O97="","",IFERROR(INDEX(Basis_of_Estimate!$C$5:$C$9,MATCH($O97,Basis_of_Estimate!$A$5:$A$9,0)),""))</f>
        <v/>
      </c>
      <c r="Q97" s="154">
        <f>IF($O97="","",IFERROR(INDEX(Basis_of_Estimate!$D$5:$D$9,MATCH($O97,Basis_of_Estimate!$A$5:$A$9,0)),""))</f>
        <v/>
      </c>
      <c r="R97" s="153">
        <f>IF($N97="","",$N97*(1+$P97))</f>
        <v/>
      </c>
      <c r="S97" s="153">
        <f>IF($N97="","",$N97)</f>
        <v/>
      </c>
      <c r="T97" s="153">
        <f>IF($N97="","",$N97*(1+$Q97))</f>
        <v/>
      </c>
      <c r="U97" s="150">
        <f>IF($D97="","",IFERROR(INDEX(WBS_CBS!$M$5:$M$16,MATCH($D97,WBS_CBS!$A$5:$A$16,0)),"Yes"))</f>
        <v/>
      </c>
      <c r="V97" s="150">
        <f>IF($D97="","",IFERROR(INDEX(WBS_CBS!$N$5:$N$16,MATCH($D97,WBS_CBS!$A$5:$A$16,0)),"Yes"))</f>
        <v/>
      </c>
      <c r="W97" s="150">
        <f>IF($D97="","",IFERROR(INDEX(WBS_CBS!$K$5:$K$16,MATCH($D97,WBS_CBS!$A$5:$A$16,0)),""))</f>
        <v/>
      </c>
      <c r="X97" s="150">
        <f>IF($D97="","",IFERROR(INDEX(WBS_CBS!$F$5:$F$16,MATCH($D97,WBS_CBS!$A$5:$A$16,0)),""))</f>
        <v/>
      </c>
      <c r="Y97" s="149" t="n"/>
      <c r="Z97" s="149" t="n"/>
      <c r="AA97" s="150">
        <f>IF($D97="","",IFERROR(INDEX(WBS_CBS!$L$5:$L$16,MATCH($D97,WBS_CBS!$A$5:$A$16,0)),""))</f>
        <v/>
      </c>
      <c r="AB97" s="149" t="n"/>
    </row>
    <row r="98">
      <c r="A98" s="149" t="n"/>
      <c r="B98" s="149" t="n"/>
      <c r="C98" s="150">
        <f>IF($D98="","",IFERROR(INDEX(WBS_CBS!$E$5:$E$16,MATCH($D98,WBS_CBS!$A$5:$A$16,0)),""))</f>
        <v/>
      </c>
      <c r="D98" s="149" t="n"/>
      <c r="E98" s="150">
        <f>IF($D98="","",IFERROR(INDEX(WBS_CBS!$C$5:$C$16,MATCH($D98,WBS_CBS!$A$5:$A$16,0)),""))</f>
        <v/>
      </c>
      <c r="F98" s="150">
        <f>IF($D98="","",IFERROR(INDEX(WBS_CBS!$J$5:$J$16,MATCH($D98,WBS_CBS!$A$5:$A$16,0)),""))</f>
        <v/>
      </c>
      <c r="G98" s="149" t="n"/>
      <c r="H98" s="151" t="n"/>
      <c r="I98" s="149" t="n"/>
      <c r="J98" s="152" t="n"/>
      <c r="K98" s="149" t="n"/>
      <c r="L98" s="153">
        <f>IF($K98="","",IFERROR(INDEX(FX_Rates!$B$5:$B$14,MATCH($K98,FX_Rates!$A$5:$A$14,0)),""))</f>
        <v/>
      </c>
      <c r="M98" s="153">
        <f>IF(OR($H98="",$J98=""),"",$H98*$J98)</f>
        <v/>
      </c>
      <c r="N98" s="153">
        <f>IF(OR($M98="",$L98=""),"",$M98*$L98)</f>
        <v/>
      </c>
      <c r="O98" s="149" t="n"/>
      <c r="P98" s="154">
        <f>IF($O98="","",IFERROR(INDEX(Basis_of_Estimate!$C$5:$C$9,MATCH($O98,Basis_of_Estimate!$A$5:$A$9,0)),""))</f>
        <v/>
      </c>
      <c r="Q98" s="154">
        <f>IF($O98="","",IFERROR(INDEX(Basis_of_Estimate!$D$5:$D$9,MATCH($O98,Basis_of_Estimate!$A$5:$A$9,0)),""))</f>
        <v/>
      </c>
      <c r="R98" s="153">
        <f>IF($N98="","",$N98*(1+$P98))</f>
        <v/>
      </c>
      <c r="S98" s="153">
        <f>IF($N98="","",$N98)</f>
        <v/>
      </c>
      <c r="T98" s="153">
        <f>IF($N98="","",$N98*(1+$Q98))</f>
        <v/>
      </c>
      <c r="U98" s="150">
        <f>IF($D98="","",IFERROR(INDEX(WBS_CBS!$M$5:$M$16,MATCH($D98,WBS_CBS!$A$5:$A$16,0)),"Yes"))</f>
        <v/>
      </c>
      <c r="V98" s="150">
        <f>IF($D98="","",IFERROR(INDEX(WBS_CBS!$N$5:$N$16,MATCH($D98,WBS_CBS!$A$5:$A$16,0)),"Yes"))</f>
        <v/>
      </c>
      <c r="W98" s="150">
        <f>IF($D98="","",IFERROR(INDEX(WBS_CBS!$K$5:$K$16,MATCH($D98,WBS_CBS!$A$5:$A$16,0)),""))</f>
        <v/>
      </c>
      <c r="X98" s="150">
        <f>IF($D98="","",IFERROR(INDEX(WBS_CBS!$F$5:$F$16,MATCH($D98,WBS_CBS!$A$5:$A$16,0)),""))</f>
        <v/>
      </c>
      <c r="Y98" s="149" t="n"/>
      <c r="Z98" s="149" t="n"/>
      <c r="AA98" s="150">
        <f>IF($D98="","",IFERROR(INDEX(WBS_CBS!$L$5:$L$16,MATCH($D98,WBS_CBS!$A$5:$A$16,0)),""))</f>
        <v/>
      </c>
      <c r="AB98" s="149" t="n"/>
    </row>
    <row r="99">
      <c r="A99" s="149" t="n"/>
      <c r="B99" s="149" t="n"/>
      <c r="C99" s="150">
        <f>IF($D99="","",IFERROR(INDEX(WBS_CBS!$E$5:$E$16,MATCH($D99,WBS_CBS!$A$5:$A$16,0)),""))</f>
        <v/>
      </c>
      <c r="D99" s="149" t="n"/>
      <c r="E99" s="150">
        <f>IF($D99="","",IFERROR(INDEX(WBS_CBS!$C$5:$C$16,MATCH($D99,WBS_CBS!$A$5:$A$16,0)),""))</f>
        <v/>
      </c>
      <c r="F99" s="150">
        <f>IF($D99="","",IFERROR(INDEX(WBS_CBS!$J$5:$J$16,MATCH($D99,WBS_CBS!$A$5:$A$16,0)),""))</f>
        <v/>
      </c>
      <c r="G99" s="149" t="n"/>
      <c r="H99" s="151" t="n"/>
      <c r="I99" s="149" t="n"/>
      <c r="J99" s="152" t="n"/>
      <c r="K99" s="149" t="n"/>
      <c r="L99" s="153">
        <f>IF($K99="","",IFERROR(INDEX(FX_Rates!$B$5:$B$14,MATCH($K99,FX_Rates!$A$5:$A$14,0)),""))</f>
        <v/>
      </c>
      <c r="M99" s="153">
        <f>IF(OR($H99="",$J99=""),"",$H99*$J99)</f>
        <v/>
      </c>
      <c r="N99" s="153">
        <f>IF(OR($M99="",$L99=""),"",$M99*$L99)</f>
        <v/>
      </c>
      <c r="O99" s="149" t="n"/>
      <c r="P99" s="154">
        <f>IF($O99="","",IFERROR(INDEX(Basis_of_Estimate!$C$5:$C$9,MATCH($O99,Basis_of_Estimate!$A$5:$A$9,0)),""))</f>
        <v/>
      </c>
      <c r="Q99" s="154">
        <f>IF($O99="","",IFERROR(INDEX(Basis_of_Estimate!$D$5:$D$9,MATCH($O99,Basis_of_Estimate!$A$5:$A$9,0)),""))</f>
        <v/>
      </c>
      <c r="R99" s="153">
        <f>IF($N99="","",$N99*(1+$P99))</f>
        <v/>
      </c>
      <c r="S99" s="153">
        <f>IF($N99="","",$N99)</f>
        <v/>
      </c>
      <c r="T99" s="153">
        <f>IF($N99="","",$N99*(1+$Q99))</f>
        <v/>
      </c>
      <c r="U99" s="150">
        <f>IF($D99="","",IFERROR(INDEX(WBS_CBS!$M$5:$M$16,MATCH($D99,WBS_CBS!$A$5:$A$16,0)),"Yes"))</f>
        <v/>
      </c>
      <c r="V99" s="150">
        <f>IF($D99="","",IFERROR(INDEX(WBS_CBS!$N$5:$N$16,MATCH($D99,WBS_CBS!$A$5:$A$16,0)),"Yes"))</f>
        <v/>
      </c>
      <c r="W99" s="150">
        <f>IF($D99="","",IFERROR(INDEX(WBS_CBS!$K$5:$K$16,MATCH($D99,WBS_CBS!$A$5:$A$16,0)),""))</f>
        <v/>
      </c>
      <c r="X99" s="150">
        <f>IF($D99="","",IFERROR(INDEX(WBS_CBS!$F$5:$F$16,MATCH($D99,WBS_CBS!$A$5:$A$16,0)),""))</f>
        <v/>
      </c>
      <c r="Y99" s="149" t="n"/>
      <c r="Z99" s="149" t="n"/>
      <c r="AA99" s="150">
        <f>IF($D99="","",IFERROR(INDEX(WBS_CBS!$L$5:$L$16,MATCH($D99,WBS_CBS!$A$5:$A$16,0)),""))</f>
        <v/>
      </c>
      <c r="AB99" s="149" t="n"/>
    </row>
    <row r="100">
      <c r="A100" s="149" t="n"/>
      <c r="B100" s="149" t="n"/>
      <c r="C100" s="150">
        <f>IF($D100="","",IFERROR(INDEX(WBS_CBS!$E$5:$E$16,MATCH($D100,WBS_CBS!$A$5:$A$16,0)),""))</f>
        <v/>
      </c>
      <c r="D100" s="149" t="n"/>
      <c r="E100" s="150">
        <f>IF($D100="","",IFERROR(INDEX(WBS_CBS!$C$5:$C$16,MATCH($D100,WBS_CBS!$A$5:$A$16,0)),""))</f>
        <v/>
      </c>
      <c r="F100" s="150">
        <f>IF($D100="","",IFERROR(INDEX(WBS_CBS!$J$5:$J$16,MATCH($D100,WBS_CBS!$A$5:$A$16,0)),""))</f>
        <v/>
      </c>
      <c r="G100" s="149" t="n"/>
      <c r="H100" s="151" t="n"/>
      <c r="I100" s="149" t="n"/>
      <c r="J100" s="152" t="n"/>
      <c r="K100" s="149" t="n"/>
      <c r="L100" s="153">
        <f>IF($K100="","",IFERROR(INDEX(FX_Rates!$B$5:$B$14,MATCH($K100,FX_Rates!$A$5:$A$14,0)),""))</f>
        <v/>
      </c>
      <c r="M100" s="153">
        <f>IF(OR($H100="",$J100=""),"",$H100*$J100)</f>
        <v/>
      </c>
      <c r="N100" s="153">
        <f>IF(OR($M100="",$L100=""),"",$M100*$L100)</f>
        <v/>
      </c>
      <c r="O100" s="149" t="n"/>
      <c r="P100" s="154">
        <f>IF($O100="","",IFERROR(INDEX(Basis_of_Estimate!$C$5:$C$9,MATCH($O100,Basis_of_Estimate!$A$5:$A$9,0)),""))</f>
        <v/>
      </c>
      <c r="Q100" s="154">
        <f>IF($O100="","",IFERROR(INDEX(Basis_of_Estimate!$D$5:$D$9,MATCH($O100,Basis_of_Estimate!$A$5:$A$9,0)),""))</f>
        <v/>
      </c>
      <c r="R100" s="153">
        <f>IF($N100="","",$N100*(1+$P100))</f>
        <v/>
      </c>
      <c r="S100" s="153">
        <f>IF($N100="","",$N100)</f>
        <v/>
      </c>
      <c r="T100" s="153">
        <f>IF($N100="","",$N100*(1+$Q100))</f>
        <v/>
      </c>
      <c r="U100" s="150">
        <f>IF($D100="","",IFERROR(INDEX(WBS_CBS!$M$5:$M$16,MATCH($D100,WBS_CBS!$A$5:$A$16,0)),"Yes"))</f>
        <v/>
      </c>
      <c r="V100" s="150">
        <f>IF($D100="","",IFERROR(INDEX(WBS_CBS!$N$5:$N$16,MATCH($D100,WBS_CBS!$A$5:$A$16,0)),"Yes"))</f>
        <v/>
      </c>
      <c r="W100" s="150">
        <f>IF($D100="","",IFERROR(INDEX(WBS_CBS!$K$5:$K$16,MATCH($D100,WBS_CBS!$A$5:$A$16,0)),""))</f>
        <v/>
      </c>
      <c r="X100" s="150">
        <f>IF($D100="","",IFERROR(INDEX(WBS_CBS!$F$5:$F$16,MATCH($D100,WBS_CBS!$A$5:$A$16,0)),""))</f>
        <v/>
      </c>
      <c r="Y100" s="149" t="n"/>
      <c r="Z100" s="149" t="n"/>
      <c r="AA100" s="150">
        <f>IF($D100="","",IFERROR(INDEX(WBS_CBS!$L$5:$L$16,MATCH($D100,WBS_CBS!$A$5:$A$16,0)),""))</f>
        <v/>
      </c>
      <c r="AB100" s="149" t="n"/>
    </row>
    <row r="101">
      <c r="A101" s="149" t="n"/>
      <c r="B101" s="149" t="n"/>
      <c r="C101" s="150">
        <f>IF($D101="","",IFERROR(INDEX(WBS_CBS!$E$5:$E$16,MATCH($D101,WBS_CBS!$A$5:$A$16,0)),""))</f>
        <v/>
      </c>
      <c r="D101" s="149" t="n"/>
      <c r="E101" s="150">
        <f>IF($D101="","",IFERROR(INDEX(WBS_CBS!$C$5:$C$16,MATCH($D101,WBS_CBS!$A$5:$A$16,0)),""))</f>
        <v/>
      </c>
      <c r="F101" s="150">
        <f>IF($D101="","",IFERROR(INDEX(WBS_CBS!$J$5:$J$16,MATCH($D101,WBS_CBS!$A$5:$A$16,0)),""))</f>
        <v/>
      </c>
      <c r="G101" s="149" t="n"/>
      <c r="H101" s="151" t="n"/>
      <c r="I101" s="149" t="n"/>
      <c r="J101" s="152" t="n"/>
      <c r="K101" s="149" t="n"/>
      <c r="L101" s="153">
        <f>IF($K101="","",IFERROR(INDEX(FX_Rates!$B$5:$B$14,MATCH($K101,FX_Rates!$A$5:$A$14,0)),""))</f>
        <v/>
      </c>
      <c r="M101" s="153">
        <f>IF(OR($H101="",$J101=""),"",$H101*$J101)</f>
        <v/>
      </c>
      <c r="N101" s="153">
        <f>IF(OR($M101="",$L101=""),"",$M101*$L101)</f>
        <v/>
      </c>
      <c r="O101" s="149" t="n"/>
      <c r="P101" s="154">
        <f>IF($O101="","",IFERROR(INDEX(Basis_of_Estimate!$C$5:$C$9,MATCH($O101,Basis_of_Estimate!$A$5:$A$9,0)),""))</f>
        <v/>
      </c>
      <c r="Q101" s="154">
        <f>IF($O101="","",IFERROR(INDEX(Basis_of_Estimate!$D$5:$D$9,MATCH($O101,Basis_of_Estimate!$A$5:$A$9,0)),""))</f>
        <v/>
      </c>
      <c r="R101" s="153">
        <f>IF($N101="","",$N101*(1+$P101))</f>
        <v/>
      </c>
      <c r="S101" s="153">
        <f>IF($N101="","",$N101)</f>
        <v/>
      </c>
      <c r="T101" s="153">
        <f>IF($N101="","",$N101*(1+$Q101))</f>
        <v/>
      </c>
      <c r="U101" s="150">
        <f>IF($D101="","",IFERROR(INDEX(WBS_CBS!$M$5:$M$16,MATCH($D101,WBS_CBS!$A$5:$A$16,0)),"Yes"))</f>
        <v/>
      </c>
      <c r="V101" s="150">
        <f>IF($D101="","",IFERROR(INDEX(WBS_CBS!$N$5:$N$16,MATCH($D101,WBS_CBS!$A$5:$A$16,0)),"Yes"))</f>
        <v/>
      </c>
      <c r="W101" s="150">
        <f>IF($D101="","",IFERROR(INDEX(WBS_CBS!$K$5:$K$16,MATCH($D101,WBS_CBS!$A$5:$A$16,0)),""))</f>
        <v/>
      </c>
      <c r="X101" s="150">
        <f>IF($D101="","",IFERROR(INDEX(WBS_CBS!$F$5:$F$16,MATCH($D101,WBS_CBS!$A$5:$A$16,0)),""))</f>
        <v/>
      </c>
      <c r="Y101" s="149" t="n"/>
      <c r="Z101" s="149" t="n"/>
      <c r="AA101" s="150">
        <f>IF($D101="","",IFERROR(INDEX(WBS_CBS!$L$5:$L$16,MATCH($D101,WBS_CBS!$A$5:$A$16,0)),""))</f>
        <v/>
      </c>
      <c r="AB101" s="149" t="n"/>
    </row>
    <row r="102">
      <c r="A102" s="149" t="n"/>
      <c r="B102" s="149" t="n"/>
      <c r="C102" s="150">
        <f>IF($D102="","",IFERROR(INDEX(WBS_CBS!$E$5:$E$16,MATCH($D102,WBS_CBS!$A$5:$A$16,0)),""))</f>
        <v/>
      </c>
      <c r="D102" s="149" t="n"/>
      <c r="E102" s="150">
        <f>IF($D102="","",IFERROR(INDEX(WBS_CBS!$C$5:$C$16,MATCH($D102,WBS_CBS!$A$5:$A$16,0)),""))</f>
        <v/>
      </c>
      <c r="F102" s="150">
        <f>IF($D102="","",IFERROR(INDEX(WBS_CBS!$J$5:$J$16,MATCH($D102,WBS_CBS!$A$5:$A$16,0)),""))</f>
        <v/>
      </c>
      <c r="G102" s="149" t="n"/>
      <c r="H102" s="151" t="n"/>
      <c r="I102" s="149" t="n"/>
      <c r="J102" s="152" t="n"/>
      <c r="K102" s="149" t="n"/>
      <c r="L102" s="153">
        <f>IF($K102="","",IFERROR(INDEX(FX_Rates!$B$5:$B$14,MATCH($K102,FX_Rates!$A$5:$A$14,0)),""))</f>
        <v/>
      </c>
      <c r="M102" s="153">
        <f>IF(OR($H102="",$J102=""),"",$H102*$J102)</f>
        <v/>
      </c>
      <c r="N102" s="153">
        <f>IF(OR($M102="",$L102=""),"",$M102*$L102)</f>
        <v/>
      </c>
      <c r="O102" s="149" t="n"/>
      <c r="P102" s="154">
        <f>IF($O102="","",IFERROR(INDEX(Basis_of_Estimate!$C$5:$C$9,MATCH($O102,Basis_of_Estimate!$A$5:$A$9,0)),""))</f>
        <v/>
      </c>
      <c r="Q102" s="154">
        <f>IF($O102="","",IFERROR(INDEX(Basis_of_Estimate!$D$5:$D$9,MATCH($O102,Basis_of_Estimate!$A$5:$A$9,0)),""))</f>
        <v/>
      </c>
      <c r="R102" s="153">
        <f>IF($N102="","",$N102*(1+$P102))</f>
        <v/>
      </c>
      <c r="S102" s="153">
        <f>IF($N102="","",$N102)</f>
        <v/>
      </c>
      <c r="T102" s="153">
        <f>IF($N102="","",$N102*(1+$Q102))</f>
        <v/>
      </c>
      <c r="U102" s="150">
        <f>IF($D102="","",IFERROR(INDEX(WBS_CBS!$M$5:$M$16,MATCH($D102,WBS_CBS!$A$5:$A$16,0)),"Yes"))</f>
        <v/>
      </c>
      <c r="V102" s="150">
        <f>IF($D102="","",IFERROR(INDEX(WBS_CBS!$N$5:$N$16,MATCH($D102,WBS_CBS!$A$5:$A$16,0)),"Yes"))</f>
        <v/>
      </c>
      <c r="W102" s="150">
        <f>IF($D102="","",IFERROR(INDEX(WBS_CBS!$K$5:$K$16,MATCH($D102,WBS_CBS!$A$5:$A$16,0)),""))</f>
        <v/>
      </c>
      <c r="X102" s="150">
        <f>IF($D102="","",IFERROR(INDEX(WBS_CBS!$F$5:$F$16,MATCH($D102,WBS_CBS!$A$5:$A$16,0)),""))</f>
        <v/>
      </c>
      <c r="Y102" s="149" t="n"/>
      <c r="Z102" s="149" t="n"/>
      <c r="AA102" s="150">
        <f>IF($D102="","",IFERROR(INDEX(WBS_CBS!$L$5:$L$16,MATCH($D102,WBS_CBS!$A$5:$A$16,0)),""))</f>
        <v/>
      </c>
      <c r="AB102" s="149" t="n"/>
    </row>
    <row r="103">
      <c r="A103" s="149" t="n"/>
      <c r="B103" s="149" t="n"/>
      <c r="C103" s="150">
        <f>IF($D103="","",IFERROR(INDEX(WBS_CBS!$E$5:$E$16,MATCH($D103,WBS_CBS!$A$5:$A$16,0)),""))</f>
        <v/>
      </c>
      <c r="D103" s="149" t="n"/>
      <c r="E103" s="150">
        <f>IF($D103="","",IFERROR(INDEX(WBS_CBS!$C$5:$C$16,MATCH($D103,WBS_CBS!$A$5:$A$16,0)),""))</f>
        <v/>
      </c>
      <c r="F103" s="150">
        <f>IF($D103="","",IFERROR(INDEX(WBS_CBS!$J$5:$J$16,MATCH($D103,WBS_CBS!$A$5:$A$16,0)),""))</f>
        <v/>
      </c>
      <c r="G103" s="149" t="n"/>
      <c r="H103" s="151" t="n"/>
      <c r="I103" s="149" t="n"/>
      <c r="J103" s="152" t="n"/>
      <c r="K103" s="149" t="n"/>
      <c r="L103" s="153">
        <f>IF($K103="","",IFERROR(INDEX(FX_Rates!$B$5:$B$14,MATCH($K103,FX_Rates!$A$5:$A$14,0)),""))</f>
        <v/>
      </c>
      <c r="M103" s="153">
        <f>IF(OR($H103="",$J103=""),"",$H103*$J103)</f>
        <v/>
      </c>
      <c r="N103" s="153">
        <f>IF(OR($M103="",$L103=""),"",$M103*$L103)</f>
        <v/>
      </c>
      <c r="O103" s="149" t="n"/>
      <c r="P103" s="154">
        <f>IF($O103="","",IFERROR(INDEX(Basis_of_Estimate!$C$5:$C$9,MATCH($O103,Basis_of_Estimate!$A$5:$A$9,0)),""))</f>
        <v/>
      </c>
      <c r="Q103" s="154">
        <f>IF($O103="","",IFERROR(INDEX(Basis_of_Estimate!$D$5:$D$9,MATCH($O103,Basis_of_Estimate!$A$5:$A$9,0)),""))</f>
        <v/>
      </c>
      <c r="R103" s="153">
        <f>IF($N103="","",$N103*(1+$P103))</f>
        <v/>
      </c>
      <c r="S103" s="153">
        <f>IF($N103="","",$N103)</f>
        <v/>
      </c>
      <c r="T103" s="153">
        <f>IF($N103="","",$N103*(1+$Q103))</f>
        <v/>
      </c>
      <c r="U103" s="150">
        <f>IF($D103="","",IFERROR(INDEX(WBS_CBS!$M$5:$M$16,MATCH($D103,WBS_CBS!$A$5:$A$16,0)),"Yes"))</f>
        <v/>
      </c>
      <c r="V103" s="150">
        <f>IF($D103="","",IFERROR(INDEX(WBS_CBS!$N$5:$N$16,MATCH($D103,WBS_CBS!$A$5:$A$16,0)),"Yes"))</f>
        <v/>
      </c>
      <c r="W103" s="150">
        <f>IF($D103="","",IFERROR(INDEX(WBS_CBS!$K$5:$K$16,MATCH($D103,WBS_CBS!$A$5:$A$16,0)),""))</f>
        <v/>
      </c>
      <c r="X103" s="150">
        <f>IF($D103="","",IFERROR(INDEX(WBS_CBS!$F$5:$F$16,MATCH($D103,WBS_CBS!$A$5:$A$16,0)),""))</f>
        <v/>
      </c>
      <c r="Y103" s="149" t="n"/>
      <c r="Z103" s="149" t="n"/>
      <c r="AA103" s="150">
        <f>IF($D103="","",IFERROR(INDEX(WBS_CBS!$L$5:$L$16,MATCH($D103,WBS_CBS!$A$5:$A$16,0)),""))</f>
        <v/>
      </c>
      <c r="AB103" s="149" t="n"/>
    </row>
    <row r="104">
      <c r="A104" s="149" t="n"/>
      <c r="B104" s="149" t="n"/>
      <c r="C104" s="150">
        <f>IF($D104="","",IFERROR(INDEX(WBS_CBS!$E$5:$E$16,MATCH($D104,WBS_CBS!$A$5:$A$16,0)),""))</f>
        <v/>
      </c>
      <c r="D104" s="149" t="n"/>
      <c r="E104" s="150">
        <f>IF($D104="","",IFERROR(INDEX(WBS_CBS!$C$5:$C$16,MATCH($D104,WBS_CBS!$A$5:$A$16,0)),""))</f>
        <v/>
      </c>
      <c r="F104" s="150">
        <f>IF($D104="","",IFERROR(INDEX(WBS_CBS!$J$5:$J$16,MATCH($D104,WBS_CBS!$A$5:$A$16,0)),""))</f>
        <v/>
      </c>
      <c r="G104" s="149" t="n"/>
      <c r="H104" s="151" t="n"/>
      <c r="I104" s="149" t="n"/>
      <c r="J104" s="152" t="n"/>
      <c r="K104" s="149" t="n"/>
      <c r="L104" s="153">
        <f>IF($K104="","",IFERROR(INDEX(FX_Rates!$B$5:$B$14,MATCH($K104,FX_Rates!$A$5:$A$14,0)),""))</f>
        <v/>
      </c>
      <c r="M104" s="153">
        <f>IF(OR($H104="",$J104=""),"",$H104*$J104)</f>
        <v/>
      </c>
      <c r="N104" s="153">
        <f>IF(OR($M104="",$L104=""),"",$M104*$L104)</f>
        <v/>
      </c>
      <c r="O104" s="149" t="n"/>
      <c r="P104" s="154">
        <f>IF($O104="","",IFERROR(INDEX(Basis_of_Estimate!$C$5:$C$9,MATCH($O104,Basis_of_Estimate!$A$5:$A$9,0)),""))</f>
        <v/>
      </c>
      <c r="Q104" s="154">
        <f>IF($O104="","",IFERROR(INDEX(Basis_of_Estimate!$D$5:$D$9,MATCH($O104,Basis_of_Estimate!$A$5:$A$9,0)),""))</f>
        <v/>
      </c>
      <c r="R104" s="153">
        <f>IF($N104="","",$N104*(1+$P104))</f>
        <v/>
      </c>
      <c r="S104" s="153">
        <f>IF($N104="","",$N104)</f>
        <v/>
      </c>
      <c r="T104" s="153">
        <f>IF($N104="","",$N104*(1+$Q104))</f>
        <v/>
      </c>
      <c r="U104" s="150">
        <f>IF($D104="","",IFERROR(INDEX(WBS_CBS!$M$5:$M$16,MATCH($D104,WBS_CBS!$A$5:$A$16,0)),"Yes"))</f>
        <v/>
      </c>
      <c r="V104" s="150">
        <f>IF($D104="","",IFERROR(INDEX(WBS_CBS!$N$5:$N$16,MATCH($D104,WBS_CBS!$A$5:$A$16,0)),"Yes"))</f>
        <v/>
      </c>
      <c r="W104" s="150">
        <f>IF($D104="","",IFERROR(INDEX(WBS_CBS!$K$5:$K$16,MATCH($D104,WBS_CBS!$A$5:$A$16,0)),""))</f>
        <v/>
      </c>
      <c r="X104" s="150">
        <f>IF($D104="","",IFERROR(INDEX(WBS_CBS!$F$5:$F$16,MATCH($D104,WBS_CBS!$A$5:$A$16,0)),""))</f>
        <v/>
      </c>
      <c r="Y104" s="149" t="n"/>
      <c r="Z104" s="149" t="n"/>
      <c r="AA104" s="150">
        <f>IF($D104="","",IFERROR(INDEX(WBS_CBS!$L$5:$L$16,MATCH($D104,WBS_CBS!$A$5:$A$16,0)),""))</f>
        <v/>
      </c>
      <c r="AB104" s="149" t="n"/>
    </row>
  </sheetData>
  <mergeCells count="2">
    <mergeCell ref="A2:AB2"/>
    <mergeCell ref="A1:AB1"/>
  </mergeCells>
  <dataValidations count="19">
    <dataValidation sqref="C5:C104" showDropDown="0" showInputMessage="0" showErrorMessage="0" allowBlank="0" type="list">
      <formula1>"Process,Mechanical,Piping,Civil,Electrical,Instrumentation,Automation,Construction,Project Management,Procurement,HSE,Commissioning,Owner,Other"</formula1>
    </dataValidation>
    <dataValidation sqref="D5:D104" showDropDown="0" showInputMessage="0" showErrorMessage="0" allowBlank="0" type="list">
      <formula1>"1.0,2.0,3.0,4.0,5.0,6.0,7.0,8.0,9.0,10.0,11.0,12.0"</formula1>
    </dataValidation>
    <dataValidation sqref="E5:E104" showDropDown="0" showInputMessage="0" showErrorMessage="0" allowBlank="0" type="list">
      <formula1>"PM,ENG,PROC,EQP,BULK,CIV,ELE,I&amp;A,CON,COM,OWN,OTH"</formula1>
    </dataValidation>
    <dataValidation sqref="F5:F104" showDropDown="0" showInputMessage="0" showErrorMessage="0" allowBlank="0" type="list">
      <formula1>"Direct Cost,Indirect Cost,Owner Cost,Manpower Cost,Other Cost"</formula1>
    </dataValidation>
    <dataValidation sqref="G5:G104" showDropDown="0" showInputMessage="0" showErrorMessage="0" allowBlank="0" type="list">
      <formula1>"Equipment,Bulk Material,Construction,Engineering,EPCM,Owner,Labour,Freight,Spares,Other"</formula1>
    </dataValidation>
    <dataValidation sqref="I5:I104" showDropDown="0" showInputMessage="0" showErrorMessage="0" allowBlank="0" type="list">
      <formula1>"lot,each,m,m2,m3,kg,ton,h,month,FTE-month"</formula1>
    </dataValidation>
    <dataValidation sqref="K5:K104" showDropDown="0" showInputMessage="0" showErrorMessage="0" allowBlank="0" type="list">
      <formula1>"EUR,USD,GBP,CHF,DKK,SEK,NOK,PLN,TRY,MAD"</formula1>
    </dataValidation>
    <dataValidation sqref="O5:O104" showDropDown="0" showInputMessage="0" showErrorMessage="0" allowBlank="0" type="list">
      <formula1>"Class 5,Class 4,Class 3,Class 2,Class 1"</formula1>
    </dataValidation>
    <dataValidation sqref="U5:V104" showDropDown="0" showInputMessage="0" showErrorMessage="0" allowBlank="0" type="list">
      <formula1>"Yes,No"</formula1>
    </dataValidation>
    <dataValidation sqref="W5:X104" showDropDown="0" showInputMessage="0" showErrorMessage="0" allowBlank="0" type="list">
      <formula1>"Engineering,Procurement,Construction,Commissioning,Other"</formula1>
    </dataValidation>
    <dataValidation sqref="AA5:AA104" showDropDown="0" showInputMessage="0" showErrorMessage="0" allowBlank="0" type="list">
      <formula1>"Linear,Front Loaded,Back Loaded,Bell Curve,Manual"</formula1>
    </dataValidation>
    <dataValidation sqref="D5:D104" showDropDown="0" showInputMessage="0" showErrorMessage="0" allowBlank="1" errorTitle="Invalid selection" error="Select a value from the list." type="list">
      <formula1>WBS_CBS!$A$5:$A$16</formula1>
    </dataValidation>
    <dataValidation sqref="K5:K104" showDropDown="0" showInputMessage="0" showErrorMessage="0" allowBlank="1" errorTitle="Invalid selection" error="Select a value from the list." type="list">
      <formula1>FX_Rates!$A$5:$A$14</formula1>
    </dataValidation>
    <dataValidation sqref="O5:O104" showDropDown="0" showInputMessage="0" showErrorMessage="0" allowBlank="1" errorTitle="Invalid selection" error="Select a value from the list." type="list">
      <formula1>Basis_of_Estimate!$A$5:$A$9</formula1>
    </dataValidation>
    <dataValidation sqref="U5:U104" showDropDown="0" showInputMessage="0" showErrorMessage="0" allowBlank="1" errorTitle="Invalid selection" error="Select a value from the list." type="list">
      <formula1>Lists_Config!$E$5:$E$6</formula1>
    </dataValidation>
    <dataValidation sqref="V5:V104" showDropDown="0" showInputMessage="0" showErrorMessage="0" allowBlank="1" errorTitle="Invalid selection" error="Select a value from the list." type="list">
      <formula1>Lists_Config!$E$5:$E$6</formula1>
    </dataValidation>
    <dataValidation sqref="AA5:AA104" showDropDown="0" showInputMessage="0" showErrorMessage="0" allowBlank="1" errorTitle="Invalid selection" error="Select a value from the list." type="list">
      <formula1>Lists_Config!$I$5:$I$8</formula1>
    </dataValidation>
    <dataValidation sqref="I5:I104" showDropDown="0" showInputMessage="0" showErrorMessage="0" allowBlank="1" errorTitle="Invalid selection" error="Select a value from the list." type="list">
      <formula1>Lists_Config!$J$5:$J$14</formula1>
    </dataValidation>
    <dataValidation sqref="G5:G104" showDropDown="0" showInputMessage="0" showErrorMessage="0" allowBlank="1" errorTitle="Invalid selection" error="Select a value from the list." type="list">
      <formula1>Lists_Config!$C$5:$C$13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rgb="0070AD47"/>
    <outlinePr summaryBelow="1" summaryRight="1"/>
    <pageSetUpPr/>
  </sheetPr>
  <dimension ref="A1:AD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25"/>
  <cols>
    <col width="12" customWidth="1" style="70" min="1" max="1"/>
    <col width="32" customWidth="1" style="70" min="2" max="2"/>
    <col width="16" customWidth="1" style="70" min="3" max="7"/>
    <col width="10" customWidth="1" style="70" min="4" max="4"/>
    <col width="12" customWidth="1" style="70" min="5" max="5"/>
    <col width="16" customWidth="1" style="70" min="6" max="6"/>
    <col width="14" customWidth="1" style="70" min="7" max="7"/>
    <col width="10" customWidth="1" style="70" min="8" max="8"/>
    <col width="10" customWidth="1" style="70" min="9" max="9"/>
    <col width="14" customWidth="1" style="70" min="10" max="14"/>
    <col width="12" customWidth="1" style="70" min="11" max="11"/>
    <col width="12" customWidth="1" style="70" min="12" max="12"/>
    <col width="14" customWidth="1" style="70" min="13" max="13"/>
    <col width="14" customWidth="1" style="70" min="14" max="14"/>
    <col width="14" customWidth="1" style="70" min="15" max="20"/>
    <col width="12" customWidth="1" style="70" min="16" max="16"/>
    <col width="12" customWidth="1" style="70" min="17" max="17"/>
    <col width="14" customWidth="1" style="70" min="18" max="18"/>
    <col width="14" customWidth="1" style="70" min="19" max="19"/>
    <col width="14" customWidth="1" style="70" min="20" max="20"/>
    <col width="12" customWidth="1" style="70" min="21" max="27"/>
    <col width="12" customWidth="1" style="70" min="22" max="22"/>
    <col width="14" customWidth="1" style="70" min="23" max="23"/>
    <col width="14" customWidth="1" style="70" min="24" max="24"/>
    <col width="12" customWidth="1" style="70" min="25" max="25"/>
    <col width="12" customWidth="1" style="70" min="26" max="26"/>
    <col width="14" customWidth="1" style="70" min="27" max="27"/>
    <col width="24" customWidth="1" style="70" min="28" max="28"/>
  </cols>
  <sheetData>
    <row r="1" ht="24" customHeight="1" s="70">
      <c r="A1" s="144" t="inlineStr">
        <is>
          <t>Other Costs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100" t="n"/>
      <c r="AD1" s="100" t="n"/>
    </row>
    <row r="2" ht="21.95000076293945" customHeight="1" s="70">
      <c r="A2" s="67" t="inlineStr">
        <is>
          <t>User input layer. Cost_Register must be rebuilt from these sheets via BuildCostRegister.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</row>
    <row r="4" ht="28" customHeight="1" s="70">
      <c r="A4" s="148" t="inlineStr">
        <is>
          <t>Item ID</t>
        </is>
      </c>
      <c r="B4" s="148" t="inlineStr">
        <is>
          <t>Description</t>
        </is>
      </c>
      <c r="C4" s="148" t="inlineStr">
        <is>
          <t>Discipline</t>
        </is>
      </c>
      <c r="D4" s="148" t="inlineStr">
        <is>
          <t>WBS</t>
        </is>
      </c>
      <c r="E4" s="148" t="inlineStr">
        <is>
          <t>CBS</t>
        </is>
      </c>
      <c r="F4" s="148" t="inlineStr">
        <is>
          <t>Cost Category</t>
        </is>
      </c>
      <c r="G4" s="148" t="inlineStr">
        <is>
          <t>Cost Type</t>
        </is>
      </c>
      <c r="H4" s="148" t="inlineStr">
        <is>
          <t>Quantity</t>
        </is>
      </c>
      <c r="I4" s="148" t="inlineStr">
        <is>
          <t>Unit</t>
        </is>
      </c>
      <c r="J4" s="148" t="inlineStr">
        <is>
          <t>Unit Rate</t>
        </is>
      </c>
      <c r="K4" s="148" t="inlineStr">
        <is>
          <t>Currency</t>
        </is>
      </c>
      <c r="L4" s="148" t="inlineStr">
        <is>
          <t>FX Rate</t>
        </is>
      </c>
      <c r="M4" s="148" t="inlineStr">
        <is>
          <t>Base Cost</t>
        </is>
      </c>
      <c r="N4" s="148" t="inlineStr">
        <is>
          <t>Base Cost EUR</t>
        </is>
      </c>
      <c r="O4" s="148" t="inlineStr">
        <is>
          <t>Estimate Basis</t>
        </is>
      </c>
      <c r="P4" s="148" t="inlineStr">
        <is>
          <t>Accuracy Low %</t>
        </is>
      </c>
      <c r="Q4" s="148" t="inlineStr">
        <is>
          <t>Accuracy High %</t>
        </is>
      </c>
      <c r="R4" s="148" t="inlineStr">
        <is>
          <t>Low Cost</t>
        </is>
      </c>
      <c r="S4" s="148" t="inlineStr">
        <is>
          <t>Most Likely Cost</t>
        </is>
      </c>
      <c r="T4" s="148" t="inlineStr">
        <is>
          <t>High Cost</t>
        </is>
      </c>
      <c r="U4" s="148" t="inlineStr">
        <is>
          <t>Contingency Eligible</t>
        </is>
      </c>
      <c r="V4" s="148" t="inlineStr">
        <is>
          <t>Escalation Eligible</t>
        </is>
      </c>
      <c r="W4" s="148" t="inlineStr">
        <is>
          <t>Spend Category</t>
        </is>
      </c>
      <c r="X4" s="148" t="inlineStr">
        <is>
          <t>Phase</t>
        </is>
      </c>
      <c r="Y4" s="148" t="inlineStr">
        <is>
          <t>Start Month</t>
        </is>
      </c>
      <c r="Z4" s="148" t="inlineStr">
        <is>
          <t>End Month</t>
        </is>
      </c>
      <c r="AA4" s="148" t="inlineStr">
        <is>
          <t>Spend Curve</t>
        </is>
      </c>
      <c r="AB4" s="148" t="inlineStr">
        <is>
          <t>Notes</t>
        </is>
      </c>
    </row>
    <row r="5">
      <c r="A5" s="149" t="inlineStr">
        <is>
          <t>OT-001</t>
        </is>
      </c>
      <c r="B5" s="149" t="inlineStr">
        <is>
          <t>Capital spares initial holding</t>
        </is>
      </c>
      <c r="C5" s="150">
        <f>IF($D5="","",IFERROR(INDEX(WBS_CBS!$E$5:$E$16,MATCH($D5,WBS_CBS!$A$5:$A$16,0)),""))</f>
        <v/>
      </c>
      <c r="D5" s="149" t="inlineStr">
        <is>
          <t>12.0</t>
        </is>
      </c>
      <c r="E5" s="150">
        <f>IF($D5="","",IFERROR(INDEX(WBS_CBS!$C$5:$C$16,MATCH($D5,WBS_CBS!$A$5:$A$16,0)),""))</f>
        <v/>
      </c>
      <c r="F5" s="150">
        <f>IF($D5="","",IFERROR(INDEX(WBS_CBS!$J$5:$J$16,MATCH($D5,WBS_CBS!$A$5:$A$16,0)),""))</f>
        <v/>
      </c>
      <c r="G5" s="149" t="inlineStr">
        <is>
          <t>Spares</t>
        </is>
      </c>
      <c r="H5" s="151" t="n">
        <v>1</v>
      </c>
      <c r="I5" s="149" t="inlineStr">
        <is>
          <t>lot</t>
        </is>
      </c>
      <c r="J5" s="152" t="n">
        <v>400000</v>
      </c>
      <c r="K5" s="149" t="inlineStr">
        <is>
          <t>EUR</t>
        </is>
      </c>
      <c r="L5" s="153">
        <f>IF($K5="","",IFERROR(INDEX(FX_Rates!$B$5:$B$14,MATCH($K5,FX_Rates!$A$5:$A$14,0)),""))</f>
        <v/>
      </c>
      <c r="M5" s="153">
        <f>IF(OR($H5="",$J5=""),"",$H5*$J5)</f>
        <v/>
      </c>
      <c r="N5" s="153">
        <f>IF(OR($M5="",$L5=""),"",$M5*$L5)</f>
        <v/>
      </c>
      <c r="O5" s="149" t="inlineStr">
        <is>
          <t>Class 3</t>
        </is>
      </c>
      <c r="P5" s="154">
        <f>IF($O5="","",IFERROR(INDEX(Basis_of_Estimate!$C$5:$C$9,MATCH($O5,Basis_of_Estimate!$A$5:$A$9,0)),""))</f>
        <v/>
      </c>
      <c r="Q5" s="154">
        <f>IF($O5="","",IFERROR(INDEX(Basis_of_Estimate!$D$5:$D$9,MATCH($O5,Basis_of_Estimate!$A$5:$A$9,0)),""))</f>
        <v/>
      </c>
      <c r="R5" s="153">
        <f>IF($N5="","",$N5*(1+$P5))</f>
        <v/>
      </c>
      <c r="S5" s="153">
        <f>IF($N5="","",$N5)</f>
        <v/>
      </c>
      <c r="T5" s="153">
        <f>IF($N5="","",$N5*(1+$Q5))</f>
        <v/>
      </c>
      <c r="U5" s="150">
        <f>IF($D5="","",IFERROR(INDEX(WBS_CBS!$M$5:$M$16,MATCH($D5,WBS_CBS!$A$5:$A$16,0)),"Yes"))</f>
        <v/>
      </c>
      <c r="V5" s="150">
        <f>IF($D5="","",IFERROR(INDEX(WBS_CBS!$N$5:$N$16,MATCH($D5,WBS_CBS!$A$5:$A$16,0)),"Yes"))</f>
        <v/>
      </c>
      <c r="W5" s="150">
        <f>IF($D5="","",IFERROR(INDEX(WBS_CBS!$K$5:$K$16,MATCH($D5,WBS_CBS!$A$5:$A$16,0)),""))</f>
        <v/>
      </c>
      <c r="X5" s="150">
        <f>IF($D5="","",IFERROR(INDEX(WBS_CBS!$F$5:$F$16,MATCH($D5,WBS_CBS!$A$5:$A$16,0)),""))</f>
        <v/>
      </c>
      <c r="Y5" s="149" t="n">
        <v>25</v>
      </c>
      <c r="Z5" s="149" t="n">
        <v>34</v>
      </c>
      <c r="AA5" s="150">
        <f>IF($D5="","",IFERROR(INDEX(WBS_CBS!$L$5:$L$16,MATCH($D5,WBS_CBS!$A$5:$A$16,0)),""))</f>
        <v/>
      </c>
      <c r="AB5" s="149" t="n"/>
    </row>
    <row r="6">
      <c r="A6" s="149" t="inlineStr">
        <is>
          <t>OT-002</t>
        </is>
      </c>
      <c r="B6" s="149" t="inlineStr">
        <is>
          <t>Training and operational readiness</t>
        </is>
      </c>
      <c r="C6" s="150">
        <f>IF($D6="","",IFERROR(INDEX(WBS_CBS!$E$5:$E$16,MATCH($D6,WBS_CBS!$A$5:$A$16,0)),""))</f>
        <v/>
      </c>
      <c r="D6" s="149" t="inlineStr">
        <is>
          <t>10.0</t>
        </is>
      </c>
      <c r="E6" s="150">
        <f>IF($D6="","",IFERROR(INDEX(WBS_CBS!$C$5:$C$16,MATCH($D6,WBS_CBS!$A$5:$A$16,0)),""))</f>
        <v/>
      </c>
      <c r="F6" s="150">
        <f>IF($D6="","",IFERROR(INDEX(WBS_CBS!$J$5:$J$16,MATCH($D6,WBS_CBS!$A$5:$A$16,0)),""))</f>
        <v/>
      </c>
      <c r="G6" s="149" t="inlineStr">
        <is>
          <t>Other</t>
        </is>
      </c>
      <c r="H6" s="151" t="n">
        <v>1</v>
      </c>
      <c r="I6" s="149" t="inlineStr">
        <is>
          <t>lot</t>
        </is>
      </c>
      <c r="J6" s="152" t="n">
        <v>200000</v>
      </c>
      <c r="K6" s="149" t="inlineStr">
        <is>
          <t>EUR</t>
        </is>
      </c>
      <c r="L6" s="153">
        <f>IF($K6="","",IFERROR(INDEX(FX_Rates!$B$5:$B$14,MATCH($K6,FX_Rates!$A$5:$A$14,0)),""))</f>
        <v/>
      </c>
      <c r="M6" s="153">
        <f>IF(OR($H6="",$J6=""),"",$H6*$J6)</f>
        <v/>
      </c>
      <c r="N6" s="153">
        <f>IF(OR($M6="",$L6=""),"",$M6*$L6)</f>
        <v/>
      </c>
      <c r="O6" s="149" t="inlineStr">
        <is>
          <t>Class 3</t>
        </is>
      </c>
      <c r="P6" s="154">
        <f>IF($O6="","",IFERROR(INDEX(Basis_of_Estimate!$C$5:$C$9,MATCH($O6,Basis_of_Estimate!$A$5:$A$9,0)),""))</f>
        <v/>
      </c>
      <c r="Q6" s="154">
        <f>IF($O6="","",IFERROR(INDEX(Basis_of_Estimate!$D$5:$D$9,MATCH($O6,Basis_of_Estimate!$A$5:$A$9,0)),""))</f>
        <v/>
      </c>
      <c r="R6" s="153">
        <f>IF($N6="","",$N6*(1+$P6))</f>
        <v/>
      </c>
      <c r="S6" s="153">
        <f>IF($N6="","",$N6)</f>
        <v/>
      </c>
      <c r="T6" s="153">
        <f>IF($N6="","",$N6*(1+$Q6))</f>
        <v/>
      </c>
      <c r="U6" s="150">
        <f>IF($D6="","",IFERROR(INDEX(WBS_CBS!$M$5:$M$16,MATCH($D6,WBS_CBS!$A$5:$A$16,0)),"Yes"))</f>
        <v/>
      </c>
      <c r="V6" s="150">
        <f>IF($D6="","",IFERROR(INDEX(WBS_CBS!$N$5:$N$16,MATCH($D6,WBS_CBS!$A$5:$A$16,0)),"Yes"))</f>
        <v/>
      </c>
      <c r="W6" s="150">
        <f>IF($D6="","",IFERROR(INDEX(WBS_CBS!$K$5:$K$16,MATCH($D6,WBS_CBS!$A$5:$A$16,0)),""))</f>
        <v/>
      </c>
      <c r="X6" s="150">
        <f>IF($D6="","",IFERROR(INDEX(WBS_CBS!$F$5:$F$16,MATCH($D6,WBS_CBS!$A$5:$A$16,0)),""))</f>
        <v/>
      </c>
      <c r="Y6" s="149" t="n">
        <v>28</v>
      </c>
      <c r="Z6" s="149" t="n">
        <v>36</v>
      </c>
      <c r="AA6" s="150">
        <f>IF($D6="","",IFERROR(INDEX(WBS_CBS!$L$5:$L$16,MATCH($D6,WBS_CBS!$A$5:$A$16,0)),""))</f>
        <v/>
      </c>
      <c r="AB6" s="149" t="n"/>
    </row>
    <row r="7">
      <c r="A7" s="149" t="inlineStr">
        <is>
          <t>OT-003</t>
        </is>
      </c>
      <c r="B7" s="149" t="inlineStr">
        <is>
          <t>Start-up consumables and temporary support</t>
        </is>
      </c>
      <c r="C7" s="150">
        <f>IF($D7="","",IFERROR(INDEX(WBS_CBS!$E$5:$E$16,MATCH($D7,WBS_CBS!$A$5:$A$16,0)),""))</f>
        <v/>
      </c>
      <c r="D7" s="149" t="inlineStr">
        <is>
          <t>10.0</t>
        </is>
      </c>
      <c r="E7" s="150">
        <f>IF($D7="","",IFERROR(INDEX(WBS_CBS!$C$5:$C$16,MATCH($D7,WBS_CBS!$A$5:$A$16,0)),""))</f>
        <v/>
      </c>
      <c r="F7" s="150">
        <f>IF($D7="","",IFERROR(INDEX(WBS_CBS!$J$5:$J$16,MATCH($D7,WBS_CBS!$A$5:$A$16,0)),""))</f>
        <v/>
      </c>
      <c r="G7" s="149" t="inlineStr">
        <is>
          <t>Other</t>
        </is>
      </c>
      <c r="H7" s="151" t="n">
        <v>1</v>
      </c>
      <c r="I7" s="149" t="inlineStr">
        <is>
          <t>lot</t>
        </is>
      </c>
      <c r="J7" s="152" t="n">
        <v>400000</v>
      </c>
      <c r="K7" s="149" t="inlineStr">
        <is>
          <t>EUR</t>
        </is>
      </c>
      <c r="L7" s="153">
        <f>IF($K7="","",IFERROR(INDEX(FX_Rates!$B$5:$B$14,MATCH($K7,FX_Rates!$A$5:$A$14,0)),""))</f>
        <v/>
      </c>
      <c r="M7" s="153">
        <f>IF(OR($H7="",$J7=""),"",$H7*$J7)</f>
        <v/>
      </c>
      <c r="N7" s="153">
        <f>IF(OR($M7="",$L7=""),"",$M7*$L7)</f>
        <v/>
      </c>
      <c r="O7" s="149" t="inlineStr">
        <is>
          <t>Class 3</t>
        </is>
      </c>
      <c r="P7" s="154">
        <f>IF($O7="","",IFERROR(INDEX(Basis_of_Estimate!$C$5:$C$9,MATCH($O7,Basis_of_Estimate!$A$5:$A$9,0)),""))</f>
        <v/>
      </c>
      <c r="Q7" s="154">
        <f>IF($O7="","",IFERROR(INDEX(Basis_of_Estimate!$D$5:$D$9,MATCH($O7,Basis_of_Estimate!$A$5:$A$9,0)),""))</f>
        <v/>
      </c>
      <c r="R7" s="153">
        <f>IF($N7="","",$N7*(1+$P7))</f>
        <v/>
      </c>
      <c r="S7" s="153">
        <f>IF($N7="","",$N7)</f>
        <v/>
      </c>
      <c r="T7" s="153">
        <f>IF($N7="","",$N7*(1+$Q7))</f>
        <v/>
      </c>
      <c r="U7" s="150">
        <f>IF($D7="","",IFERROR(INDEX(WBS_CBS!$M$5:$M$16,MATCH($D7,WBS_CBS!$A$5:$A$16,0)),"Yes"))</f>
        <v/>
      </c>
      <c r="V7" s="150">
        <f>IF($D7="","",IFERROR(INDEX(WBS_CBS!$N$5:$N$16,MATCH($D7,WBS_CBS!$A$5:$A$16,0)),"Yes"))</f>
        <v/>
      </c>
      <c r="W7" s="150">
        <f>IF($D7="","",IFERROR(INDEX(WBS_CBS!$K$5:$K$16,MATCH($D7,WBS_CBS!$A$5:$A$16,0)),""))</f>
        <v/>
      </c>
      <c r="X7" s="150">
        <f>IF($D7="","",IFERROR(INDEX(WBS_CBS!$F$5:$F$16,MATCH($D7,WBS_CBS!$A$5:$A$16,0)),""))</f>
        <v/>
      </c>
      <c r="Y7" s="149" t="n">
        <v>31</v>
      </c>
      <c r="Z7" s="149" t="n">
        <v>36</v>
      </c>
      <c r="AA7" s="150">
        <f>IF($D7="","",IFERROR(INDEX(WBS_CBS!$L$5:$L$16,MATCH($D7,WBS_CBS!$A$5:$A$16,0)),""))</f>
        <v/>
      </c>
      <c r="AB7" s="149" t="n"/>
    </row>
    <row r="8">
      <c r="A8" s="149" t="n"/>
      <c r="B8" s="149" t="n"/>
      <c r="C8" s="150">
        <f>IF($D8="","",IFERROR(INDEX(WBS_CBS!$E$5:$E$16,MATCH($D8,WBS_CBS!$A$5:$A$16,0)),""))</f>
        <v/>
      </c>
      <c r="D8" s="149" t="n"/>
      <c r="E8" s="150">
        <f>IF($D8="","",IFERROR(INDEX(WBS_CBS!$C$5:$C$16,MATCH($D8,WBS_CBS!$A$5:$A$16,0)),""))</f>
        <v/>
      </c>
      <c r="F8" s="150">
        <f>IF($D8="","",IFERROR(INDEX(WBS_CBS!$J$5:$J$16,MATCH($D8,WBS_CBS!$A$5:$A$16,0)),""))</f>
        <v/>
      </c>
      <c r="G8" s="149" t="n"/>
      <c r="H8" s="151" t="n"/>
      <c r="I8" s="149" t="n"/>
      <c r="J8" s="152" t="n"/>
      <c r="K8" s="149" t="n"/>
      <c r="L8" s="153">
        <f>IF($K8="","",IFERROR(INDEX(FX_Rates!$B$5:$B$14,MATCH($K8,FX_Rates!$A$5:$A$14,0)),""))</f>
        <v/>
      </c>
      <c r="M8" s="153">
        <f>IF(OR($H8="",$J8=""),"",$H8*$J8)</f>
        <v/>
      </c>
      <c r="N8" s="153">
        <f>IF(OR($M8="",$L8=""),"",$M8*$L8)</f>
        <v/>
      </c>
      <c r="O8" s="149" t="n"/>
      <c r="P8" s="154">
        <f>IF($O8="","",IFERROR(INDEX(Basis_of_Estimate!$C$5:$C$9,MATCH($O8,Basis_of_Estimate!$A$5:$A$9,0)),""))</f>
        <v/>
      </c>
      <c r="Q8" s="154">
        <f>IF($O8="","",IFERROR(INDEX(Basis_of_Estimate!$D$5:$D$9,MATCH($O8,Basis_of_Estimate!$A$5:$A$9,0)),""))</f>
        <v/>
      </c>
      <c r="R8" s="153">
        <f>IF($N8="","",$N8*(1+$P8))</f>
        <v/>
      </c>
      <c r="S8" s="153">
        <f>IF($N8="","",$N8)</f>
        <v/>
      </c>
      <c r="T8" s="153">
        <f>IF($N8="","",$N8*(1+$Q8))</f>
        <v/>
      </c>
      <c r="U8" s="150">
        <f>IF($D8="","",IFERROR(INDEX(WBS_CBS!$M$5:$M$16,MATCH($D8,WBS_CBS!$A$5:$A$16,0)),"Yes"))</f>
        <v/>
      </c>
      <c r="V8" s="150">
        <f>IF($D8="","",IFERROR(INDEX(WBS_CBS!$N$5:$N$16,MATCH($D8,WBS_CBS!$A$5:$A$16,0)),"Yes"))</f>
        <v/>
      </c>
      <c r="W8" s="150">
        <f>IF($D8="","",IFERROR(INDEX(WBS_CBS!$K$5:$K$16,MATCH($D8,WBS_CBS!$A$5:$A$16,0)),""))</f>
        <v/>
      </c>
      <c r="X8" s="150">
        <f>IF($D8="","",IFERROR(INDEX(WBS_CBS!$F$5:$F$16,MATCH($D8,WBS_CBS!$A$5:$A$16,0)),""))</f>
        <v/>
      </c>
      <c r="Y8" s="149" t="n"/>
      <c r="Z8" s="149" t="n"/>
      <c r="AA8" s="150">
        <f>IF($D8="","",IFERROR(INDEX(WBS_CBS!$L$5:$L$16,MATCH($D8,WBS_CBS!$A$5:$A$16,0)),""))</f>
        <v/>
      </c>
      <c r="AB8" s="149" t="n"/>
    </row>
    <row r="9">
      <c r="A9" s="149" t="n"/>
      <c r="B9" s="149" t="n"/>
      <c r="C9" s="150">
        <f>IF($D9="","",IFERROR(INDEX(WBS_CBS!$E$5:$E$16,MATCH($D9,WBS_CBS!$A$5:$A$16,0)),""))</f>
        <v/>
      </c>
      <c r="D9" s="149" t="n"/>
      <c r="E9" s="150">
        <f>IF($D9="","",IFERROR(INDEX(WBS_CBS!$C$5:$C$16,MATCH($D9,WBS_CBS!$A$5:$A$16,0)),""))</f>
        <v/>
      </c>
      <c r="F9" s="150">
        <f>IF($D9="","",IFERROR(INDEX(WBS_CBS!$J$5:$J$16,MATCH($D9,WBS_CBS!$A$5:$A$16,0)),""))</f>
        <v/>
      </c>
      <c r="G9" s="149" t="n"/>
      <c r="H9" s="151" t="n"/>
      <c r="I9" s="149" t="n"/>
      <c r="J9" s="152" t="n"/>
      <c r="K9" s="149" t="n"/>
      <c r="L9" s="153">
        <f>IF($K9="","",IFERROR(INDEX(FX_Rates!$B$5:$B$14,MATCH($K9,FX_Rates!$A$5:$A$14,0)),""))</f>
        <v/>
      </c>
      <c r="M9" s="153">
        <f>IF(OR($H9="",$J9=""),"",$H9*$J9)</f>
        <v/>
      </c>
      <c r="N9" s="153">
        <f>IF(OR($M9="",$L9=""),"",$M9*$L9)</f>
        <v/>
      </c>
      <c r="O9" s="149" t="n"/>
      <c r="P9" s="154">
        <f>IF($O9="","",IFERROR(INDEX(Basis_of_Estimate!$C$5:$C$9,MATCH($O9,Basis_of_Estimate!$A$5:$A$9,0)),""))</f>
        <v/>
      </c>
      <c r="Q9" s="154">
        <f>IF($O9="","",IFERROR(INDEX(Basis_of_Estimate!$D$5:$D$9,MATCH($O9,Basis_of_Estimate!$A$5:$A$9,0)),""))</f>
        <v/>
      </c>
      <c r="R9" s="153">
        <f>IF($N9="","",$N9*(1+$P9))</f>
        <v/>
      </c>
      <c r="S9" s="153">
        <f>IF($N9="","",$N9)</f>
        <v/>
      </c>
      <c r="T9" s="153">
        <f>IF($N9="","",$N9*(1+$Q9))</f>
        <v/>
      </c>
      <c r="U9" s="150">
        <f>IF($D9="","",IFERROR(INDEX(WBS_CBS!$M$5:$M$16,MATCH($D9,WBS_CBS!$A$5:$A$16,0)),"Yes"))</f>
        <v/>
      </c>
      <c r="V9" s="150">
        <f>IF($D9="","",IFERROR(INDEX(WBS_CBS!$N$5:$N$16,MATCH($D9,WBS_CBS!$A$5:$A$16,0)),"Yes"))</f>
        <v/>
      </c>
      <c r="W9" s="150">
        <f>IF($D9="","",IFERROR(INDEX(WBS_CBS!$K$5:$K$16,MATCH($D9,WBS_CBS!$A$5:$A$16,0)),""))</f>
        <v/>
      </c>
      <c r="X9" s="150">
        <f>IF($D9="","",IFERROR(INDEX(WBS_CBS!$F$5:$F$16,MATCH($D9,WBS_CBS!$A$5:$A$16,0)),""))</f>
        <v/>
      </c>
      <c r="Y9" s="149" t="n"/>
      <c r="Z9" s="149" t="n"/>
      <c r="AA9" s="150">
        <f>IF($D9="","",IFERROR(INDEX(WBS_CBS!$L$5:$L$16,MATCH($D9,WBS_CBS!$A$5:$A$16,0)),""))</f>
        <v/>
      </c>
      <c r="AB9" s="149" t="n"/>
    </row>
    <row r="10">
      <c r="A10" s="149" t="n"/>
      <c r="B10" s="149" t="n"/>
      <c r="C10" s="150">
        <f>IF($D10="","",IFERROR(INDEX(WBS_CBS!$E$5:$E$16,MATCH($D10,WBS_CBS!$A$5:$A$16,0)),""))</f>
        <v/>
      </c>
      <c r="D10" s="149" t="n"/>
      <c r="E10" s="150">
        <f>IF($D10="","",IFERROR(INDEX(WBS_CBS!$C$5:$C$16,MATCH($D10,WBS_CBS!$A$5:$A$16,0)),""))</f>
        <v/>
      </c>
      <c r="F10" s="150">
        <f>IF($D10="","",IFERROR(INDEX(WBS_CBS!$J$5:$J$16,MATCH($D10,WBS_CBS!$A$5:$A$16,0)),""))</f>
        <v/>
      </c>
      <c r="G10" s="149" t="n"/>
      <c r="H10" s="151" t="n"/>
      <c r="I10" s="149" t="n"/>
      <c r="J10" s="152" t="n"/>
      <c r="K10" s="149" t="n"/>
      <c r="L10" s="153">
        <f>IF($K10="","",IFERROR(INDEX(FX_Rates!$B$5:$B$14,MATCH($K10,FX_Rates!$A$5:$A$14,0)),""))</f>
        <v/>
      </c>
      <c r="M10" s="153">
        <f>IF(OR($H10="",$J10=""),"",$H10*$J10)</f>
        <v/>
      </c>
      <c r="N10" s="153">
        <f>IF(OR($M10="",$L10=""),"",$M10*$L10)</f>
        <v/>
      </c>
      <c r="O10" s="149" t="n"/>
      <c r="P10" s="154">
        <f>IF($O10="","",IFERROR(INDEX(Basis_of_Estimate!$C$5:$C$9,MATCH($O10,Basis_of_Estimate!$A$5:$A$9,0)),""))</f>
        <v/>
      </c>
      <c r="Q10" s="154">
        <f>IF($O10="","",IFERROR(INDEX(Basis_of_Estimate!$D$5:$D$9,MATCH($O10,Basis_of_Estimate!$A$5:$A$9,0)),""))</f>
        <v/>
      </c>
      <c r="R10" s="153">
        <f>IF($N10="","",$N10*(1+$P10))</f>
        <v/>
      </c>
      <c r="S10" s="153">
        <f>IF($N10="","",$N10)</f>
        <v/>
      </c>
      <c r="T10" s="153">
        <f>IF($N10="","",$N10*(1+$Q10))</f>
        <v/>
      </c>
      <c r="U10" s="150">
        <f>IF($D10="","",IFERROR(INDEX(WBS_CBS!$M$5:$M$16,MATCH($D10,WBS_CBS!$A$5:$A$16,0)),"Yes"))</f>
        <v/>
      </c>
      <c r="V10" s="150">
        <f>IF($D10="","",IFERROR(INDEX(WBS_CBS!$N$5:$N$16,MATCH($D10,WBS_CBS!$A$5:$A$16,0)),"Yes"))</f>
        <v/>
      </c>
      <c r="W10" s="150">
        <f>IF($D10="","",IFERROR(INDEX(WBS_CBS!$K$5:$K$16,MATCH($D10,WBS_CBS!$A$5:$A$16,0)),""))</f>
        <v/>
      </c>
      <c r="X10" s="150">
        <f>IF($D10="","",IFERROR(INDEX(WBS_CBS!$F$5:$F$16,MATCH($D10,WBS_CBS!$A$5:$A$16,0)),""))</f>
        <v/>
      </c>
      <c r="Y10" s="149" t="n"/>
      <c r="Z10" s="149" t="n"/>
      <c r="AA10" s="150">
        <f>IF($D10="","",IFERROR(INDEX(WBS_CBS!$L$5:$L$16,MATCH($D10,WBS_CBS!$A$5:$A$16,0)),""))</f>
        <v/>
      </c>
      <c r="AB10" s="149" t="n"/>
    </row>
    <row r="11">
      <c r="A11" s="149" t="n"/>
      <c r="B11" s="149" t="n"/>
      <c r="C11" s="150">
        <f>IF($D11="","",IFERROR(INDEX(WBS_CBS!$E$5:$E$16,MATCH($D11,WBS_CBS!$A$5:$A$16,0)),""))</f>
        <v/>
      </c>
      <c r="D11" s="149" t="n"/>
      <c r="E11" s="150">
        <f>IF($D11="","",IFERROR(INDEX(WBS_CBS!$C$5:$C$16,MATCH($D11,WBS_CBS!$A$5:$A$16,0)),""))</f>
        <v/>
      </c>
      <c r="F11" s="150">
        <f>IF($D11="","",IFERROR(INDEX(WBS_CBS!$J$5:$J$16,MATCH($D11,WBS_CBS!$A$5:$A$16,0)),""))</f>
        <v/>
      </c>
      <c r="G11" s="149" t="n"/>
      <c r="H11" s="151" t="n"/>
      <c r="I11" s="149" t="n"/>
      <c r="J11" s="152" t="n"/>
      <c r="K11" s="149" t="n"/>
      <c r="L11" s="153">
        <f>IF($K11="","",IFERROR(INDEX(FX_Rates!$B$5:$B$14,MATCH($K11,FX_Rates!$A$5:$A$14,0)),""))</f>
        <v/>
      </c>
      <c r="M11" s="153">
        <f>IF(OR($H11="",$J11=""),"",$H11*$J11)</f>
        <v/>
      </c>
      <c r="N11" s="153">
        <f>IF(OR($M11="",$L11=""),"",$M11*$L11)</f>
        <v/>
      </c>
      <c r="O11" s="149" t="n"/>
      <c r="P11" s="154">
        <f>IF($O11="","",IFERROR(INDEX(Basis_of_Estimate!$C$5:$C$9,MATCH($O11,Basis_of_Estimate!$A$5:$A$9,0)),""))</f>
        <v/>
      </c>
      <c r="Q11" s="154">
        <f>IF($O11="","",IFERROR(INDEX(Basis_of_Estimate!$D$5:$D$9,MATCH($O11,Basis_of_Estimate!$A$5:$A$9,0)),""))</f>
        <v/>
      </c>
      <c r="R11" s="153">
        <f>IF($N11="","",$N11*(1+$P11))</f>
        <v/>
      </c>
      <c r="S11" s="153">
        <f>IF($N11="","",$N11)</f>
        <v/>
      </c>
      <c r="T11" s="153">
        <f>IF($N11="","",$N11*(1+$Q11))</f>
        <v/>
      </c>
      <c r="U11" s="150">
        <f>IF($D11="","",IFERROR(INDEX(WBS_CBS!$M$5:$M$16,MATCH($D11,WBS_CBS!$A$5:$A$16,0)),"Yes"))</f>
        <v/>
      </c>
      <c r="V11" s="150">
        <f>IF($D11="","",IFERROR(INDEX(WBS_CBS!$N$5:$N$16,MATCH($D11,WBS_CBS!$A$5:$A$16,0)),"Yes"))</f>
        <v/>
      </c>
      <c r="W11" s="150">
        <f>IF($D11="","",IFERROR(INDEX(WBS_CBS!$K$5:$K$16,MATCH($D11,WBS_CBS!$A$5:$A$16,0)),""))</f>
        <v/>
      </c>
      <c r="X11" s="150">
        <f>IF($D11="","",IFERROR(INDEX(WBS_CBS!$F$5:$F$16,MATCH($D11,WBS_CBS!$A$5:$A$16,0)),""))</f>
        <v/>
      </c>
      <c r="Y11" s="149" t="n"/>
      <c r="Z11" s="149" t="n"/>
      <c r="AA11" s="150">
        <f>IF($D11="","",IFERROR(INDEX(WBS_CBS!$L$5:$L$16,MATCH($D11,WBS_CBS!$A$5:$A$16,0)),""))</f>
        <v/>
      </c>
      <c r="AB11" s="149" t="n"/>
    </row>
    <row r="12">
      <c r="A12" s="149" t="n"/>
      <c r="B12" s="149" t="n"/>
      <c r="C12" s="150">
        <f>IF($D12="","",IFERROR(INDEX(WBS_CBS!$E$5:$E$16,MATCH($D12,WBS_CBS!$A$5:$A$16,0)),""))</f>
        <v/>
      </c>
      <c r="D12" s="149" t="n"/>
      <c r="E12" s="150">
        <f>IF($D12="","",IFERROR(INDEX(WBS_CBS!$C$5:$C$16,MATCH($D12,WBS_CBS!$A$5:$A$16,0)),""))</f>
        <v/>
      </c>
      <c r="F12" s="150">
        <f>IF($D12="","",IFERROR(INDEX(WBS_CBS!$J$5:$J$16,MATCH($D12,WBS_CBS!$A$5:$A$16,0)),""))</f>
        <v/>
      </c>
      <c r="G12" s="149" t="n"/>
      <c r="H12" s="151" t="n"/>
      <c r="I12" s="149" t="n"/>
      <c r="J12" s="152" t="n"/>
      <c r="K12" s="149" t="n"/>
      <c r="L12" s="153">
        <f>IF($K12="","",IFERROR(INDEX(FX_Rates!$B$5:$B$14,MATCH($K12,FX_Rates!$A$5:$A$14,0)),""))</f>
        <v/>
      </c>
      <c r="M12" s="153">
        <f>IF(OR($H12="",$J12=""),"",$H12*$J12)</f>
        <v/>
      </c>
      <c r="N12" s="153">
        <f>IF(OR($M12="",$L12=""),"",$M12*$L12)</f>
        <v/>
      </c>
      <c r="O12" s="149" t="n"/>
      <c r="P12" s="154">
        <f>IF($O12="","",IFERROR(INDEX(Basis_of_Estimate!$C$5:$C$9,MATCH($O12,Basis_of_Estimate!$A$5:$A$9,0)),""))</f>
        <v/>
      </c>
      <c r="Q12" s="154">
        <f>IF($O12="","",IFERROR(INDEX(Basis_of_Estimate!$D$5:$D$9,MATCH($O12,Basis_of_Estimate!$A$5:$A$9,0)),""))</f>
        <v/>
      </c>
      <c r="R12" s="153">
        <f>IF($N12="","",$N12*(1+$P12))</f>
        <v/>
      </c>
      <c r="S12" s="153">
        <f>IF($N12="","",$N12)</f>
        <v/>
      </c>
      <c r="T12" s="153">
        <f>IF($N12="","",$N12*(1+$Q12))</f>
        <v/>
      </c>
      <c r="U12" s="150">
        <f>IF($D12="","",IFERROR(INDEX(WBS_CBS!$M$5:$M$16,MATCH($D12,WBS_CBS!$A$5:$A$16,0)),"Yes"))</f>
        <v/>
      </c>
      <c r="V12" s="150">
        <f>IF($D12="","",IFERROR(INDEX(WBS_CBS!$N$5:$N$16,MATCH($D12,WBS_CBS!$A$5:$A$16,0)),"Yes"))</f>
        <v/>
      </c>
      <c r="W12" s="150">
        <f>IF($D12="","",IFERROR(INDEX(WBS_CBS!$K$5:$K$16,MATCH($D12,WBS_CBS!$A$5:$A$16,0)),""))</f>
        <v/>
      </c>
      <c r="X12" s="150">
        <f>IF($D12="","",IFERROR(INDEX(WBS_CBS!$F$5:$F$16,MATCH($D12,WBS_CBS!$A$5:$A$16,0)),""))</f>
        <v/>
      </c>
      <c r="Y12" s="149" t="n"/>
      <c r="Z12" s="149" t="n"/>
      <c r="AA12" s="150">
        <f>IF($D12="","",IFERROR(INDEX(WBS_CBS!$L$5:$L$16,MATCH($D12,WBS_CBS!$A$5:$A$16,0)),""))</f>
        <v/>
      </c>
      <c r="AB12" s="149" t="n"/>
    </row>
    <row r="13">
      <c r="A13" s="149" t="n"/>
      <c r="B13" s="149" t="n"/>
      <c r="C13" s="150">
        <f>IF($D13="","",IFERROR(INDEX(WBS_CBS!$E$5:$E$16,MATCH($D13,WBS_CBS!$A$5:$A$16,0)),""))</f>
        <v/>
      </c>
      <c r="D13" s="149" t="n"/>
      <c r="E13" s="150">
        <f>IF($D13="","",IFERROR(INDEX(WBS_CBS!$C$5:$C$16,MATCH($D13,WBS_CBS!$A$5:$A$16,0)),""))</f>
        <v/>
      </c>
      <c r="F13" s="150">
        <f>IF($D13="","",IFERROR(INDEX(WBS_CBS!$J$5:$J$16,MATCH($D13,WBS_CBS!$A$5:$A$16,0)),""))</f>
        <v/>
      </c>
      <c r="G13" s="149" t="n"/>
      <c r="H13" s="151" t="n"/>
      <c r="I13" s="149" t="n"/>
      <c r="J13" s="152" t="n"/>
      <c r="K13" s="149" t="n"/>
      <c r="L13" s="153">
        <f>IF($K13="","",IFERROR(INDEX(FX_Rates!$B$5:$B$14,MATCH($K13,FX_Rates!$A$5:$A$14,0)),""))</f>
        <v/>
      </c>
      <c r="M13" s="153">
        <f>IF(OR($H13="",$J13=""),"",$H13*$J13)</f>
        <v/>
      </c>
      <c r="N13" s="153">
        <f>IF(OR($M13="",$L13=""),"",$M13*$L13)</f>
        <v/>
      </c>
      <c r="O13" s="149" t="n"/>
      <c r="P13" s="154">
        <f>IF($O13="","",IFERROR(INDEX(Basis_of_Estimate!$C$5:$C$9,MATCH($O13,Basis_of_Estimate!$A$5:$A$9,0)),""))</f>
        <v/>
      </c>
      <c r="Q13" s="154">
        <f>IF($O13="","",IFERROR(INDEX(Basis_of_Estimate!$D$5:$D$9,MATCH($O13,Basis_of_Estimate!$A$5:$A$9,0)),""))</f>
        <v/>
      </c>
      <c r="R13" s="153">
        <f>IF($N13="","",$N13*(1+$P13))</f>
        <v/>
      </c>
      <c r="S13" s="153">
        <f>IF($N13="","",$N13)</f>
        <v/>
      </c>
      <c r="T13" s="153">
        <f>IF($N13="","",$N13*(1+$Q13))</f>
        <v/>
      </c>
      <c r="U13" s="150">
        <f>IF($D13="","",IFERROR(INDEX(WBS_CBS!$M$5:$M$16,MATCH($D13,WBS_CBS!$A$5:$A$16,0)),"Yes"))</f>
        <v/>
      </c>
      <c r="V13" s="150">
        <f>IF($D13="","",IFERROR(INDEX(WBS_CBS!$N$5:$N$16,MATCH($D13,WBS_CBS!$A$5:$A$16,0)),"Yes"))</f>
        <v/>
      </c>
      <c r="W13" s="150">
        <f>IF($D13="","",IFERROR(INDEX(WBS_CBS!$K$5:$K$16,MATCH($D13,WBS_CBS!$A$5:$A$16,0)),""))</f>
        <v/>
      </c>
      <c r="X13" s="150">
        <f>IF($D13="","",IFERROR(INDEX(WBS_CBS!$F$5:$F$16,MATCH($D13,WBS_CBS!$A$5:$A$16,0)),""))</f>
        <v/>
      </c>
      <c r="Y13" s="149" t="n"/>
      <c r="Z13" s="149" t="n"/>
      <c r="AA13" s="150">
        <f>IF($D13="","",IFERROR(INDEX(WBS_CBS!$L$5:$L$16,MATCH($D13,WBS_CBS!$A$5:$A$16,0)),""))</f>
        <v/>
      </c>
      <c r="AB13" s="149" t="n"/>
    </row>
    <row r="14">
      <c r="A14" s="149" t="n"/>
      <c r="B14" s="149" t="n"/>
      <c r="C14" s="150">
        <f>IF($D14="","",IFERROR(INDEX(WBS_CBS!$E$5:$E$16,MATCH($D14,WBS_CBS!$A$5:$A$16,0)),""))</f>
        <v/>
      </c>
      <c r="D14" s="149" t="n"/>
      <c r="E14" s="150">
        <f>IF($D14="","",IFERROR(INDEX(WBS_CBS!$C$5:$C$16,MATCH($D14,WBS_CBS!$A$5:$A$16,0)),""))</f>
        <v/>
      </c>
      <c r="F14" s="150">
        <f>IF($D14="","",IFERROR(INDEX(WBS_CBS!$J$5:$J$16,MATCH($D14,WBS_CBS!$A$5:$A$16,0)),""))</f>
        <v/>
      </c>
      <c r="G14" s="149" t="n"/>
      <c r="H14" s="151" t="n"/>
      <c r="I14" s="149" t="n"/>
      <c r="J14" s="152" t="n"/>
      <c r="K14" s="149" t="n"/>
      <c r="L14" s="153">
        <f>IF($K14="","",IFERROR(INDEX(FX_Rates!$B$5:$B$14,MATCH($K14,FX_Rates!$A$5:$A$14,0)),""))</f>
        <v/>
      </c>
      <c r="M14" s="153">
        <f>IF(OR($H14="",$J14=""),"",$H14*$J14)</f>
        <v/>
      </c>
      <c r="N14" s="153">
        <f>IF(OR($M14="",$L14=""),"",$M14*$L14)</f>
        <v/>
      </c>
      <c r="O14" s="149" t="n"/>
      <c r="P14" s="154">
        <f>IF($O14="","",IFERROR(INDEX(Basis_of_Estimate!$C$5:$C$9,MATCH($O14,Basis_of_Estimate!$A$5:$A$9,0)),""))</f>
        <v/>
      </c>
      <c r="Q14" s="154">
        <f>IF($O14="","",IFERROR(INDEX(Basis_of_Estimate!$D$5:$D$9,MATCH($O14,Basis_of_Estimate!$A$5:$A$9,0)),""))</f>
        <v/>
      </c>
      <c r="R14" s="153">
        <f>IF($N14="","",$N14*(1+$P14))</f>
        <v/>
      </c>
      <c r="S14" s="153">
        <f>IF($N14="","",$N14)</f>
        <v/>
      </c>
      <c r="T14" s="153">
        <f>IF($N14="","",$N14*(1+$Q14))</f>
        <v/>
      </c>
      <c r="U14" s="150">
        <f>IF($D14="","",IFERROR(INDEX(WBS_CBS!$M$5:$M$16,MATCH($D14,WBS_CBS!$A$5:$A$16,0)),"Yes"))</f>
        <v/>
      </c>
      <c r="V14" s="150">
        <f>IF($D14="","",IFERROR(INDEX(WBS_CBS!$N$5:$N$16,MATCH($D14,WBS_CBS!$A$5:$A$16,0)),"Yes"))</f>
        <v/>
      </c>
      <c r="W14" s="150">
        <f>IF($D14="","",IFERROR(INDEX(WBS_CBS!$K$5:$K$16,MATCH($D14,WBS_CBS!$A$5:$A$16,0)),""))</f>
        <v/>
      </c>
      <c r="X14" s="150">
        <f>IF($D14="","",IFERROR(INDEX(WBS_CBS!$F$5:$F$16,MATCH($D14,WBS_CBS!$A$5:$A$16,0)),""))</f>
        <v/>
      </c>
      <c r="Y14" s="149" t="n"/>
      <c r="Z14" s="149" t="n"/>
      <c r="AA14" s="150">
        <f>IF($D14="","",IFERROR(INDEX(WBS_CBS!$L$5:$L$16,MATCH($D14,WBS_CBS!$A$5:$A$16,0)),""))</f>
        <v/>
      </c>
      <c r="AB14" s="149" t="n"/>
    </row>
    <row r="15">
      <c r="A15" s="149" t="n"/>
      <c r="B15" s="149" t="n"/>
      <c r="C15" s="150">
        <f>IF($D15="","",IFERROR(INDEX(WBS_CBS!$E$5:$E$16,MATCH($D15,WBS_CBS!$A$5:$A$16,0)),""))</f>
        <v/>
      </c>
      <c r="D15" s="149" t="n"/>
      <c r="E15" s="150">
        <f>IF($D15="","",IFERROR(INDEX(WBS_CBS!$C$5:$C$16,MATCH($D15,WBS_CBS!$A$5:$A$16,0)),""))</f>
        <v/>
      </c>
      <c r="F15" s="150">
        <f>IF($D15="","",IFERROR(INDEX(WBS_CBS!$J$5:$J$16,MATCH($D15,WBS_CBS!$A$5:$A$16,0)),""))</f>
        <v/>
      </c>
      <c r="G15" s="149" t="n"/>
      <c r="H15" s="151" t="n"/>
      <c r="I15" s="149" t="n"/>
      <c r="J15" s="152" t="n"/>
      <c r="K15" s="149" t="n"/>
      <c r="L15" s="153">
        <f>IF($K15="","",IFERROR(INDEX(FX_Rates!$B$5:$B$14,MATCH($K15,FX_Rates!$A$5:$A$14,0)),""))</f>
        <v/>
      </c>
      <c r="M15" s="153">
        <f>IF(OR($H15="",$J15=""),"",$H15*$J15)</f>
        <v/>
      </c>
      <c r="N15" s="153">
        <f>IF(OR($M15="",$L15=""),"",$M15*$L15)</f>
        <v/>
      </c>
      <c r="O15" s="149" t="n"/>
      <c r="P15" s="154">
        <f>IF($O15="","",IFERROR(INDEX(Basis_of_Estimate!$C$5:$C$9,MATCH($O15,Basis_of_Estimate!$A$5:$A$9,0)),""))</f>
        <v/>
      </c>
      <c r="Q15" s="154">
        <f>IF($O15="","",IFERROR(INDEX(Basis_of_Estimate!$D$5:$D$9,MATCH($O15,Basis_of_Estimate!$A$5:$A$9,0)),""))</f>
        <v/>
      </c>
      <c r="R15" s="153">
        <f>IF($N15="","",$N15*(1+$P15))</f>
        <v/>
      </c>
      <c r="S15" s="153">
        <f>IF($N15="","",$N15)</f>
        <v/>
      </c>
      <c r="T15" s="153">
        <f>IF($N15="","",$N15*(1+$Q15))</f>
        <v/>
      </c>
      <c r="U15" s="150">
        <f>IF($D15="","",IFERROR(INDEX(WBS_CBS!$M$5:$M$16,MATCH($D15,WBS_CBS!$A$5:$A$16,0)),"Yes"))</f>
        <v/>
      </c>
      <c r="V15" s="150">
        <f>IF($D15="","",IFERROR(INDEX(WBS_CBS!$N$5:$N$16,MATCH($D15,WBS_CBS!$A$5:$A$16,0)),"Yes"))</f>
        <v/>
      </c>
      <c r="W15" s="150">
        <f>IF($D15="","",IFERROR(INDEX(WBS_CBS!$K$5:$K$16,MATCH($D15,WBS_CBS!$A$5:$A$16,0)),""))</f>
        <v/>
      </c>
      <c r="X15" s="150">
        <f>IF($D15="","",IFERROR(INDEX(WBS_CBS!$F$5:$F$16,MATCH($D15,WBS_CBS!$A$5:$A$16,0)),""))</f>
        <v/>
      </c>
      <c r="Y15" s="149" t="n"/>
      <c r="Z15" s="149" t="n"/>
      <c r="AA15" s="150">
        <f>IF($D15="","",IFERROR(INDEX(WBS_CBS!$L$5:$L$16,MATCH($D15,WBS_CBS!$A$5:$A$16,0)),""))</f>
        <v/>
      </c>
      <c r="AB15" s="149" t="n"/>
    </row>
    <row r="16">
      <c r="A16" s="149" t="n"/>
      <c r="B16" s="149" t="n"/>
      <c r="C16" s="150">
        <f>IF($D16="","",IFERROR(INDEX(WBS_CBS!$E$5:$E$16,MATCH($D16,WBS_CBS!$A$5:$A$16,0)),""))</f>
        <v/>
      </c>
      <c r="D16" s="149" t="n"/>
      <c r="E16" s="150">
        <f>IF($D16="","",IFERROR(INDEX(WBS_CBS!$C$5:$C$16,MATCH($D16,WBS_CBS!$A$5:$A$16,0)),""))</f>
        <v/>
      </c>
      <c r="F16" s="150">
        <f>IF($D16="","",IFERROR(INDEX(WBS_CBS!$J$5:$J$16,MATCH($D16,WBS_CBS!$A$5:$A$16,0)),""))</f>
        <v/>
      </c>
      <c r="G16" s="149" t="n"/>
      <c r="H16" s="151" t="n"/>
      <c r="I16" s="149" t="n"/>
      <c r="J16" s="152" t="n"/>
      <c r="K16" s="149" t="n"/>
      <c r="L16" s="153">
        <f>IF($K16="","",IFERROR(INDEX(FX_Rates!$B$5:$B$14,MATCH($K16,FX_Rates!$A$5:$A$14,0)),""))</f>
        <v/>
      </c>
      <c r="M16" s="153">
        <f>IF(OR($H16="",$J16=""),"",$H16*$J16)</f>
        <v/>
      </c>
      <c r="N16" s="153">
        <f>IF(OR($M16="",$L16=""),"",$M16*$L16)</f>
        <v/>
      </c>
      <c r="O16" s="149" t="n"/>
      <c r="P16" s="154">
        <f>IF($O16="","",IFERROR(INDEX(Basis_of_Estimate!$C$5:$C$9,MATCH($O16,Basis_of_Estimate!$A$5:$A$9,0)),""))</f>
        <v/>
      </c>
      <c r="Q16" s="154">
        <f>IF($O16="","",IFERROR(INDEX(Basis_of_Estimate!$D$5:$D$9,MATCH($O16,Basis_of_Estimate!$A$5:$A$9,0)),""))</f>
        <v/>
      </c>
      <c r="R16" s="153">
        <f>IF($N16="","",$N16*(1+$P16))</f>
        <v/>
      </c>
      <c r="S16" s="153">
        <f>IF($N16="","",$N16)</f>
        <v/>
      </c>
      <c r="T16" s="153">
        <f>IF($N16="","",$N16*(1+$Q16))</f>
        <v/>
      </c>
      <c r="U16" s="150">
        <f>IF($D16="","",IFERROR(INDEX(WBS_CBS!$M$5:$M$16,MATCH($D16,WBS_CBS!$A$5:$A$16,0)),"Yes"))</f>
        <v/>
      </c>
      <c r="V16" s="150">
        <f>IF($D16="","",IFERROR(INDEX(WBS_CBS!$N$5:$N$16,MATCH($D16,WBS_CBS!$A$5:$A$16,0)),"Yes"))</f>
        <v/>
      </c>
      <c r="W16" s="150">
        <f>IF($D16="","",IFERROR(INDEX(WBS_CBS!$K$5:$K$16,MATCH($D16,WBS_CBS!$A$5:$A$16,0)),""))</f>
        <v/>
      </c>
      <c r="X16" s="150">
        <f>IF($D16="","",IFERROR(INDEX(WBS_CBS!$F$5:$F$16,MATCH($D16,WBS_CBS!$A$5:$A$16,0)),""))</f>
        <v/>
      </c>
      <c r="Y16" s="149" t="n"/>
      <c r="Z16" s="149" t="n"/>
      <c r="AA16" s="150">
        <f>IF($D16="","",IFERROR(INDEX(WBS_CBS!$L$5:$L$16,MATCH($D16,WBS_CBS!$A$5:$A$16,0)),""))</f>
        <v/>
      </c>
      <c r="AB16" s="149" t="n"/>
    </row>
    <row r="17">
      <c r="A17" s="149" t="n"/>
      <c r="B17" s="149" t="n"/>
      <c r="C17" s="150">
        <f>IF($D17="","",IFERROR(INDEX(WBS_CBS!$E$5:$E$16,MATCH($D17,WBS_CBS!$A$5:$A$16,0)),""))</f>
        <v/>
      </c>
      <c r="D17" s="149" t="n"/>
      <c r="E17" s="150">
        <f>IF($D17="","",IFERROR(INDEX(WBS_CBS!$C$5:$C$16,MATCH($D17,WBS_CBS!$A$5:$A$16,0)),""))</f>
        <v/>
      </c>
      <c r="F17" s="150">
        <f>IF($D17="","",IFERROR(INDEX(WBS_CBS!$J$5:$J$16,MATCH($D17,WBS_CBS!$A$5:$A$16,0)),""))</f>
        <v/>
      </c>
      <c r="G17" s="149" t="n"/>
      <c r="H17" s="151" t="n"/>
      <c r="I17" s="149" t="n"/>
      <c r="J17" s="152" t="n"/>
      <c r="K17" s="149" t="n"/>
      <c r="L17" s="153">
        <f>IF($K17="","",IFERROR(INDEX(FX_Rates!$B$5:$B$14,MATCH($K17,FX_Rates!$A$5:$A$14,0)),""))</f>
        <v/>
      </c>
      <c r="M17" s="153">
        <f>IF(OR($H17="",$J17=""),"",$H17*$J17)</f>
        <v/>
      </c>
      <c r="N17" s="153">
        <f>IF(OR($M17="",$L17=""),"",$M17*$L17)</f>
        <v/>
      </c>
      <c r="O17" s="149" t="n"/>
      <c r="P17" s="154">
        <f>IF($O17="","",IFERROR(INDEX(Basis_of_Estimate!$C$5:$C$9,MATCH($O17,Basis_of_Estimate!$A$5:$A$9,0)),""))</f>
        <v/>
      </c>
      <c r="Q17" s="154">
        <f>IF($O17="","",IFERROR(INDEX(Basis_of_Estimate!$D$5:$D$9,MATCH($O17,Basis_of_Estimate!$A$5:$A$9,0)),""))</f>
        <v/>
      </c>
      <c r="R17" s="153">
        <f>IF($N17="","",$N17*(1+$P17))</f>
        <v/>
      </c>
      <c r="S17" s="153">
        <f>IF($N17="","",$N17)</f>
        <v/>
      </c>
      <c r="T17" s="153">
        <f>IF($N17="","",$N17*(1+$Q17))</f>
        <v/>
      </c>
      <c r="U17" s="150">
        <f>IF($D17="","",IFERROR(INDEX(WBS_CBS!$M$5:$M$16,MATCH($D17,WBS_CBS!$A$5:$A$16,0)),"Yes"))</f>
        <v/>
      </c>
      <c r="V17" s="150">
        <f>IF($D17="","",IFERROR(INDEX(WBS_CBS!$N$5:$N$16,MATCH($D17,WBS_CBS!$A$5:$A$16,0)),"Yes"))</f>
        <v/>
      </c>
      <c r="W17" s="150">
        <f>IF($D17="","",IFERROR(INDEX(WBS_CBS!$K$5:$K$16,MATCH($D17,WBS_CBS!$A$5:$A$16,0)),""))</f>
        <v/>
      </c>
      <c r="X17" s="150">
        <f>IF($D17="","",IFERROR(INDEX(WBS_CBS!$F$5:$F$16,MATCH($D17,WBS_CBS!$A$5:$A$16,0)),""))</f>
        <v/>
      </c>
      <c r="Y17" s="149" t="n"/>
      <c r="Z17" s="149" t="n"/>
      <c r="AA17" s="150">
        <f>IF($D17="","",IFERROR(INDEX(WBS_CBS!$L$5:$L$16,MATCH($D17,WBS_CBS!$A$5:$A$16,0)),""))</f>
        <v/>
      </c>
      <c r="AB17" s="149" t="n"/>
    </row>
    <row r="18">
      <c r="A18" s="149" t="n"/>
      <c r="B18" s="149" t="n"/>
      <c r="C18" s="150">
        <f>IF($D18="","",IFERROR(INDEX(WBS_CBS!$E$5:$E$16,MATCH($D18,WBS_CBS!$A$5:$A$16,0)),""))</f>
        <v/>
      </c>
      <c r="D18" s="149" t="n"/>
      <c r="E18" s="150">
        <f>IF($D18="","",IFERROR(INDEX(WBS_CBS!$C$5:$C$16,MATCH($D18,WBS_CBS!$A$5:$A$16,0)),""))</f>
        <v/>
      </c>
      <c r="F18" s="150">
        <f>IF($D18="","",IFERROR(INDEX(WBS_CBS!$J$5:$J$16,MATCH($D18,WBS_CBS!$A$5:$A$16,0)),""))</f>
        <v/>
      </c>
      <c r="G18" s="149" t="n"/>
      <c r="H18" s="151" t="n"/>
      <c r="I18" s="149" t="n"/>
      <c r="J18" s="152" t="n"/>
      <c r="K18" s="149" t="n"/>
      <c r="L18" s="153">
        <f>IF($K18="","",IFERROR(INDEX(FX_Rates!$B$5:$B$14,MATCH($K18,FX_Rates!$A$5:$A$14,0)),""))</f>
        <v/>
      </c>
      <c r="M18" s="153">
        <f>IF(OR($H18="",$J18=""),"",$H18*$J18)</f>
        <v/>
      </c>
      <c r="N18" s="153">
        <f>IF(OR($M18="",$L18=""),"",$M18*$L18)</f>
        <v/>
      </c>
      <c r="O18" s="149" t="n"/>
      <c r="P18" s="154">
        <f>IF($O18="","",IFERROR(INDEX(Basis_of_Estimate!$C$5:$C$9,MATCH($O18,Basis_of_Estimate!$A$5:$A$9,0)),""))</f>
        <v/>
      </c>
      <c r="Q18" s="154">
        <f>IF($O18="","",IFERROR(INDEX(Basis_of_Estimate!$D$5:$D$9,MATCH($O18,Basis_of_Estimate!$A$5:$A$9,0)),""))</f>
        <v/>
      </c>
      <c r="R18" s="153">
        <f>IF($N18="","",$N18*(1+$P18))</f>
        <v/>
      </c>
      <c r="S18" s="153">
        <f>IF($N18="","",$N18)</f>
        <v/>
      </c>
      <c r="T18" s="153">
        <f>IF($N18="","",$N18*(1+$Q18))</f>
        <v/>
      </c>
      <c r="U18" s="150">
        <f>IF($D18="","",IFERROR(INDEX(WBS_CBS!$M$5:$M$16,MATCH($D18,WBS_CBS!$A$5:$A$16,0)),"Yes"))</f>
        <v/>
      </c>
      <c r="V18" s="150">
        <f>IF($D18="","",IFERROR(INDEX(WBS_CBS!$N$5:$N$16,MATCH($D18,WBS_CBS!$A$5:$A$16,0)),"Yes"))</f>
        <v/>
      </c>
      <c r="W18" s="150">
        <f>IF($D18="","",IFERROR(INDEX(WBS_CBS!$K$5:$K$16,MATCH($D18,WBS_CBS!$A$5:$A$16,0)),""))</f>
        <v/>
      </c>
      <c r="X18" s="150">
        <f>IF($D18="","",IFERROR(INDEX(WBS_CBS!$F$5:$F$16,MATCH($D18,WBS_CBS!$A$5:$A$16,0)),""))</f>
        <v/>
      </c>
      <c r="Y18" s="149" t="n"/>
      <c r="Z18" s="149" t="n"/>
      <c r="AA18" s="150">
        <f>IF($D18="","",IFERROR(INDEX(WBS_CBS!$L$5:$L$16,MATCH($D18,WBS_CBS!$A$5:$A$16,0)),""))</f>
        <v/>
      </c>
      <c r="AB18" s="149" t="n"/>
    </row>
    <row r="19">
      <c r="A19" s="149" t="n"/>
      <c r="B19" s="149" t="n"/>
      <c r="C19" s="150">
        <f>IF($D19="","",IFERROR(INDEX(WBS_CBS!$E$5:$E$16,MATCH($D19,WBS_CBS!$A$5:$A$16,0)),""))</f>
        <v/>
      </c>
      <c r="D19" s="149" t="n"/>
      <c r="E19" s="150">
        <f>IF($D19="","",IFERROR(INDEX(WBS_CBS!$C$5:$C$16,MATCH($D19,WBS_CBS!$A$5:$A$16,0)),""))</f>
        <v/>
      </c>
      <c r="F19" s="150">
        <f>IF($D19="","",IFERROR(INDEX(WBS_CBS!$J$5:$J$16,MATCH($D19,WBS_CBS!$A$5:$A$16,0)),""))</f>
        <v/>
      </c>
      <c r="G19" s="149" t="n"/>
      <c r="H19" s="151" t="n"/>
      <c r="I19" s="149" t="n"/>
      <c r="J19" s="152" t="n"/>
      <c r="K19" s="149" t="n"/>
      <c r="L19" s="153">
        <f>IF($K19="","",IFERROR(INDEX(FX_Rates!$B$5:$B$14,MATCH($K19,FX_Rates!$A$5:$A$14,0)),""))</f>
        <v/>
      </c>
      <c r="M19" s="153">
        <f>IF(OR($H19="",$J19=""),"",$H19*$J19)</f>
        <v/>
      </c>
      <c r="N19" s="153">
        <f>IF(OR($M19="",$L19=""),"",$M19*$L19)</f>
        <v/>
      </c>
      <c r="O19" s="149" t="n"/>
      <c r="P19" s="154">
        <f>IF($O19="","",IFERROR(INDEX(Basis_of_Estimate!$C$5:$C$9,MATCH($O19,Basis_of_Estimate!$A$5:$A$9,0)),""))</f>
        <v/>
      </c>
      <c r="Q19" s="154">
        <f>IF($O19="","",IFERROR(INDEX(Basis_of_Estimate!$D$5:$D$9,MATCH($O19,Basis_of_Estimate!$A$5:$A$9,0)),""))</f>
        <v/>
      </c>
      <c r="R19" s="153">
        <f>IF($N19="","",$N19*(1+$P19))</f>
        <v/>
      </c>
      <c r="S19" s="153">
        <f>IF($N19="","",$N19)</f>
        <v/>
      </c>
      <c r="T19" s="153">
        <f>IF($N19="","",$N19*(1+$Q19))</f>
        <v/>
      </c>
      <c r="U19" s="150">
        <f>IF($D19="","",IFERROR(INDEX(WBS_CBS!$M$5:$M$16,MATCH($D19,WBS_CBS!$A$5:$A$16,0)),"Yes"))</f>
        <v/>
      </c>
      <c r="V19" s="150">
        <f>IF($D19="","",IFERROR(INDEX(WBS_CBS!$N$5:$N$16,MATCH($D19,WBS_CBS!$A$5:$A$16,0)),"Yes"))</f>
        <v/>
      </c>
      <c r="W19" s="150">
        <f>IF($D19="","",IFERROR(INDEX(WBS_CBS!$K$5:$K$16,MATCH($D19,WBS_CBS!$A$5:$A$16,0)),""))</f>
        <v/>
      </c>
      <c r="X19" s="150">
        <f>IF($D19="","",IFERROR(INDEX(WBS_CBS!$F$5:$F$16,MATCH($D19,WBS_CBS!$A$5:$A$16,0)),""))</f>
        <v/>
      </c>
      <c r="Y19" s="149" t="n"/>
      <c r="Z19" s="149" t="n"/>
      <c r="AA19" s="150">
        <f>IF($D19="","",IFERROR(INDEX(WBS_CBS!$L$5:$L$16,MATCH($D19,WBS_CBS!$A$5:$A$16,0)),""))</f>
        <v/>
      </c>
      <c r="AB19" s="149" t="n"/>
    </row>
    <row r="20">
      <c r="A20" s="149" t="n"/>
      <c r="B20" s="149" t="n"/>
      <c r="C20" s="150">
        <f>IF($D20="","",IFERROR(INDEX(WBS_CBS!$E$5:$E$16,MATCH($D20,WBS_CBS!$A$5:$A$16,0)),""))</f>
        <v/>
      </c>
      <c r="D20" s="149" t="n"/>
      <c r="E20" s="150">
        <f>IF($D20="","",IFERROR(INDEX(WBS_CBS!$C$5:$C$16,MATCH($D20,WBS_CBS!$A$5:$A$16,0)),""))</f>
        <v/>
      </c>
      <c r="F20" s="150">
        <f>IF($D20="","",IFERROR(INDEX(WBS_CBS!$J$5:$J$16,MATCH($D20,WBS_CBS!$A$5:$A$16,0)),""))</f>
        <v/>
      </c>
      <c r="G20" s="149" t="n"/>
      <c r="H20" s="151" t="n"/>
      <c r="I20" s="149" t="n"/>
      <c r="J20" s="152" t="n"/>
      <c r="K20" s="149" t="n"/>
      <c r="L20" s="153">
        <f>IF($K20="","",IFERROR(INDEX(FX_Rates!$B$5:$B$14,MATCH($K20,FX_Rates!$A$5:$A$14,0)),""))</f>
        <v/>
      </c>
      <c r="M20" s="153">
        <f>IF(OR($H20="",$J20=""),"",$H20*$J20)</f>
        <v/>
      </c>
      <c r="N20" s="153">
        <f>IF(OR($M20="",$L20=""),"",$M20*$L20)</f>
        <v/>
      </c>
      <c r="O20" s="149" t="n"/>
      <c r="P20" s="154">
        <f>IF($O20="","",IFERROR(INDEX(Basis_of_Estimate!$C$5:$C$9,MATCH($O20,Basis_of_Estimate!$A$5:$A$9,0)),""))</f>
        <v/>
      </c>
      <c r="Q20" s="154">
        <f>IF($O20="","",IFERROR(INDEX(Basis_of_Estimate!$D$5:$D$9,MATCH($O20,Basis_of_Estimate!$A$5:$A$9,0)),""))</f>
        <v/>
      </c>
      <c r="R20" s="153">
        <f>IF($N20="","",$N20*(1+$P20))</f>
        <v/>
      </c>
      <c r="S20" s="153">
        <f>IF($N20="","",$N20)</f>
        <v/>
      </c>
      <c r="T20" s="153">
        <f>IF($N20="","",$N20*(1+$Q20))</f>
        <v/>
      </c>
      <c r="U20" s="150">
        <f>IF($D20="","",IFERROR(INDEX(WBS_CBS!$M$5:$M$16,MATCH($D20,WBS_CBS!$A$5:$A$16,0)),"Yes"))</f>
        <v/>
      </c>
      <c r="V20" s="150">
        <f>IF($D20="","",IFERROR(INDEX(WBS_CBS!$N$5:$N$16,MATCH($D20,WBS_CBS!$A$5:$A$16,0)),"Yes"))</f>
        <v/>
      </c>
      <c r="W20" s="150">
        <f>IF($D20="","",IFERROR(INDEX(WBS_CBS!$K$5:$K$16,MATCH($D20,WBS_CBS!$A$5:$A$16,0)),""))</f>
        <v/>
      </c>
      <c r="X20" s="150">
        <f>IF($D20="","",IFERROR(INDEX(WBS_CBS!$F$5:$F$16,MATCH($D20,WBS_CBS!$A$5:$A$16,0)),""))</f>
        <v/>
      </c>
      <c r="Y20" s="149" t="n"/>
      <c r="Z20" s="149" t="n"/>
      <c r="AA20" s="150">
        <f>IF($D20="","",IFERROR(INDEX(WBS_CBS!$L$5:$L$16,MATCH($D20,WBS_CBS!$A$5:$A$16,0)),""))</f>
        <v/>
      </c>
      <c r="AB20" s="149" t="n"/>
    </row>
    <row r="21">
      <c r="A21" s="149" t="n"/>
      <c r="B21" s="149" t="n"/>
      <c r="C21" s="150">
        <f>IF($D21="","",IFERROR(INDEX(WBS_CBS!$E$5:$E$16,MATCH($D21,WBS_CBS!$A$5:$A$16,0)),""))</f>
        <v/>
      </c>
      <c r="D21" s="149" t="n"/>
      <c r="E21" s="150">
        <f>IF($D21="","",IFERROR(INDEX(WBS_CBS!$C$5:$C$16,MATCH($D21,WBS_CBS!$A$5:$A$16,0)),""))</f>
        <v/>
      </c>
      <c r="F21" s="150">
        <f>IF($D21="","",IFERROR(INDEX(WBS_CBS!$J$5:$J$16,MATCH($D21,WBS_CBS!$A$5:$A$16,0)),""))</f>
        <v/>
      </c>
      <c r="G21" s="149" t="n"/>
      <c r="H21" s="151" t="n"/>
      <c r="I21" s="149" t="n"/>
      <c r="J21" s="152" t="n"/>
      <c r="K21" s="149" t="n"/>
      <c r="L21" s="153">
        <f>IF($K21="","",IFERROR(INDEX(FX_Rates!$B$5:$B$14,MATCH($K21,FX_Rates!$A$5:$A$14,0)),""))</f>
        <v/>
      </c>
      <c r="M21" s="153">
        <f>IF(OR($H21="",$J21=""),"",$H21*$J21)</f>
        <v/>
      </c>
      <c r="N21" s="153">
        <f>IF(OR($M21="",$L21=""),"",$M21*$L21)</f>
        <v/>
      </c>
      <c r="O21" s="149" t="n"/>
      <c r="P21" s="154">
        <f>IF($O21="","",IFERROR(INDEX(Basis_of_Estimate!$C$5:$C$9,MATCH($O21,Basis_of_Estimate!$A$5:$A$9,0)),""))</f>
        <v/>
      </c>
      <c r="Q21" s="154">
        <f>IF($O21="","",IFERROR(INDEX(Basis_of_Estimate!$D$5:$D$9,MATCH($O21,Basis_of_Estimate!$A$5:$A$9,0)),""))</f>
        <v/>
      </c>
      <c r="R21" s="153">
        <f>IF($N21="","",$N21*(1+$P21))</f>
        <v/>
      </c>
      <c r="S21" s="153">
        <f>IF($N21="","",$N21)</f>
        <v/>
      </c>
      <c r="T21" s="153">
        <f>IF($N21="","",$N21*(1+$Q21))</f>
        <v/>
      </c>
      <c r="U21" s="150">
        <f>IF($D21="","",IFERROR(INDEX(WBS_CBS!$M$5:$M$16,MATCH($D21,WBS_CBS!$A$5:$A$16,0)),"Yes"))</f>
        <v/>
      </c>
      <c r="V21" s="150">
        <f>IF($D21="","",IFERROR(INDEX(WBS_CBS!$N$5:$N$16,MATCH($D21,WBS_CBS!$A$5:$A$16,0)),"Yes"))</f>
        <v/>
      </c>
      <c r="W21" s="150">
        <f>IF($D21="","",IFERROR(INDEX(WBS_CBS!$K$5:$K$16,MATCH($D21,WBS_CBS!$A$5:$A$16,0)),""))</f>
        <v/>
      </c>
      <c r="X21" s="150">
        <f>IF($D21="","",IFERROR(INDEX(WBS_CBS!$F$5:$F$16,MATCH($D21,WBS_CBS!$A$5:$A$16,0)),""))</f>
        <v/>
      </c>
      <c r="Y21" s="149" t="n"/>
      <c r="Z21" s="149" t="n"/>
      <c r="AA21" s="150">
        <f>IF($D21="","",IFERROR(INDEX(WBS_CBS!$L$5:$L$16,MATCH($D21,WBS_CBS!$A$5:$A$16,0)),""))</f>
        <v/>
      </c>
      <c r="AB21" s="149" t="n"/>
    </row>
    <row r="22">
      <c r="A22" s="149" t="n"/>
      <c r="B22" s="149" t="n"/>
      <c r="C22" s="150">
        <f>IF($D22="","",IFERROR(INDEX(WBS_CBS!$E$5:$E$16,MATCH($D22,WBS_CBS!$A$5:$A$16,0)),""))</f>
        <v/>
      </c>
      <c r="D22" s="149" t="n"/>
      <c r="E22" s="150">
        <f>IF($D22="","",IFERROR(INDEX(WBS_CBS!$C$5:$C$16,MATCH($D22,WBS_CBS!$A$5:$A$16,0)),""))</f>
        <v/>
      </c>
      <c r="F22" s="150">
        <f>IF($D22="","",IFERROR(INDEX(WBS_CBS!$J$5:$J$16,MATCH($D22,WBS_CBS!$A$5:$A$16,0)),""))</f>
        <v/>
      </c>
      <c r="G22" s="149" t="n"/>
      <c r="H22" s="151" t="n"/>
      <c r="I22" s="149" t="n"/>
      <c r="J22" s="152" t="n"/>
      <c r="K22" s="149" t="n"/>
      <c r="L22" s="153">
        <f>IF($K22="","",IFERROR(INDEX(FX_Rates!$B$5:$B$14,MATCH($K22,FX_Rates!$A$5:$A$14,0)),""))</f>
        <v/>
      </c>
      <c r="M22" s="153">
        <f>IF(OR($H22="",$J22=""),"",$H22*$J22)</f>
        <v/>
      </c>
      <c r="N22" s="153">
        <f>IF(OR($M22="",$L22=""),"",$M22*$L22)</f>
        <v/>
      </c>
      <c r="O22" s="149" t="n"/>
      <c r="P22" s="154">
        <f>IF($O22="","",IFERROR(INDEX(Basis_of_Estimate!$C$5:$C$9,MATCH($O22,Basis_of_Estimate!$A$5:$A$9,0)),""))</f>
        <v/>
      </c>
      <c r="Q22" s="154">
        <f>IF($O22="","",IFERROR(INDEX(Basis_of_Estimate!$D$5:$D$9,MATCH($O22,Basis_of_Estimate!$A$5:$A$9,0)),""))</f>
        <v/>
      </c>
      <c r="R22" s="153">
        <f>IF($N22="","",$N22*(1+$P22))</f>
        <v/>
      </c>
      <c r="S22" s="153">
        <f>IF($N22="","",$N22)</f>
        <v/>
      </c>
      <c r="T22" s="153">
        <f>IF($N22="","",$N22*(1+$Q22))</f>
        <v/>
      </c>
      <c r="U22" s="150">
        <f>IF($D22="","",IFERROR(INDEX(WBS_CBS!$M$5:$M$16,MATCH($D22,WBS_CBS!$A$5:$A$16,0)),"Yes"))</f>
        <v/>
      </c>
      <c r="V22" s="150">
        <f>IF($D22="","",IFERROR(INDEX(WBS_CBS!$N$5:$N$16,MATCH($D22,WBS_CBS!$A$5:$A$16,0)),"Yes"))</f>
        <v/>
      </c>
      <c r="W22" s="150">
        <f>IF($D22="","",IFERROR(INDEX(WBS_CBS!$K$5:$K$16,MATCH($D22,WBS_CBS!$A$5:$A$16,0)),""))</f>
        <v/>
      </c>
      <c r="X22" s="150">
        <f>IF($D22="","",IFERROR(INDEX(WBS_CBS!$F$5:$F$16,MATCH($D22,WBS_CBS!$A$5:$A$16,0)),""))</f>
        <v/>
      </c>
      <c r="Y22" s="149" t="n"/>
      <c r="Z22" s="149" t="n"/>
      <c r="AA22" s="150">
        <f>IF($D22="","",IFERROR(INDEX(WBS_CBS!$L$5:$L$16,MATCH($D22,WBS_CBS!$A$5:$A$16,0)),""))</f>
        <v/>
      </c>
      <c r="AB22" s="149" t="n"/>
    </row>
    <row r="23">
      <c r="A23" s="149" t="n"/>
      <c r="B23" s="149" t="n"/>
      <c r="C23" s="150">
        <f>IF($D23="","",IFERROR(INDEX(WBS_CBS!$E$5:$E$16,MATCH($D23,WBS_CBS!$A$5:$A$16,0)),""))</f>
        <v/>
      </c>
      <c r="D23" s="149" t="n"/>
      <c r="E23" s="150">
        <f>IF($D23="","",IFERROR(INDEX(WBS_CBS!$C$5:$C$16,MATCH($D23,WBS_CBS!$A$5:$A$16,0)),""))</f>
        <v/>
      </c>
      <c r="F23" s="150">
        <f>IF($D23="","",IFERROR(INDEX(WBS_CBS!$J$5:$J$16,MATCH($D23,WBS_CBS!$A$5:$A$16,0)),""))</f>
        <v/>
      </c>
      <c r="G23" s="149" t="n"/>
      <c r="H23" s="151" t="n"/>
      <c r="I23" s="149" t="n"/>
      <c r="J23" s="152" t="n"/>
      <c r="K23" s="149" t="n"/>
      <c r="L23" s="153">
        <f>IF($K23="","",IFERROR(INDEX(FX_Rates!$B$5:$B$14,MATCH($K23,FX_Rates!$A$5:$A$14,0)),""))</f>
        <v/>
      </c>
      <c r="M23" s="153">
        <f>IF(OR($H23="",$J23=""),"",$H23*$J23)</f>
        <v/>
      </c>
      <c r="N23" s="153">
        <f>IF(OR($M23="",$L23=""),"",$M23*$L23)</f>
        <v/>
      </c>
      <c r="O23" s="149" t="n"/>
      <c r="P23" s="154">
        <f>IF($O23="","",IFERROR(INDEX(Basis_of_Estimate!$C$5:$C$9,MATCH($O23,Basis_of_Estimate!$A$5:$A$9,0)),""))</f>
        <v/>
      </c>
      <c r="Q23" s="154">
        <f>IF($O23="","",IFERROR(INDEX(Basis_of_Estimate!$D$5:$D$9,MATCH($O23,Basis_of_Estimate!$A$5:$A$9,0)),""))</f>
        <v/>
      </c>
      <c r="R23" s="153">
        <f>IF($N23="","",$N23*(1+$P23))</f>
        <v/>
      </c>
      <c r="S23" s="153">
        <f>IF($N23="","",$N23)</f>
        <v/>
      </c>
      <c r="T23" s="153">
        <f>IF($N23="","",$N23*(1+$Q23))</f>
        <v/>
      </c>
      <c r="U23" s="150">
        <f>IF($D23="","",IFERROR(INDEX(WBS_CBS!$M$5:$M$16,MATCH($D23,WBS_CBS!$A$5:$A$16,0)),"Yes"))</f>
        <v/>
      </c>
      <c r="V23" s="150">
        <f>IF($D23="","",IFERROR(INDEX(WBS_CBS!$N$5:$N$16,MATCH($D23,WBS_CBS!$A$5:$A$16,0)),"Yes"))</f>
        <v/>
      </c>
      <c r="W23" s="150">
        <f>IF($D23="","",IFERROR(INDEX(WBS_CBS!$K$5:$K$16,MATCH($D23,WBS_CBS!$A$5:$A$16,0)),""))</f>
        <v/>
      </c>
      <c r="X23" s="150">
        <f>IF($D23="","",IFERROR(INDEX(WBS_CBS!$F$5:$F$16,MATCH($D23,WBS_CBS!$A$5:$A$16,0)),""))</f>
        <v/>
      </c>
      <c r="Y23" s="149" t="n"/>
      <c r="Z23" s="149" t="n"/>
      <c r="AA23" s="150">
        <f>IF($D23="","",IFERROR(INDEX(WBS_CBS!$L$5:$L$16,MATCH($D23,WBS_CBS!$A$5:$A$16,0)),""))</f>
        <v/>
      </c>
      <c r="AB23" s="149" t="n"/>
    </row>
    <row r="24">
      <c r="A24" s="149" t="n"/>
      <c r="B24" s="149" t="n"/>
      <c r="C24" s="150">
        <f>IF($D24="","",IFERROR(INDEX(WBS_CBS!$E$5:$E$16,MATCH($D24,WBS_CBS!$A$5:$A$16,0)),""))</f>
        <v/>
      </c>
      <c r="D24" s="149" t="n"/>
      <c r="E24" s="150">
        <f>IF($D24="","",IFERROR(INDEX(WBS_CBS!$C$5:$C$16,MATCH($D24,WBS_CBS!$A$5:$A$16,0)),""))</f>
        <v/>
      </c>
      <c r="F24" s="150">
        <f>IF($D24="","",IFERROR(INDEX(WBS_CBS!$J$5:$J$16,MATCH($D24,WBS_CBS!$A$5:$A$16,0)),""))</f>
        <v/>
      </c>
      <c r="G24" s="149" t="n"/>
      <c r="H24" s="151" t="n"/>
      <c r="I24" s="149" t="n"/>
      <c r="J24" s="152" t="n"/>
      <c r="K24" s="149" t="n"/>
      <c r="L24" s="153">
        <f>IF($K24="","",IFERROR(INDEX(FX_Rates!$B$5:$B$14,MATCH($K24,FX_Rates!$A$5:$A$14,0)),""))</f>
        <v/>
      </c>
      <c r="M24" s="153">
        <f>IF(OR($H24="",$J24=""),"",$H24*$J24)</f>
        <v/>
      </c>
      <c r="N24" s="153">
        <f>IF(OR($M24="",$L24=""),"",$M24*$L24)</f>
        <v/>
      </c>
      <c r="O24" s="149" t="n"/>
      <c r="P24" s="154">
        <f>IF($O24="","",IFERROR(INDEX(Basis_of_Estimate!$C$5:$C$9,MATCH($O24,Basis_of_Estimate!$A$5:$A$9,0)),""))</f>
        <v/>
      </c>
      <c r="Q24" s="154">
        <f>IF($O24="","",IFERROR(INDEX(Basis_of_Estimate!$D$5:$D$9,MATCH($O24,Basis_of_Estimate!$A$5:$A$9,0)),""))</f>
        <v/>
      </c>
      <c r="R24" s="153">
        <f>IF($N24="","",$N24*(1+$P24))</f>
        <v/>
      </c>
      <c r="S24" s="153">
        <f>IF($N24="","",$N24)</f>
        <v/>
      </c>
      <c r="T24" s="153">
        <f>IF($N24="","",$N24*(1+$Q24))</f>
        <v/>
      </c>
      <c r="U24" s="150">
        <f>IF($D24="","",IFERROR(INDEX(WBS_CBS!$M$5:$M$16,MATCH($D24,WBS_CBS!$A$5:$A$16,0)),"Yes"))</f>
        <v/>
      </c>
      <c r="V24" s="150">
        <f>IF($D24="","",IFERROR(INDEX(WBS_CBS!$N$5:$N$16,MATCH($D24,WBS_CBS!$A$5:$A$16,0)),"Yes"))</f>
        <v/>
      </c>
      <c r="W24" s="150">
        <f>IF($D24="","",IFERROR(INDEX(WBS_CBS!$K$5:$K$16,MATCH($D24,WBS_CBS!$A$5:$A$16,0)),""))</f>
        <v/>
      </c>
      <c r="X24" s="150">
        <f>IF($D24="","",IFERROR(INDEX(WBS_CBS!$F$5:$F$16,MATCH($D24,WBS_CBS!$A$5:$A$16,0)),""))</f>
        <v/>
      </c>
      <c r="Y24" s="149" t="n"/>
      <c r="Z24" s="149" t="n"/>
      <c r="AA24" s="150">
        <f>IF($D24="","",IFERROR(INDEX(WBS_CBS!$L$5:$L$16,MATCH($D24,WBS_CBS!$A$5:$A$16,0)),""))</f>
        <v/>
      </c>
      <c r="AB24" s="149" t="n"/>
    </row>
    <row r="25">
      <c r="A25" s="149" t="n"/>
      <c r="B25" s="149" t="n"/>
      <c r="C25" s="150">
        <f>IF($D25="","",IFERROR(INDEX(WBS_CBS!$E$5:$E$16,MATCH($D25,WBS_CBS!$A$5:$A$16,0)),""))</f>
        <v/>
      </c>
      <c r="D25" s="149" t="n"/>
      <c r="E25" s="150">
        <f>IF($D25="","",IFERROR(INDEX(WBS_CBS!$C$5:$C$16,MATCH($D25,WBS_CBS!$A$5:$A$16,0)),""))</f>
        <v/>
      </c>
      <c r="F25" s="150">
        <f>IF($D25="","",IFERROR(INDEX(WBS_CBS!$J$5:$J$16,MATCH($D25,WBS_CBS!$A$5:$A$16,0)),""))</f>
        <v/>
      </c>
      <c r="G25" s="149" t="n"/>
      <c r="H25" s="151" t="n"/>
      <c r="I25" s="149" t="n"/>
      <c r="J25" s="152" t="n"/>
      <c r="K25" s="149" t="n"/>
      <c r="L25" s="153">
        <f>IF($K25="","",IFERROR(INDEX(FX_Rates!$B$5:$B$14,MATCH($K25,FX_Rates!$A$5:$A$14,0)),""))</f>
        <v/>
      </c>
      <c r="M25" s="153">
        <f>IF(OR($H25="",$J25=""),"",$H25*$J25)</f>
        <v/>
      </c>
      <c r="N25" s="153">
        <f>IF(OR($M25="",$L25=""),"",$M25*$L25)</f>
        <v/>
      </c>
      <c r="O25" s="149" t="n"/>
      <c r="P25" s="154">
        <f>IF($O25="","",IFERROR(INDEX(Basis_of_Estimate!$C$5:$C$9,MATCH($O25,Basis_of_Estimate!$A$5:$A$9,0)),""))</f>
        <v/>
      </c>
      <c r="Q25" s="154">
        <f>IF($O25="","",IFERROR(INDEX(Basis_of_Estimate!$D$5:$D$9,MATCH($O25,Basis_of_Estimate!$A$5:$A$9,0)),""))</f>
        <v/>
      </c>
      <c r="R25" s="153">
        <f>IF($N25="","",$N25*(1+$P25))</f>
        <v/>
      </c>
      <c r="S25" s="153">
        <f>IF($N25="","",$N25)</f>
        <v/>
      </c>
      <c r="T25" s="153">
        <f>IF($N25="","",$N25*(1+$Q25))</f>
        <v/>
      </c>
      <c r="U25" s="150">
        <f>IF($D25="","",IFERROR(INDEX(WBS_CBS!$M$5:$M$16,MATCH($D25,WBS_CBS!$A$5:$A$16,0)),"Yes"))</f>
        <v/>
      </c>
      <c r="V25" s="150">
        <f>IF($D25="","",IFERROR(INDEX(WBS_CBS!$N$5:$N$16,MATCH($D25,WBS_CBS!$A$5:$A$16,0)),"Yes"))</f>
        <v/>
      </c>
      <c r="W25" s="150">
        <f>IF($D25="","",IFERROR(INDEX(WBS_CBS!$K$5:$K$16,MATCH($D25,WBS_CBS!$A$5:$A$16,0)),""))</f>
        <v/>
      </c>
      <c r="X25" s="150">
        <f>IF($D25="","",IFERROR(INDEX(WBS_CBS!$F$5:$F$16,MATCH($D25,WBS_CBS!$A$5:$A$16,0)),""))</f>
        <v/>
      </c>
      <c r="Y25" s="149" t="n"/>
      <c r="Z25" s="149" t="n"/>
      <c r="AA25" s="150">
        <f>IF($D25="","",IFERROR(INDEX(WBS_CBS!$L$5:$L$16,MATCH($D25,WBS_CBS!$A$5:$A$16,0)),""))</f>
        <v/>
      </c>
      <c r="AB25" s="149" t="n"/>
    </row>
    <row r="26">
      <c r="A26" s="149" t="n"/>
      <c r="B26" s="149" t="n"/>
      <c r="C26" s="150">
        <f>IF($D26="","",IFERROR(INDEX(WBS_CBS!$E$5:$E$16,MATCH($D26,WBS_CBS!$A$5:$A$16,0)),""))</f>
        <v/>
      </c>
      <c r="D26" s="149" t="n"/>
      <c r="E26" s="150">
        <f>IF($D26="","",IFERROR(INDEX(WBS_CBS!$C$5:$C$16,MATCH($D26,WBS_CBS!$A$5:$A$16,0)),""))</f>
        <v/>
      </c>
      <c r="F26" s="150">
        <f>IF($D26="","",IFERROR(INDEX(WBS_CBS!$J$5:$J$16,MATCH($D26,WBS_CBS!$A$5:$A$16,0)),""))</f>
        <v/>
      </c>
      <c r="G26" s="149" t="n"/>
      <c r="H26" s="151" t="n"/>
      <c r="I26" s="149" t="n"/>
      <c r="J26" s="152" t="n"/>
      <c r="K26" s="149" t="n"/>
      <c r="L26" s="153">
        <f>IF($K26="","",IFERROR(INDEX(FX_Rates!$B$5:$B$14,MATCH($K26,FX_Rates!$A$5:$A$14,0)),""))</f>
        <v/>
      </c>
      <c r="M26" s="153">
        <f>IF(OR($H26="",$J26=""),"",$H26*$J26)</f>
        <v/>
      </c>
      <c r="N26" s="153">
        <f>IF(OR($M26="",$L26=""),"",$M26*$L26)</f>
        <v/>
      </c>
      <c r="O26" s="149" t="n"/>
      <c r="P26" s="154">
        <f>IF($O26="","",IFERROR(INDEX(Basis_of_Estimate!$C$5:$C$9,MATCH($O26,Basis_of_Estimate!$A$5:$A$9,0)),""))</f>
        <v/>
      </c>
      <c r="Q26" s="154">
        <f>IF($O26="","",IFERROR(INDEX(Basis_of_Estimate!$D$5:$D$9,MATCH($O26,Basis_of_Estimate!$A$5:$A$9,0)),""))</f>
        <v/>
      </c>
      <c r="R26" s="153">
        <f>IF($N26="","",$N26*(1+$P26))</f>
        <v/>
      </c>
      <c r="S26" s="153">
        <f>IF($N26="","",$N26)</f>
        <v/>
      </c>
      <c r="T26" s="153">
        <f>IF($N26="","",$N26*(1+$Q26))</f>
        <v/>
      </c>
      <c r="U26" s="150">
        <f>IF($D26="","",IFERROR(INDEX(WBS_CBS!$M$5:$M$16,MATCH($D26,WBS_CBS!$A$5:$A$16,0)),"Yes"))</f>
        <v/>
      </c>
      <c r="V26" s="150">
        <f>IF($D26="","",IFERROR(INDEX(WBS_CBS!$N$5:$N$16,MATCH($D26,WBS_CBS!$A$5:$A$16,0)),"Yes"))</f>
        <v/>
      </c>
      <c r="W26" s="150">
        <f>IF($D26="","",IFERROR(INDEX(WBS_CBS!$K$5:$K$16,MATCH($D26,WBS_CBS!$A$5:$A$16,0)),""))</f>
        <v/>
      </c>
      <c r="X26" s="150">
        <f>IF($D26="","",IFERROR(INDEX(WBS_CBS!$F$5:$F$16,MATCH($D26,WBS_CBS!$A$5:$A$16,0)),""))</f>
        <v/>
      </c>
      <c r="Y26" s="149" t="n"/>
      <c r="Z26" s="149" t="n"/>
      <c r="AA26" s="150">
        <f>IF($D26="","",IFERROR(INDEX(WBS_CBS!$L$5:$L$16,MATCH($D26,WBS_CBS!$A$5:$A$16,0)),""))</f>
        <v/>
      </c>
      <c r="AB26" s="149" t="n"/>
    </row>
    <row r="27">
      <c r="A27" s="149" t="n"/>
      <c r="B27" s="149" t="n"/>
      <c r="C27" s="150">
        <f>IF($D27="","",IFERROR(INDEX(WBS_CBS!$E$5:$E$16,MATCH($D27,WBS_CBS!$A$5:$A$16,0)),""))</f>
        <v/>
      </c>
      <c r="D27" s="149" t="n"/>
      <c r="E27" s="150">
        <f>IF($D27="","",IFERROR(INDEX(WBS_CBS!$C$5:$C$16,MATCH($D27,WBS_CBS!$A$5:$A$16,0)),""))</f>
        <v/>
      </c>
      <c r="F27" s="150">
        <f>IF($D27="","",IFERROR(INDEX(WBS_CBS!$J$5:$J$16,MATCH($D27,WBS_CBS!$A$5:$A$16,0)),""))</f>
        <v/>
      </c>
      <c r="G27" s="149" t="n"/>
      <c r="H27" s="151" t="n"/>
      <c r="I27" s="149" t="n"/>
      <c r="J27" s="152" t="n"/>
      <c r="K27" s="149" t="n"/>
      <c r="L27" s="153">
        <f>IF($K27="","",IFERROR(INDEX(FX_Rates!$B$5:$B$14,MATCH($K27,FX_Rates!$A$5:$A$14,0)),""))</f>
        <v/>
      </c>
      <c r="M27" s="153">
        <f>IF(OR($H27="",$J27=""),"",$H27*$J27)</f>
        <v/>
      </c>
      <c r="N27" s="153">
        <f>IF(OR($M27="",$L27=""),"",$M27*$L27)</f>
        <v/>
      </c>
      <c r="O27" s="149" t="n"/>
      <c r="P27" s="154">
        <f>IF($O27="","",IFERROR(INDEX(Basis_of_Estimate!$C$5:$C$9,MATCH($O27,Basis_of_Estimate!$A$5:$A$9,0)),""))</f>
        <v/>
      </c>
      <c r="Q27" s="154">
        <f>IF($O27="","",IFERROR(INDEX(Basis_of_Estimate!$D$5:$D$9,MATCH($O27,Basis_of_Estimate!$A$5:$A$9,0)),""))</f>
        <v/>
      </c>
      <c r="R27" s="153">
        <f>IF($N27="","",$N27*(1+$P27))</f>
        <v/>
      </c>
      <c r="S27" s="153">
        <f>IF($N27="","",$N27)</f>
        <v/>
      </c>
      <c r="T27" s="153">
        <f>IF($N27="","",$N27*(1+$Q27))</f>
        <v/>
      </c>
      <c r="U27" s="150">
        <f>IF($D27="","",IFERROR(INDEX(WBS_CBS!$M$5:$M$16,MATCH($D27,WBS_CBS!$A$5:$A$16,0)),"Yes"))</f>
        <v/>
      </c>
      <c r="V27" s="150">
        <f>IF($D27="","",IFERROR(INDEX(WBS_CBS!$N$5:$N$16,MATCH($D27,WBS_CBS!$A$5:$A$16,0)),"Yes"))</f>
        <v/>
      </c>
      <c r="W27" s="150">
        <f>IF($D27="","",IFERROR(INDEX(WBS_CBS!$K$5:$K$16,MATCH($D27,WBS_CBS!$A$5:$A$16,0)),""))</f>
        <v/>
      </c>
      <c r="X27" s="150">
        <f>IF($D27="","",IFERROR(INDEX(WBS_CBS!$F$5:$F$16,MATCH($D27,WBS_CBS!$A$5:$A$16,0)),""))</f>
        <v/>
      </c>
      <c r="Y27" s="149" t="n"/>
      <c r="Z27" s="149" t="n"/>
      <c r="AA27" s="150">
        <f>IF($D27="","",IFERROR(INDEX(WBS_CBS!$L$5:$L$16,MATCH($D27,WBS_CBS!$A$5:$A$16,0)),""))</f>
        <v/>
      </c>
      <c r="AB27" s="149" t="n"/>
    </row>
    <row r="28">
      <c r="A28" s="149" t="n"/>
      <c r="B28" s="149" t="n"/>
      <c r="C28" s="150">
        <f>IF($D28="","",IFERROR(INDEX(WBS_CBS!$E$5:$E$16,MATCH($D28,WBS_CBS!$A$5:$A$16,0)),""))</f>
        <v/>
      </c>
      <c r="D28" s="149" t="n"/>
      <c r="E28" s="150">
        <f>IF($D28="","",IFERROR(INDEX(WBS_CBS!$C$5:$C$16,MATCH($D28,WBS_CBS!$A$5:$A$16,0)),""))</f>
        <v/>
      </c>
      <c r="F28" s="150">
        <f>IF($D28="","",IFERROR(INDEX(WBS_CBS!$J$5:$J$16,MATCH($D28,WBS_CBS!$A$5:$A$16,0)),""))</f>
        <v/>
      </c>
      <c r="G28" s="149" t="n"/>
      <c r="H28" s="151" t="n"/>
      <c r="I28" s="149" t="n"/>
      <c r="J28" s="152" t="n"/>
      <c r="K28" s="149" t="n"/>
      <c r="L28" s="153">
        <f>IF($K28="","",IFERROR(INDEX(FX_Rates!$B$5:$B$14,MATCH($K28,FX_Rates!$A$5:$A$14,0)),""))</f>
        <v/>
      </c>
      <c r="M28" s="153">
        <f>IF(OR($H28="",$J28=""),"",$H28*$J28)</f>
        <v/>
      </c>
      <c r="N28" s="153">
        <f>IF(OR($M28="",$L28=""),"",$M28*$L28)</f>
        <v/>
      </c>
      <c r="O28" s="149" t="n"/>
      <c r="P28" s="154">
        <f>IF($O28="","",IFERROR(INDEX(Basis_of_Estimate!$C$5:$C$9,MATCH($O28,Basis_of_Estimate!$A$5:$A$9,0)),""))</f>
        <v/>
      </c>
      <c r="Q28" s="154">
        <f>IF($O28="","",IFERROR(INDEX(Basis_of_Estimate!$D$5:$D$9,MATCH($O28,Basis_of_Estimate!$A$5:$A$9,0)),""))</f>
        <v/>
      </c>
      <c r="R28" s="153">
        <f>IF($N28="","",$N28*(1+$P28))</f>
        <v/>
      </c>
      <c r="S28" s="153">
        <f>IF($N28="","",$N28)</f>
        <v/>
      </c>
      <c r="T28" s="153">
        <f>IF($N28="","",$N28*(1+$Q28))</f>
        <v/>
      </c>
      <c r="U28" s="150">
        <f>IF($D28="","",IFERROR(INDEX(WBS_CBS!$M$5:$M$16,MATCH($D28,WBS_CBS!$A$5:$A$16,0)),"Yes"))</f>
        <v/>
      </c>
      <c r="V28" s="150">
        <f>IF($D28="","",IFERROR(INDEX(WBS_CBS!$N$5:$N$16,MATCH($D28,WBS_CBS!$A$5:$A$16,0)),"Yes"))</f>
        <v/>
      </c>
      <c r="W28" s="150">
        <f>IF($D28="","",IFERROR(INDEX(WBS_CBS!$K$5:$K$16,MATCH($D28,WBS_CBS!$A$5:$A$16,0)),""))</f>
        <v/>
      </c>
      <c r="X28" s="150">
        <f>IF($D28="","",IFERROR(INDEX(WBS_CBS!$F$5:$F$16,MATCH($D28,WBS_CBS!$A$5:$A$16,0)),""))</f>
        <v/>
      </c>
      <c r="Y28" s="149" t="n"/>
      <c r="Z28" s="149" t="n"/>
      <c r="AA28" s="150">
        <f>IF($D28="","",IFERROR(INDEX(WBS_CBS!$L$5:$L$16,MATCH($D28,WBS_CBS!$A$5:$A$16,0)),""))</f>
        <v/>
      </c>
      <c r="AB28" s="149" t="n"/>
    </row>
    <row r="29">
      <c r="A29" s="149" t="n"/>
      <c r="B29" s="149" t="n"/>
      <c r="C29" s="150">
        <f>IF($D29="","",IFERROR(INDEX(WBS_CBS!$E$5:$E$16,MATCH($D29,WBS_CBS!$A$5:$A$16,0)),""))</f>
        <v/>
      </c>
      <c r="D29" s="149" t="n"/>
      <c r="E29" s="150">
        <f>IF($D29="","",IFERROR(INDEX(WBS_CBS!$C$5:$C$16,MATCH($D29,WBS_CBS!$A$5:$A$16,0)),""))</f>
        <v/>
      </c>
      <c r="F29" s="150">
        <f>IF($D29="","",IFERROR(INDEX(WBS_CBS!$J$5:$J$16,MATCH($D29,WBS_CBS!$A$5:$A$16,0)),""))</f>
        <v/>
      </c>
      <c r="G29" s="149" t="n"/>
      <c r="H29" s="151" t="n"/>
      <c r="I29" s="149" t="n"/>
      <c r="J29" s="152" t="n"/>
      <c r="K29" s="149" t="n"/>
      <c r="L29" s="153">
        <f>IF($K29="","",IFERROR(INDEX(FX_Rates!$B$5:$B$14,MATCH($K29,FX_Rates!$A$5:$A$14,0)),""))</f>
        <v/>
      </c>
      <c r="M29" s="153">
        <f>IF(OR($H29="",$J29=""),"",$H29*$J29)</f>
        <v/>
      </c>
      <c r="N29" s="153">
        <f>IF(OR($M29="",$L29=""),"",$M29*$L29)</f>
        <v/>
      </c>
      <c r="O29" s="149" t="n"/>
      <c r="P29" s="154">
        <f>IF($O29="","",IFERROR(INDEX(Basis_of_Estimate!$C$5:$C$9,MATCH($O29,Basis_of_Estimate!$A$5:$A$9,0)),""))</f>
        <v/>
      </c>
      <c r="Q29" s="154">
        <f>IF($O29="","",IFERROR(INDEX(Basis_of_Estimate!$D$5:$D$9,MATCH($O29,Basis_of_Estimate!$A$5:$A$9,0)),""))</f>
        <v/>
      </c>
      <c r="R29" s="153">
        <f>IF($N29="","",$N29*(1+$P29))</f>
        <v/>
      </c>
      <c r="S29" s="153">
        <f>IF($N29="","",$N29)</f>
        <v/>
      </c>
      <c r="T29" s="153">
        <f>IF($N29="","",$N29*(1+$Q29))</f>
        <v/>
      </c>
      <c r="U29" s="150">
        <f>IF($D29="","",IFERROR(INDEX(WBS_CBS!$M$5:$M$16,MATCH($D29,WBS_CBS!$A$5:$A$16,0)),"Yes"))</f>
        <v/>
      </c>
      <c r="V29" s="150">
        <f>IF($D29="","",IFERROR(INDEX(WBS_CBS!$N$5:$N$16,MATCH($D29,WBS_CBS!$A$5:$A$16,0)),"Yes"))</f>
        <v/>
      </c>
      <c r="W29" s="150">
        <f>IF($D29="","",IFERROR(INDEX(WBS_CBS!$K$5:$K$16,MATCH($D29,WBS_CBS!$A$5:$A$16,0)),""))</f>
        <v/>
      </c>
      <c r="X29" s="150">
        <f>IF($D29="","",IFERROR(INDEX(WBS_CBS!$F$5:$F$16,MATCH($D29,WBS_CBS!$A$5:$A$16,0)),""))</f>
        <v/>
      </c>
      <c r="Y29" s="149" t="n"/>
      <c r="Z29" s="149" t="n"/>
      <c r="AA29" s="150">
        <f>IF($D29="","",IFERROR(INDEX(WBS_CBS!$L$5:$L$16,MATCH($D29,WBS_CBS!$A$5:$A$16,0)),""))</f>
        <v/>
      </c>
      <c r="AB29" s="149" t="n"/>
    </row>
    <row r="30">
      <c r="A30" s="149" t="n"/>
      <c r="B30" s="149" t="n"/>
      <c r="C30" s="150">
        <f>IF($D30="","",IFERROR(INDEX(WBS_CBS!$E$5:$E$16,MATCH($D30,WBS_CBS!$A$5:$A$16,0)),""))</f>
        <v/>
      </c>
      <c r="D30" s="149" t="n"/>
      <c r="E30" s="150">
        <f>IF($D30="","",IFERROR(INDEX(WBS_CBS!$C$5:$C$16,MATCH($D30,WBS_CBS!$A$5:$A$16,0)),""))</f>
        <v/>
      </c>
      <c r="F30" s="150">
        <f>IF($D30="","",IFERROR(INDEX(WBS_CBS!$J$5:$J$16,MATCH($D30,WBS_CBS!$A$5:$A$16,0)),""))</f>
        <v/>
      </c>
      <c r="G30" s="149" t="n"/>
      <c r="H30" s="151" t="n"/>
      <c r="I30" s="149" t="n"/>
      <c r="J30" s="152" t="n"/>
      <c r="K30" s="149" t="n"/>
      <c r="L30" s="153">
        <f>IF($K30="","",IFERROR(INDEX(FX_Rates!$B$5:$B$14,MATCH($K30,FX_Rates!$A$5:$A$14,0)),""))</f>
        <v/>
      </c>
      <c r="M30" s="153">
        <f>IF(OR($H30="",$J30=""),"",$H30*$J30)</f>
        <v/>
      </c>
      <c r="N30" s="153">
        <f>IF(OR($M30="",$L30=""),"",$M30*$L30)</f>
        <v/>
      </c>
      <c r="O30" s="149" t="n"/>
      <c r="P30" s="154">
        <f>IF($O30="","",IFERROR(INDEX(Basis_of_Estimate!$C$5:$C$9,MATCH($O30,Basis_of_Estimate!$A$5:$A$9,0)),""))</f>
        <v/>
      </c>
      <c r="Q30" s="154">
        <f>IF($O30="","",IFERROR(INDEX(Basis_of_Estimate!$D$5:$D$9,MATCH($O30,Basis_of_Estimate!$A$5:$A$9,0)),""))</f>
        <v/>
      </c>
      <c r="R30" s="153">
        <f>IF($N30="","",$N30*(1+$P30))</f>
        <v/>
      </c>
      <c r="S30" s="153">
        <f>IF($N30="","",$N30)</f>
        <v/>
      </c>
      <c r="T30" s="153">
        <f>IF($N30="","",$N30*(1+$Q30))</f>
        <v/>
      </c>
      <c r="U30" s="150">
        <f>IF($D30="","",IFERROR(INDEX(WBS_CBS!$M$5:$M$16,MATCH($D30,WBS_CBS!$A$5:$A$16,0)),"Yes"))</f>
        <v/>
      </c>
      <c r="V30" s="150">
        <f>IF($D30="","",IFERROR(INDEX(WBS_CBS!$N$5:$N$16,MATCH($D30,WBS_CBS!$A$5:$A$16,0)),"Yes"))</f>
        <v/>
      </c>
      <c r="W30" s="150">
        <f>IF($D30="","",IFERROR(INDEX(WBS_CBS!$K$5:$K$16,MATCH($D30,WBS_CBS!$A$5:$A$16,0)),""))</f>
        <v/>
      </c>
      <c r="X30" s="150">
        <f>IF($D30="","",IFERROR(INDEX(WBS_CBS!$F$5:$F$16,MATCH($D30,WBS_CBS!$A$5:$A$16,0)),""))</f>
        <v/>
      </c>
      <c r="Y30" s="149" t="n"/>
      <c r="Z30" s="149" t="n"/>
      <c r="AA30" s="150">
        <f>IF($D30="","",IFERROR(INDEX(WBS_CBS!$L$5:$L$16,MATCH($D30,WBS_CBS!$A$5:$A$16,0)),""))</f>
        <v/>
      </c>
      <c r="AB30" s="149" t="n"/>
    </row>
    <row r="31">
      <c r="A31" s="149" t="n"/>
      <c r="B31" s="149" t="n"/>
      <c r="C31" s="150">
        <f>IF($D31="","",IFERROR(INDEX(WBS_CBS!$E$5:$E$16,MATCH($D31,WBS_CBS!$A$5:$A$16,0)),""))</f>
        <v/>
      </c>
      <c r="D31" s="149" t="n"/>
      <c r="E31" s="150">
        <f>IF($D31="","",IFERROR(INDEX(WBS_CBS!$C$5:$C$16,MATCH($D31,WBS_CBS!$A$5:$A$16,0)),""))</f>
        <v/>
      </c>
      <c r="F31" s="150">
        <f>IF($D31="","",IFERROR(INDEX(WBS_CBS!$J$5:$J$16,MATCH($D31,WBS_CBS!$A$5:$A$16,0)),""))</f>
        <v/>
      </c>
      <c r="G31" s="149" t="n"/>
      <c r="H31" s="151" t="n"/>
      <c r="I31" s="149" t="n"/>
      <c r="J31" s="152" t="n"/>
      <c r="K31" s="149" t="n"/>
      <c r="L31" s="153">
        <f>IF($K31="","",IFERROR(INDEX(FX_Rates!$B$5:$B$14,MATCH($K31,FX_Rates!$A$5:$A$14,0)),""))</f>
        <v/>
      </c>
      <c r="M31" s="153">
        <f>IF(OR($H31="",$J31=""),"",$H31*$J31)</f>
        <v/>
      </c>
      <c r="N31" s="153">
        <f>IF(OR($M31="",$L31=""),"",$M31*$L31)</f>
        <v/>
      </c>
      <c r="O31" s="149" t="n"/>
      <c r="P31" s="154">
        <f>IF($O31="","",IFERROR(INDEX(Basis_of_Estimate!$C$5:$C$9,MATCH($O31,Basis_of_Estimate!$A$5:$A$9,0)),""))</f>
        <v/>
      </c>
      <c r="Q31" s="154">
        <f>IF($O31="","",IFERROR(INDEX(Basis_of_Estimate!$D$5:$D$9,MATCH($O31,Basis_of_Estimate!$A$5:$A$9,0)),""))</f>
        <v/>
      </c>
      <c r="R31" s="153">
        <f>IF($N31="","",$N31*(1+$P31))</f>
        <v/>
      </c>
      <c r="S31" s="153">
        <f>IF($N31="","",$N31)</f>
        <v/>
      </c>
      <c r="T31" s="153">
        <f>IF($N31="","",$N31*(1+$Q31))</f>
        <v/>
      </c>
      <c r="U31" s="150">
        <f>IF($D31="","",IFERROR(INDEX(WBS_CBS!$M$5:$M$16,MATCH($D31,WBS_CBS!$A$5:$A$16,0)),"Yes"))</f>
        <v/>
      </c>
      <c r="V31" s="150">
        <f>IF($D31="","",IFERROR(INDEX(WBS_CBS!$N$5:$N$16,MATCH($D31,WBS_CBS!$A$5:$A$16,0)),"Yes"))</f>
        <v/>
      </c>
      <c r="W31" s="150">
        <f>IF($D31="","",IFERROR(INDEX(WBS_CBS!$K$5:$K$16,MATCH($D31,WBS_CBS!$A$5:$A$16,0)),""))</f>
        <v/>
      </c>
      <c r="X31" s="150">
        <f>IF($D31="","",IFERROR(INDEX(WBS_CBS!$F$5:$F$16,MATCH($D31,WBS_CBS!$A$5:$A$16,0)),""))</f>
        <v/>
      </c>
      <c r="Y31" s="149" t="n"/>
      <c r="Z31" s="149" t="n"/>
      <c r="AA31" s="150">
        <f>IF($D31="","",IFERROR(INDEX(WBS_CBS!$L$5:$L$16,MATCH($D31,WBS_CBS!$A$5:$A$16,0)),""))</f>
        <v/>
      </c>
      <c r="AB31" s="149" t="n"/>
    </row>
    <row r="32">
      <c r="A32" s="149" t="n"/>
      <c r="B32" s="149" t="n"/>
      <c r="C32" s="150">
        <f>IF($D32="","",IFERROR(INDEX(WBS_CBS!$E$5:$E$16,MATCH($D32,WBS_CBS!$A$5:$A$16,0)),""))</f>
        <v/>
      </c>
      <c r="D32" s="149" t="n"/>
      <c r="E32" s="150">
        <f>IF($D32="","",IFERROR(INDEX(WBS_CBS!$C$5:$C$16,MATCH($D32,WBS_CBS!$A$5:$A$16,0)),""))</f>
        <v/>
      </c>
      <c r="F32" s="150">
        <f>IF($D32="","",IFERROR(INDEX(WBS_CBS!$J$5:$J$16,MATCH($D32,WBS_CBS!$A$5:$A$16,0)),""))</f>
        <v/>
      </c>
      <c r="G32" s="149" t="n"/>
      <c r="H32" s="151" t="n"/>
      <c r="I32" s="149" t="n"/>
      <c r="J32" s="152" t="n"/>
      <c r="K32" s="149" t="n"/>
      <c r="L32" s="153">
        <f>IF($K32="","",IFERROR(INDEX(FX_Rates!$B$5:$B$14,MATCH($K32,FX_Rates!$A$5:$A$14,0)),""))</f>
        <v/>
      </c>
      <c r="M32" s="153">
        <f>IF(OR($H32="",$J32=""),"",$H32*$J32)</f>
        <v/>
      </c>
      <c r="N32" s="153">
        <f>IF(OR($M32="",$L32=""),"",$M32*$L32)</f>
        <v/>
      </c>
      <c r="O32" s="149" t="n"/>
      <c r="P32" s="154">
        <f>IF($O32="","",IFERROR(INDEX(Basis_of_Estimate!$C$5:$C$9,MATCH($O32,Basis_of_Estimate!$A$5:$A$9,0)),""))</f>
        <v/>
      </c>
      <c r="Q32" s="154">
        <f>IF($O32="","",IFERROR(INDEX(Basis_of_Estimate!$D$5:$D$9,MATCH($O32,Basis_of_Estimate!$A$5:$A$9,0)),""))</f>
        <v/>
      </c>
      <c r="R32" s="153">
        <f>IF($N32="","",$N32*(1+$P32))</f>
        <v/>
      </c>
      <c r="S32" s="153">
        <f>IF($N32="","",$N32)</f>
        <v/>
      </c>
      <c r="T32" s="153">
        <f>IF($N32="","",$N32*(1+$Q32))</f>
        <v/>
      </c>
      <c r="U32" s="150">
        <f>IF($D32="","",IFERROR(INDEX(WBS_CBS!$M$5:$M$16,MATCH($D32,WBS_CBS!$A$5:$A$16,0)),"Yes"))</f>
        <v/>
      </c>
      <c r="V32" s="150">
        <f>IF($D32="","",IFERROR(INDEX(WBS_CBS!$N$5:$N$16,MATCH($D32,WBS_CBS!$A$5:$A$16,0)),"Yes"))</f>
        <v/>
      </c>
      <c r="W32" s="150">
        <f>IF($D32="","",IFERROR(INDEX(WBS_CBS!$K$5:$K$16,MATCH($D32,WBS_CBS!$A$5:$A$16,0)),""))</f>
        <v/>
      </c>
      <c r="X32" s="150">
        <f>IF($D32="","",IFERROR(INDEX(WBS_CBS!$F$5:$F$16,MATCH($D32,WBS_CBS!$A$5:$A$16,0)),""))</f>
        <v/>
      </c>
      <c r="Y32" s="149" t="n"/>
      <c r="Z32" s="149" t="n"/>
      <c r="AA32" s="150">
        <f>IF($D32="","",IFERROR(INDEX(WBS_CBS!$L$5:$L$16,MATCH($D32,WBS_CBS!$A$5:$A$16,0)),""))</f>
        <v/>
      </c>
      <c r="AB32" s="149" t="n"/>
    </row>
    <row r="33">
      <c r="A33" s="149" t="n"/>
      <c r="B33" s="149" t="n"/>
      <c r="C33" s="150">
        <f>IF($D33="","",IFERROR(INDEX(WBS_CBS!$E$5:$E$16,MATCH($D33,WBS_CBS!$A$5:$A$16,0)),""))</f>
        <v/>
      </c>
      <c r="D33" s="149" t="n"/>
      <c r="E33" s="150">
        <f>IF($D33="","",IFERROR(INDEX(WBS_CBS!$C$5:$C$16,MATCH($D33,WBS_CBS!$A$5:$A$16,0)),""))</f>
        <v/>
      </c>
      <c r="F33" s="150">
        <f>IF($D33="","",IFERROR(INDEX(WBS_CBS!$J$5:$J$16,MATCH($D33,WBS_CBS!$A$5:$A$16,0)),""))</f>
        <v/>
      </c>
      <c r="G33" s="149" t="n"/>
      <c r="H33" s="151" t="n"/>
      <c r="I33" s="149" t="n"/>
      <c r="J33" s="152" t="n"/>
      <c r="K33" s="149" t="n"/>
      <c r="L33" s="153">
        <f>IF($K33="","",IFERROR(INDEX(FX_Rates!$B$5:$B$14,MATCH($K33,FX_Rates!$A$5:$A$14,0)),""))</f>
        <v/>
      </c>
      <c r="M33" s="153">
        <f>IF(OR($H33="",$J33=""),"",$H33*$J33)</f>
        <v/>
      </c>
      <c r="N33" s="153">
        <f>IF(OR($M33="",$L33=""),"",$M33*$L33)</f>
        <v/>
      </c>
      <c r="O33" s="149" t="n"/>
      <c r="P33" s="154">
        <f>IF($O33="","",IFERROR(INDEX(Basis_of_Estimate!$C$5:$C$9,MATCH($O33,Basis_of_Estimate!$A$5:$A$9,0)),""))</f>
        <v/>
      </c>
      <c r="Q33" s="154">
        <f>IF($O33="","",IFERROR(INDEX(Basis_of_Estimate!$D$5:$D$9,MATCH($O33,Basis_of_Estimate!$A$5:$A$9,0)),""))</f>
        <v/>
      </c>
      <c r="R33" s="153">
        <f>IF($N33="","",$N33*(1+$P33))</f>
        <v/>
      </c>
      <c r="S33" s="153">
        <f>IF($N33="","",$N33)</f>
        <v/>
      </c>
      <c r="T33" s="153">
        <f>IF($N33="","",$N33*(1+$Q33))</f>
        <v/>
      </c>
      <c r="U33" s="150">
        <f>IF($D33="","",IFERROR(INDEX(WBS_CBS!$M$5:$M$16,MATCH($D33,WBS_CBS!$A$5:$A$16,0)),"Yes"))</f>
        <v/>
      </c>
      <c r="V33" s="150">
        <f>IF($D33="","",IFERROR(INDEX(WBS_CBS!$N$5:$N$16,MATCH($D33,WBS_CBS!$A$5:$A$16,0)),"Yes"))</f>
        <v/>
      </c>
      <c r="W33" s="150">
        <f>IF($D33="","",IFERROR(INDEX(WBS_CBS!$K$5:$K$16,MATCH($D33,WBS_CBS!$A$5:$A$16,0)),""))</f>
        <v/>
      </c>
      <c r="X33" s="150">
        <f>IF($D33="","",IFERROR(INDEX(WBS_CBS!$F$5:$F$16,MATCH($D33,WBS_CBS!$A$5:$A$16,0)),""))</f>
        <v/>
      </c>
      <c r="Y33" s="149" t="n"/>
      <c r="Z33" s="149" t="n"/>
      <c r="AA33" s="150">
        <f>IF($D33="","",IFERROR(INDEX(WBS_CBS!$L$5:$L$16,MATCH($D33,WBS_CBS!$A$5:$A$16,0)),""))</f>
        <v/>
      </c>
      <c r="AB33" s="149" t="n"/>
    </row>
    <row r="34">
      <c r="A34" s="149" t="n"/>
      <c r="B34" s="149" t="n"/>
      <c r="C34" s="150">
        <f>IF($D34="","",IFERROR(INDEX(WBS_CBS!$E$5:$E$16,MATCH($D34,WBS_CBS!$A$5:$A$16,0)),""))</f>
        <v/>
      </c>
      <c r="D34" s="149" t="n"/>
      <c r="E34" s="150">
        <f>IF($D34="","",IFERROR(INDEX(WBS_CBS!$C$5:$C$16,MATCH($D34,WBS_CBS!$A$5:$A$16,0)),""))</f>
        <v/>
      </c>
      <c r="F34" s="150">
        <f>IF($D34="","",IFERROR(INDEX(WBS_CBS!$J$5:$J$16,MATCH($D34,WBS_CBS!$A$5:$A$16,0)),""))</f>
        <v/>
      </c>
      <c r="G34" s="149" t="n"/>
      <c r="H34" s="151" t="n"/>
      <c r="I34" s="149" t="n"/>
      <c r="J34" s="152" t="n"/>
      <c r="K34" s="149" t="n"/>
      <c r="L34" s="153">
        <f>IF($K34="","",IFERROR(INDEX(FX_Rates!$B$5:$B$14,MATCH($K34,FX_Rates!$A$5:$A$14,0)),""))</f>
        <v/>
      </c>
      <c r="M34" s="153">
        <f>IF(OR($H34="",$J34=""),"",$H34*$J34)</f>
        <v/>
      </c>
      <c r="N34" s="153">
        <f>IF(OR($M34="",$L34=""),"",$M34*$L34)</f>
        <v/>
      </c>
      <c r="O34" s="149" t="n"/>
      <c r="P34" s="154">
        <f>IF($O34="","",IFERROR(INDEX(Basis_of_Estimate!$C$5:$C$9,MATCH($O34,Basis_of_Estimate!$A$5:$A$9,0)),""))</f>
        <v/>
      </c>
      <c r="Q34" s="154">
        <f>IF($O34="","",IFERROR(INDEX(Basis_of_Estimate!$D$5:$D$9,MATCH($O34,Basis_of_Estimate!$A$5:$A$9,0)),""))</f>
        <v/>
      </c>
      <c r="R34" s="153">
        <f>IF($N34="","",$N34*(1+$P34))</f>
        <v/>
      </c>
      <c r="S34" s="153">
        <f>IF($N34="","",$N34)</f>
        <v/>
      </c>
      <c r="T34" s="153">
        <f>IF($N34="","",$N34*(1+$Q34))</f>
        <v/>
      </c>
      <c r="U34" s="150">
        <f>IF($D34="","",IFERROR(INDEX(WBS_CBS!$M$5:$M$16,MATCH($D34,WBS_CBS!$A$5:$A$16,0)),"Yes"))</f>
        <v/>
      </c>
      <c r="V34" s="150">
        <f>IF($D34="","",IFERROR(INDEX(WBS_CBS!$N$5:$N$16,MATCH($D34,WBS_CBS!$A$5:$A$16,0)),"Yes"))</f>
        <v/>
      </c>
      <c r="W34" s="150">
        <f>IF($D34="","",IFERROR(INDEX(WBS_CBS!$K$5:$K$16,MATCH($D34,WBS_CBS!$A$5:$A$16,0)),""))</f>
        <v/>
      </c>
      <c r="X34" s="150">
        <f>IF($D34="","",IFERROR(INDEX(WBS_CBS!$F$5:$F$16,MATCH($D34,WBS_CBS!$A$5:$A$16,0)),""))</f>
        <v/>
      </c>
      <c r="Y34" s="149" t="n"/>
      <c r="Z34" s="149" t="n"/>
      <c r="AA34" s="150">
        <f>IF($D34="","",IFERROR(INDEX(WBS_CBS!$L$5:$L$16,MATCH($D34,WBS_CBS!$A$5:$A$16,0)),""))</f>
        <v/>
      </c>
      <c r="AB34" s="149" t="n"/>
    </row>
    <row r="35">
      <c r="A35" s="149" t="n"/>
      <c r="B35" s="149" t="n"/>
      <c r="C35" s="150">
        <f>IF($D35="","",IFERROR(INDEX(WBS_CBS!$E$5:$E$16,MATCH($D35,WBS_CBS!$A$5:$A$16,0)),""))</f>
        <v/>
      </c>
      <c r="D35" s="149" t="n"/>
      <c r="E35" s="150">
        <f>IF($D35="","",IFERROR(INDEX(WBS_CBS!$C$5:$C$16,MATCH($D35,WBS_CBS!$A$5:$A$16,0)),""))</f>
        <v/>
      </c>
      <c r="F35" s="150">
        <f>IF($D35="","",IFERROR(INDEX(WBS_CBS!$J$5:$J$16,MATCH($D35,WBS_CBS!$A$5:$A$16,0)),""))</f>
        <v/>
      </c>
      <c r="G35" s="149" t="n"/>
      <c r="H35" s="151" t="n"/>
      <c r="I35" s="149" t="n"/>
      <c r="J35" s="152" t="n"/>
      <c r="K35" s="149" t="n"/>
      <c r="L35" s="153">
        <f>IF($K35="","",IFERROR(INDEX(FX_Rates!$B$5:$B$14,MATCH($K35,FX_Rates!$A$5:$A$14,0)),""))</f>
        <v/>
      </c>
      <c r="M35" s="153">
        <f>IF(OR($H35="",$J35=""),"",$H35*$J35)</f>
        <v/>
      </c>
      <c r="N35" s="153">
        <f>IF(OR($M35="",$L35=""),"",$M35*$L35)</f>
        <v/>
      </c>
      <c r="O35" s="149" t="n"/>
      <c r="P35" s="154">
        <f>IF($O35="","",IFERROR(INDEX(Basis_of_Estimate!$C$5:$C$9,MATCH($O35,Basis_of_Estimate!$A$5:$A$9,0)),""))</f>
        <v/>
      </c>
      <c r="Q35" s="154">
        <f>IF($O35="","",IFERROR(INDEX(Basis_of_Estimate!$D$5:$D$9,MATCH($O35,Basis_of_Estimate!$A$5:$A$9,0)),""))</f>
        <v/>
      </c>
      <c r="R35" s="153">
        <f>IF($N35="","",$N35*(1+$P35))</f>
        <v/>
      </c>
      <c r="S35" s="153">
        <f>IF($N35="","",$N35)</f>
        <v/>
      </c>
      <c r="T35" s="153">
        <f>IF($N35="","",$N35*(1+$Q35))</f>
        <v/>
      </c>
      <c r="U35" s="150">
        <f>IF($D35="","",IFERROR(INDEX(WBS_CBS!$M$5:$M$16,MATCH($D35,WBS_CBS!$A$5:$A$16,0)),"Yes"))</f>
        <v/>
      </c>
      <c r="V35" s="150">
        <f>IF($D35="","",IFERROR(INDEX(WBS_CBS!$N$5:$N$16,MATCH($D35,WBS_CBS!$A$5:$A$16,0)),"Yes"))</f>
        <v/>
      </c>
      <c r="W35" s="150">
        <f>IF($D35="","",IFERROR(INDEX(WBS_CBS!$K$5:$K$16,MATCH($D35,WBS_CBS!$A$5:$A$16,0)),""))</f>
        <v/>
      </c>
      <c r="X35" s="150">
        <f>IF($D35="","",IFERROR(INDEX(WBS_CBS!$F$5:$F$16,MATCH($D35,WBS_CBS!$A$5:$A$16,0)),""))</f>
        <v/>
      </c>
      <c r="Y35" s="149" t="n"/>
      <c r="Z35" s="149" t="n"/>
      <c r="AA35" s="150">
        <f>IF($D35="","",IFERROR(INDEX(WBS_CBS!$L$5:$L$16,MATCH($D35,WBS_CBS!$A$5:$A$16,0)),""))</f>
        <v/>
      </c>
      <c r="AB35" s="149" t="n"/>
    </row>
    <row r="36">
      <c r="A36" s="149" t="n"/>
      <c r="B36" s="149" t="n"/>
      <c r="C36" s="150">
        <f>IF($D36="","",IFERROR(INDEX(WBS_CBS!$E$5:$E$16,MATCH($D36,WBS_CBS!$A$5:$A$16,0)),""))</f>
        <v/>
      </c>
      <c r="D36" s="149" t="n"/>
      <c r="E36" s="150">
        <f>IF($D36="","",IFERROR(INDEX(WBS_CBS!$C$5:$C$16,MATCH($D36,WBS_CBS!$A$5:$A$16,0)),""))</f>
        <v/>
      </c>
      <c r="F36" s="150">
        <f>IF($D36="","",IFERROR(INDEX(WBS_CBS!$J$5:$J$16,MATCH($D36,WBS_CBS!$A$5:$A$16,0)),""))</f>
        <v/>
      </c>
      <c r="G36" s="149" t="n"/>
      <c r="H36" s="151" t="n"/>
      <c r="I36" s="149" t="n"/>
      <c r="J36" s="152" t="n"/>
      <c r="K36" s="149" t="n"/>
      <c r="L36" s="153">
        <f>IF($K36="","",IFERROR(INDEX(FX_Rates!$B$5:$B$14,MATCH($K36,FX_Rates!$A$5:$A$14,0)),""))</f>
        <v/>
      </c>
      <c r="M36" s="153">
        <f>IF(OR($H36="",$J36=""),"",$H36*$J36)</f>
        <v/>
      </c>
      <c r="N36" s="153">
        <f>IF(OR($M36="",$L36=""),"",$M36*$L36)</f>
        <v/>
      </c>
      <c r="O36" s="149" t="n"/>
      <c r="P36" s="154">
        <f>IF($O36="","",IFERROR(INDEX(Basis_of_Estimate!$C$5:$C$9,MATCH($O36,Basis_of_Estimate!$A$5:$A$9,0)),""))</f>
        <v/>
      </c>
      <c r="Q36" s="154">
        <f>IF($O36="","",IFERROR(INDEX(Basis_of_Estimate!$D$5:$D$9,MATCH($O36,Basis_of_Estimate!$A$5:$A$9,0)),""))</f>
        <v/>
      </c>
      <c r="R36" s="153">
        <f>IF($N36="","",$N36*(1+$P36))</f>
        <v/>
      </c>
      <c r="S36" s="153">
        <f>IF($N36="","",$N36)</f>
        <v/>
      </c>
      <c r="T36" s="153">
        <f>IF($N36="","",$N36*(1+$Q36))</f>
        <v/>
      </c>
      <c r="U36" s="150">
        <f>IF($D36="","",IFERROR(INDEX(WBS_CBS!$M$5:$M$16,MATCH($D36,WBS_CBS!$A$5:$A$16,0)),"Yes"))</f>
        <v/>
      </c>
      <c r="V36" s="150">
        <f>IF($D36="","",IFERROR(INDEX(WBS_CBS!$N$5:$N$16,MATCH($D36,WBS_CBS!$A$5:$A$16,0)),"Yes"))</f>
        <v/>
      </c>
      <c r="W36" s="150">
        <f>IF($D36="","",IFERROR(INDEX(WBS_CBS!$K$5:$K$16,MATCH($D36,WBS_CBS!$A$5:$A$16,0)),""))</f>
        <v/>
      </c>
      <c r="X36" s="150">
        <f>IF($D36="","",IFERROR(INDEX(WBS_CBS!$F$5:$F$16,MATCH($D36,WBS_CBS!$A$5:$A$16,0)),""))</f>
        <v/>
      </c>
      <c r="Y36" s="149" t="n"/>
      <c r="Z36" s="149" t="n"/>
      <c r="AA36" s="150">
        <f>IF($D36="","",IFERROR(INDEX(WBS_CBS!$L$5:$L$16,MATCH($D36,WBS_CBS!$A$5:$A$16,0)),""))</f>
        <v/>
      </c>
      <c r="AB36" s="149" t="n"/>
    </row>
    <row r="37">
      <c r="A37" s="149" t="n"/>
      <c r="B37" s="149" t="n"/>
      <c r="C37" s="150">
        <f>IF($D37="","",IFERROR(INDEX(WBS_CBS!$E$5:$E$16,MATCH($D37,WBS_CBS!$A$5:$A$16,0)),""))</f>
        <v/>
      </c>
      <c r="D37" s="149" t="n"/>
      <c r="E37" s="150">
        <f>IF($D37="","",IFERROR(INDEX(WBS_CBS!$C$5:$C$16,MATCH($D37,WBS_CBS!$A$5:$A$16,0)),""))</f>
        <v/>
      </c>
      <c r="F37" s="150">
        <f>IF($D37="","",IFERROR(INDEX(WBS_CBS!$J$5:$J$16,MATCH($D37,WBS_CBS!$A$5:$A$16,0)),""))</f>
        <v/>
      </c>
      <c r="G37" s="149" t="n"/>
      <c r="H37" s="151" t="n"/>
      <c r="I37" s="149" t="n"/>
      <c r="J37" s="152" t="n"/>
      <c r="K37" s="149" t="n"/>
      <c r="L37" s="153">
        <f>IF($K37="","",IFERROR(INDEX(FX_Rates!$B$5:$B$14,MATCH($K37,FX_Rates!$A$5:$A$14,0)),""))</f>
        <v/>
      </c>
      <c r="M37" s="153">
        <f>IF(OR($H37="",$J37=""),"",$H37*$J37)</f>
        <v/>
      </c>
      <c r="N37" s="153">
        <f>IF(OR($M37="",$L37=""),"",$M37*$L37)</f>
        <v/>
      </c>
      <c r="O37" s="149" t="n"/>
      <c r="P37" s="154">
        <f>IF($O37="","",IFERROR(INDEX(Basis_of_Estimate!$C$5:$C$9,MATCH($O37,Basis_of_Estimate!$A$5:$A$9,0)),""))</f>
        <v/>
      </c>
      <c r="Q37" s="154">
        <f>IF($O37="","",IFERROR(INDEX(Basis_of_Estimate!$D$5:$D$9,MATCH($O37,Basis_of_Estimate!$A$5:$A$9,0)),""))</f>
        <v/>
      </c>
      <c r="R37" s="153">
        <f>IF($N37="","",$N37*(1+$P37))</f>
        <v/>
      </c>
      <c r="S37" s="153">
        <f>IF($N37="","",$N37)</f>
        <v/>
      </c>
      <c r="T37" s="153">
        <f>IF($N37="","",$N37*(1+$Q37))</f>
        <v/>
      </c>
      <c r="U37" s="150">
        <f>IF($D37="","",IFERROR(INDEX(WBS_CBS!$M$5:$M$16,MATCH($D37,WBS_CBS!$A$5:$A$16,0)),"Yes"))</f>
        <v/>
      </c>
      <c r="V37" s="150">
        <f>IF($D37="","",IFERROR(INDEX(WBS_CBS!$N$5:$N$16,MATCH($D37,WBS_CBS!$A$5:$A$16,0)),"Yes"))</f>
        <v/>
      </c>
      <c r="W37" s="150">
        <f>IF($D37="","",IFERROR(INDEX(WBS_CBS!$K$5:$K$16,MATCH($D37,WBS_CBS!$A$5:$A$16,0)),""))</f>
        <v/>
      </c>
      <c r="X37" s="150">
        <f>IF($D37="","",IFERROR(INDEX(WBS_CBS!$F$5:$F$16,MATCH($D37,WBS_CBS!$A$5:$A$16,0)),""))</f>
        <v/>
      </c>
      <c r="Y37" s="149" t="n"/>
      <c r="Z37" s="149" t="n"/>
      <c r="AA37" s="150">
        <f>IF($D37="","",IFERROR(INDEX(WBS_CBS!$L$5:$L$16,MATCH($D37,WBS_CBS!$A$5:$A$16,0)),""))</f>
        <v/>
      </c>
      <c r="AB37" s="149" t="n"/>
    </row>
    <row r="38">
      <c r="A38" s="149" t="n"/>
      <c r="B38" s="149" t="n"/>
      <c r="C38" s="150">
        <f>IF($D38="","",IFERROR(INDEX(WBS_CBS!$E$5:$E$16,MATCH($D38,WBS_CBS!$A$5:$A$16,0)),""))</f>
        <v/>
      </c>
      <c r="D38" s="149" t="n"/>
      <c r="E38" s="150">
        <f>IF($D38="","",IFERROR(INDEX(WBS_CBS!$C$5:$C$16,MATCH($D38,WBS_CBS!$A$5:$A$16,0)),""))</f>
        <v/>
      </c>
      <c r="F38" s="150">
        <f>IF($D38="","",IFERROR(INDEX(WBS_CBS!$J$5:$J$16,MATCH($D38,WBS_CBS!$A$5:$A$16,0)),""))</f>
        <v/>
      </c>
      <c r="G38" s="149" t="n"/>
      <c r="H38" s="151" t="n"/>
      <c r="I38" s="149" t="n"/>
      <c r="J38" s="152" t="n"/>
      <c r="K38" s="149" t="n"/>
      <c r="L38" s="153">
        <f>IF($K38="","",IFERROR(INDEX(FX_Rates!$B$5:$B$14,MATCH($K38,FX_Rates!$A$5:$A$14,0)),""))</f>
        <v/>
      </c>
      <c r="M38" s="153">
        <f>IF(OR($H38="",$J38=""),"",$H38*$J38)</f>
        <v/>
      </c>
      <c r="N38" s="153">
        <f>IF(OR($M38="",$L38=""),"",$M38*$L38)</f>
        <v/>
      </c>
      <c r="O38" s="149" t="n"/>
      <c r="P38" s="154">
        <f>IF($O38="","",IFERROR(INDEX(Basis_of_Estimate!$C$5:$C$9,MATCH($O38,Basis_of_Estimate!$A$5:$A$9,0)),""))</f>
        <v/>
      </c>
      <c r="Q38" s="154">
        <f>IF($O38="","",IFERROR(INDEX(Basis_of_Estimate!$D$5:$D$9,MATCH($O38,Basis_of_Estimate!$A$5:$A$9,0)),""))</f>
        <v/>
      </c>
      <c r="R38" s="153">
        <f>IF($N38="","",$N38*(1+$P38))</f>
        <v/>
      </c>
      <c r="S38" s="153">
        <f>IF($N38="","",$N38)</f>
        <v/>
      </c>
      <c r="T38" s="153">
        <f>IF($N38="","",$N38*(1+$Q38))</f>
        <v/>
      </c>
      <c r="U38" s="150">
        <f>IF($D38="","",IFERROR(INDEX(WBS_CBS!$M$5:$M$16,MATCH($D38,WBS_CBS!$A$5:$A$16,0)),"Yes"))</f>
        <v/>
      </c>
      <c r="V38" s="150">
        <f>IF($D38="","",IFERROR(INDEX(WBS_CBS!$N$5:$N$16,MATCH($D38,WBS_CBS!$A$5:$A$16,0)),"Yes"))</f>
        <v/>
      </c>
      <c r="W38" s="150">
        <f>IF($D38="","",IFERROR(INDEX(WBS_CBS!$K$5:$K$16,MATCH($D38,WBS_CBS!$A$5:$A$16,0)),""))</f>
        <v/>
      </c>
      <c r="X38" s="150">
        <f>IF($D38="","",IFERROR(INDEX(WBS_CBS!$F$5:$F$16,MATCH($D38,WBS_CBS!$A$5:$A$16,0)),""))</f>
        <v/>
      </c>
      <c r="Y38" s="149" t="n"/>
      <c r="Z38" s="149" t="n"/>
      <c r="AA38" s="150">
        <f>IF($D38="","",IFERROR(INDEX(WBS_CBS!$L$5:$L$16,MATCH($D38,WBS_CBS!$A$5:$A$16,0)),""))</f>
        <v/>
      </c>
      <c r="AB38" s="149" t="n"/>
    </row>
    <row r="39">
      <c r="A39" s="149" t="n"/>
      <c r="B39" s="149" t="n"/>
      <c r="C39" s="150">
        <f>IF($D39="","",IFERROR(INDEX(WBS_CBS!$E$5:$E$16,MATCH($D39,WBS_CBS!$A$5:$A$16,0)),""))</f>
        <v/>
      </c>
      <c r="D39" s="149" t="n"/>
      <c r="E39" s="150">
        <f>IF($D39="","",IFERROR(INDEX(WBS_CBS!$C$5:$C$16,MATCH($D39,WBS_CBS!$A$5:$A$16,0)),""))</f>
        <v/>
      </c>
      <c r="F39" s="150">
        <f>IF($D39="","",IFERROR(INDEX(WBS_CBS!$J$5:$J$16,MATCH($D39,WBS_CBS!$A$5:$A$16,0)),""))</f>
        <v/>
      </c>
      <c r="G39" s="149" t="n"/>
      <c r="H39" s="151" t="n"/>
      <c r="I39" s="149" t="n"/>
      <c r="J39" s="152" t="n"/>
      <c r="K39" s="149" t="n"/>
      <c r="L39" s="153">
        <f>IF($K39="","",IFERROR(INDEX(FX_Rates!$B$5:$B$14,MATCH($K39,FX_Rates!$A$5:$A$14,0)),""))</f>
        <v/>
      </c>
      <c r="M39" s="153">
        <f>IF(OR($H39="",$J39=""),"",$H39*$J39)</f>
        <v/>
      </c>
      <c r="N39" s="153">
        <f>IF(OR($M39="",$L39=""),"",$M39*$L39)</f>
        <v/>
      </c>
      <c r="O39" s="149" t="n"/>
      <c r="P39" s="154">
        <f>IF($O39="","",IFERROR(INDEX(Basis_of_Estimate!$C$5:$C$9,MATCH($O39,Basis_of_Estimate!$A$5:$A$9,0)),""))</f>
        <v/>
      </c>
      <c r="Q39" s="154">
        <f>IF($O39="","",IFERROR(INDEX(Basis_of_Estimate!$D$5:$D$9,MATCH($O39,Basis_of_Estimate!$A$5:$A$9,0)),""))</f>
        <v/>
      </c>
      <c r="R39" s="153">
        <f>IF($N39="","",$N39*(1+$P39))</f>
        <v/>
      </c>
      <c r="S39" s="153">
        <f>IF($N39="","",$N39)</f>
        <v/>
      </c>
      <c r="T39" s="153">
        <f>IF($N39="","",$N39*(1+$Q39))</f>
        <v/>
      </c>
      <c r="U39" s="150">
        <f>IF($D39="","",IFERROR(INDEX(WBS_CBS!$M$5:$M$16,MATCH($D39,WBS_CBS!$A$5:$A$16,0)),"Yes"))</f>
        <v/>
      </c>
      <c r="V39" s="150">
        <f>IF($D39="","",IFERROR(INDEX(WBS_CBS!$N$5:$N$16,MATCH($D39,WBS_CBS!$A$5:$A$16,0)),"Yes"))</f>
        <v/>
      </c>
      <c r="W39" s="150">
        <f>IF($D39="","",IFERROR(INDEX(WBS_CBS!$K$5:$K$16,MATCH($D39,WBS_CBS!$A$5:$A$16,0)),""))</f>
        <v/>
      </c>
      <c r="X39" s="150">
        <f>IF($D39="","",IFERROR(INDEX(WBS_CBS!$F$5:$F$16,MATCH($D39,WBS_CBS!$A$5:$A$16,0)),""))</f>
        <v/>
      </c>
      <c r="Y39" s="149" t="n"/>
      <c r="Z39" s="149" t="n"/>
      <c r="AA39" s="150">
        <f>IF($D39="","",IFERROR(INDEX(WBS_CBS!$L$5:$L$16,MATCH($D39,WBS_CBS!$A$5:$A$16,0)),""))</f>
        <v/>
      </c>
      <c r="AB39" s="149" t="n"/>
    </row>
    <row r="40">
      <c r="A40" s="149" t="n"/>
      <c r="B40" s="149" t="n"/>
      <c r="C40" s="150">
        <f>IF($D40="","",IFERROR(INDEX(WBS_CBS!$E$5:$E$16,MATCH($D40,WBS_CBS!$A$5:$A$16,0)),""))</f>
        <v/>
      </c>
      <c r="D40" s="149" t="n"/>
      <c r="E40" s="150">
        <f>IF($D40="","",IFERROR(INDEX(WBS_CBS!$C$5:$C$16,MATCH($D40,WBS_CBS!$A$5:$A$16,0)),""))</f>
        <v/>
      </c>
      <c r="F40" s="150">
        <f>IF($D40="","",IFERROR(INDEX(WBS_CBS!$J$5:$J$16,MATCH($D40,WBS_CBS!$A$5:$A$16,0)),""))</f>
        <v/>
      </c>
      <c r="G40" s="149" t="n"/>
      <c r="H40" s="151" t="n"/>
      <c r="I40" s="149" t="n"/>
      <c r="J40" s="152" t="n"/>
      <c r="K40" s="149" t="n"/>
      <c r="L40" s="153">
        <f>IF($K40="","",IFERROR(INDEX(FX_Rates!$B$5:$B$14,MATCH($K40,FX_Rates!$A$5:$A$14,0)),""))</f>
        <v/>
      </c>
      <c r="M40" s="153">
        <f>IF(OR($H40="",$J40=""),"",$H40*$J40)</f>
        <v/>
      </c>
      <c r="N40" s="153">
        <f>IF(OR($M40="",$L40=""),"",$M40*$L40)</f>
        <v/>
      </c>
      <c r="O40" s="149" t="n"/>
      <c r="P40" s="154">
        <f>IF($O40="","",IFERROR(INDEX(Basis_of_Estimate!$C$5:$C$9,MATCH($O40,Basis_of_Estimate!$A$5:$A$9,0)),""))</f>
        <v/>
      </c>
      <c r="Q40" s="154">
        <f>IF($O40="","",IFERROR(INDEX(Basis_of_Estimate!$D$5:$D$9,MATCH($O40,Basis_of_Estimate!$A$5:$A$9,0)),""))</f>
        <v/>
      </c>
      <c r="R40" s="153">
        <f>IF($N40="","",$N40*(1+$P40))</f>
        <v/>
      </c>
      <c r="S40" s="153">
        <f>IF($N40="","",$N40)</f>
        <v/>
      </c>
      <c r="T40" s="153">
        <f>IF($N40="","",$N40*(1+$Q40))</f>
        <v/>
      </c>
      <c r="U40" s="150">
        <f>IF($D40="","",IFERROR(INDEX(WBS_CBS!$M$5:$M$16,MATCH($D40,WBS_CBS!$A$5:$A$16,0)),"Yes"))</f>
        <v/>
      </c>
      <c r="V40" s="150">
        <f>IF($D40="","",IFERROR(INDEX(WBS_CBS!$N$5:$N$16,MATCH($D40,WBS_CBS!$A$5:$A$16,0)),"Yes"))</f>
        <v/>
      </c>
      <c r="W40" s="150">
        <f>IF($D40="","",IFERROR(INDEX(WBS_CBS!$K$5:$K$16,MATCH($D40,WBS_CBS!$A$5:$A$16,0)),""))</f>
        <v/>
      </c>
      <c r="X40" s="150">
        <f>IF($D40="","",IFERROR(INDEX(WBS_CBS!$F$5:$F$16,MATCH($D40,WBS_CBS!$A$5:$A$16,0)),""))</f>
        <v/>
      </c>
      <c r="Y40" s="149" t="n"/>
      <c r="Z40" s="149" t="n"/>
      <c r="AA40" s="150">
        <f>IF($D40="","",IFERROR(INDEX(WBS_CBS!$L$5:$L$16,MATCH($D40,WBS_CBS!$A$5:$A$16,0)),""))</f>
        <v/>
      </c>
      <c r="AB40" s="149" t="n"/>
    </row>
    <row r="41">
      <c r="A41" s="149" t="n"/>
      <c r="B41" s="149" t="n"/>
      <c r="C41" s="150">
        <f>IF($D41="","",IFERROR(INDEX(WBS_CBS!$E$5:$E$16,MATCH($D41,WBS_CBS!$A$5:$A$16,0)),""))</f>
        <v/>
      </c>
      <c r="D41" s="149" t="n"/>
      <c r="E41" s="150">
        <f>IF($D41="","",IFERROR(INDEX(WBS_CBS!$C$5:$C$16,MATCH($D41,WBS_CBS!$A$5:$A$16,0)),""))</f>
        <v/>
      </c>
      <c r="F41" s="150">
        <f>IF($D41="","",IFERROR(INDEX(WBS_CBS!$J$5:$J$16,MATCH($D41,WBS_CBS!$A$5:$A$16,0)),""))</f>
        <v/>
      </c>
      <c r="G41" s="149" t="n"/>
      <c r="H41" s="151" t="n"/>
      <c r="I41" s="149" t="n"/>
      <c r="J41" s="152" t="n"/>
      <c r="K41" s="149" t="n"/>
      <c r="L41" s="153">
        <f>IF($K41="","",IFERROR(INDEX(FX_Rates!$B$5:$B$14,MATCH($K41,FX_Rates!$A$5:$A$14,0)),""))</f>
        <v/>
      </c>
      <c r="M41" s="153">
        <f>IF(OR($H41="",$J41=""),"",$H41*$J41)</f>
        <v/>
      </c>
      <c r="N41" s="153">
        <f>IF(OR($M41="",$L41=""),"",$M41*$L41)</f>
        <v/>
      </c>
      <c r="O41" s="149" t="n"/>
      <c r="P41" s="154">
        <f>IF($O41="","",IFERROR(INDEX(Basis_of_Estimate!$C$5:$C$9,MATCH($O41,Basis_of_Estimate!$A$5:$A$9,0)),""))</f>
        <v/>
      </c>
      <c r="Q41" s="154">
        <f>IF($O41="","",IFERROR(INDEX(Basis_of_Estimate!$D$5:$D$9,MATCH($O41,Basis_of_Estimate!$A$5:$A$9,0)),""))</f>
        <v/>
      </c>
      <c r="R41" s="153">
        <f>IF($N41="","",$N41*(1+$P41))</f>
        <v/>
      </c>
      <c r="S41" s="153">
        <f>IF($N41="","",$N41)</f>
        <v/>
      </c>
      <c r="T41" s="153">
        <f>IF($N41="","",$N41*(1+$Q41))</f>
        <v/>
      </c>
      <c r="U41" s="150">
        <f>IF($D41="","",IFERROR(INDEX(WBS_CBS!$M$5:$M$16,MATCH($D41,WBS_CBS!$A$5:$A$16,0)),"Yes"))</f>
        <v/>
      </c>
      <c r="V41" s="150">
        <f>IF($D41="","",IFERROR(INDEX(WBS_CBS!$N$5:$N$16,MATCH($D41,WBS_CBS!$A$5:$A$16,0)),"Yes"))</f>
        <v/>
      </c>
      <c r="W41" s="150">
        <f>IF($D41="","",IFERROR(INDEX(WBS_CBS!$K$5:$K$16,MATCH($D41,WBS_CBS!$A$5:$A$16,0)),""))</f>
        <v/>
      </c>
      <c r="X41" s="150">
        <f>IF($D41="","",IFERROR(INDEX(WBS_CBS!$F$5:$F$16,MATCH($D41,WBS_CBS!$A$5:$A$16,0)),""))</f>
        <v/>
      </c>
      <c r="Y41" s="149" t="n"/>
      <c r="Z41" s="149" t="n"/>
      <c r="AA41" s="150">
        <f>IF($D41="","",IFERROR(INDEX(WBS_CBS!$L$5:$L$16,MATCH($D41,WBS_CBS!$A$5:$A$16,0)),""))</f>
        <v/>
      </c>
      <c r="AB41" s="149" t="n"/>
    </row>
    <row r="42">
      <c r="A42" s="149" t="n"/>
      <c r="B42" s="149" t="n"/>
      <c r="C42" s="150">
        <f>IF($D42="","",IFERROR(INDEX(WBS_CBS!$E$5:$E$16,MATCH($D42,WBS_CBS!$A$5:$A$16,0)),""))</f>
        <v/>
      </c>
      <c r="D42" s="149" t="n"/>
      <c r="E42" s="150">
        <f>IF($D42="","",IFERROR(INDEX(WBS_CBS!$C$5:$C$16,MATCH($D42,WBS_CBS!$A$5:$A$16,0)),""))</f>
        <v/>
      </c>
      <c r="F42" s="150">
        <f>IF($D42="","",IFERROR(INDEX(WBS_CBS!$J$5:$J$16,MATCH($D42,WBS_CBS!$A$5:$A$16,0)),""))</f>
        <v/>
      </c>
      <c r="G42" s="149" t="n"/>
      <c r="H42" s="151" t="n"/>
      <c r="I42" s="149" t="n"/>
      <c r="J42" s="152" t="n"/>
      <c r="K42" s="149" t="n"/>
      <c r="L42" s="153">
        <f>IF($K42="","",IFERROR(INDEX(FX_Rates!$B$5:$B$14,MATCH($K42,FX_Rates!$A$5:$A$14,0)),""))</f>
        <v/>
      </c>
      <c r="M42" s="153">
        <f>IF(OR($H42="",$J42=""),"",$H42*$J42)</f>
        <v/>
      </c>
      <c r="N42" s="153">
        <f>IF(OR($M42="",$L42=""),"",$M42*$L42)</f>
        <v/>
      </c>
      <c r="O42" s="149" t="n"/>
      <c r="P42" s="154">
        <f>IF($O42="","",IFERROR(INDEX(Basis_of_Estimate!$C$5:$C$9,MATCH($O42,Basis_of_Estimate!$A$5:$A$9,0)),""))</f>
        <v/>
      </c>
      <c r="Q42" s="154">
        <f>IF($O42="","",IFERROR(INDEX(Basis_of_Estimate!$D$5:$D$9,MATCH($O42,Basis_of_Estimate!$A$5:$A$9,0)),""))</f>
        <v/>
      </c>
      <c r="R42" s="153">
        <f>IF($N42="","",$N42*(1+$P42))</f>
        <v/>
      </c>
      <c r="S42" s="153">
        <f>IF($N42="","",$N42)</f>
        <v/>
      </c>
      <c r="T42" s="153">
        <f>IF($N42="","",$N42*(1+$Q42))</f>
        <v/>
      </c>
      <c r="U42" s="150">
        <f>IF($D42="","",IFERROR(INDEX(WBS_CBS!$M$5:$M$16,MATCH($D42,WBS_CBS!$A$5:$A$16,0)),"Yes"))</f>
        <v/>
      </c>
      <c r="V42" s="150">
        <f>IF($D42="","",IFERROR(INDEX(WBS_CBS!$N$5:$N$16,MATCH($D42,WBS_CBS!$A$5:$A$16,0)),"Yes"))</f>
        <v/>
      </c>
      <c r="W42" s="150">
        <f>IF($D42="","",IFERROR(INDEX(WBS_CBS!$K$5:$K$16,MATCH($D42,WBS_CBS!$A$5:$A$16,0)),""))</f>
        <v/>
      </c>
      <c r="X42" s="150">
        <f>IF($D42="","",IFERROR(INDEX(WBS_CBS!$F$5:$F$16,MATCH($D42,WBS_CBS!$A$5:$A$16,0)),""))</f>
        <v/>
      </c>
      <c r="Y42" s="149" t="n"/>
      <c r="Z42" s="149" t="n"/>
      <c r="AA42" s="150">
        <f>IF($D42="","",IFERROR(INDEX(WBS_CBS!$L$5:$L$16,MATCH($D42,WBS_CBS!$A$5:$A$16,0)),""))</f>
        <v/>
      </c>
      <c r="AB42" s="149" t="n"/>
    </row>
    <row r="43">
      <c r="A43" s="149" t="n"/>
      <c r="B43" s="149" t="n"/>
      <c r="C43" s="150">
        <f>IF($D43="","",IFERROR(INDEX(WBS_CBS!$E$5:$E$16,MATCH($D43,WBS_CBS!$A$5:$A$16,0)),""))</f>
        <v/>
      </c>
      <c r="D43" s="149" t="n"/>
      <c r="E43" s="150">
        <f>IF($D43="","",IFERROR(INDEX(WBS_CBS!$C$5:$C$16,MATCH($D43,WBS_CBS!$A$5:$A$16,0)),""))</f>
        <v/>
      </c>
      <c r="F43" s="150">
        <f>IF($D43="","",IFERROR(INDEX(WBS_CBS!$J$5:$J$16,MATCH($D43,WBS_CBS!$A$5:$A$16,0)),""))</f>
        <v/>
      </c>
      <c r="G43" s="149" t="n"/>
      <c r="H43" s="151" t="n"/>
      <c r="I43" s="149" t="n"/>
      <c r="J43" s="152" t="n"/>
      <c r="K43" s="149" t="n"/>
      <c r="L43" s="153">
        <f>IF($K43="","",IFERROR(INDEX(FX_Rates!$B$5:$B$14,MATCH($K43,FX_Rates!$A$5:$A$14,0)),""))</f>
        <v/>
      </c>
      <c r="M43" s="153">
        <f>IF(OR($H43="",$J43=""),"",$H43*$J43)</f>
        <v/>
      </c>
      <c r="N43" s="153">
        <f>IF(OR($M43="",$L43=""),"",$M43*$L43)</f>
        <v/>
      </c>
      <c r="O43" s="149" t="n"/>
      <c r="P43" s="154">
        <f>IF($O43="","",IFERROR(INDEX(Basis_of_Estimate!$C$5:$C$9,MATCH($O43,Basis_of_Estimate!$A$5:$A$9,0)),""))</f>
        <v/>
      </c>
      <c r="Q43" s="154">
        <f>IF($O43="","",IFERROR(INDEX(Basis_of_Estimate!$D$5:$D$9,MATCH($O43,Basis_of_Estimate!$A$5:$A$9,0)),""))</f>
        <v/>
      </c>
      <c r="R43" s="153">
        <f>IF($N43="","",$N43*(1+$P43))</f>
        <v/>
      </c>
      <c r="S43" s="153">
        <f>IF($N43="","",$N43)</f>
        <v/>
      </c>
      <c r="T43" s="153">
        <f>IF($N43="","",$N43*(1+$Q43))</f>
        <v/>
      </c>
      <c r="U43" s="150">
        <f>IF($D43="","",IFERROR(INDEX(WBS_CBS!$M$5:$M$16,MATCH($D43,WBS_CBS!$A$5:$A$16,0)),"Yes"))</f>
        <v/>
      </c>
      <c r="V43" s="150">
        <f>IF($D43="","",IFERROR(INDEX(WBS_CBS!$N$5:$N$16,MATCH($D43,WBS_CBS!$A$5:$A$16,0)),"Yes"))</f>
        <v/>
      </c>
      <c r="W43" s="150">
        <f>IF($D43="","",IFERROR(INDEX(WBS_CBS!$K$5:$K$16,MATCH($D43,WBS_CBS!$A$5:$A$16,0)),""))</f>
        <v/>
      </c>
      <c r="X43" s="150">
        <f>IF($D43="","",IFERROR(INDEX(WBS_CBS!$F$5:$F$16,MATCH($D43,WBS_CBS!$A$5:$A$16,0)),""))</f>
        <v/>
      </c>
      <c r="Y43" s="149" t="n"/>
      <c r="Z43" s="149" t="n"/>
      <c r="AA43" s="150">
        <f>IF($D43="","",IFERROR(INDEX(WBS_CBS!$L$5:$L$16,MATCH($D43,WBS_CBS!$A$5:$A$16,0)),""))</f>
        <v/>
      </c>
      <c r="AB43" s="149" t="n"/>
    </row>
    <row r="44">
      <c r="A44" s="149" t="n"/>
      <c r="B44" s="149" t="n"/>
      <c r="C44" s="150">
        <f>IF($D44="","",IFERROR(INDEX(WBS_CBS!$E$5:$E$16,MATCH($D44,WBS_CBS!$A$5:$A$16,0)),""))</f>
        <v/>
      </c>
      <c r="D44" s="149" t="n"/>
      <c r="E44" s="150">
        <f>IF($D44="","",IFERROR(INDEX(WBS_CBS!$C$5:$C$16,MATCH($D44,WBS_CBS!$A$5:$A$16,0)),""))</f>
        <v/>
      </c>
      <c r="F44" s="150">
        <f>IF($D44="","",IFERROR(INDEX(WBS_CBS!$J$5:$J$16,MATCH($D44,WBS_CBS!$A$5:$A$16,0)),""))</f>
        <v/>
      </c>
      <c r="G44" s="149" t="n"/>
      <c r="H44" s="151" t="n"/>
      <c r="I44" s="149" t="n"/>
      <c r="J44" s="152" t="n"/>
      <c r="K44" s="149" t="n"/>
      <c r="L44" s="153">
        <f>IF($K44="","",IFERROR(INDEX(FX_Rates!$B$5:$B$14,MATCH($K44,FX_Rates!$A$5:$A$14,0)),""))</f>
        <v/>
      </c>
      <c r="M44" s="153">
        <f>IF(OR($H44="",$J44=""),"",$H44*$J44)</f>
        <v/>
      </c>
      <c r="N44" s="153">
        <f>IF(OR($M44="",$L44=""),"",$M44*$L44)</f>
        <v/>
      </c>
      <c r="O44" s="149" t="n"/>
      <c r="P44" s="154">
        <f>IF($O44="","",IFERROR(INDEX(Basis_of_Estimate!$C$5:$C$9,MATCH($O44,Basis_of_Estimate!$A$5:$A$9,0)),""))</f>
        <v/>
      </c>
      <c r="Q44" s="154">
        <f>IF($O44="","",IFERROR(INDEX(Basis_of_Estimate!$D$5:$D$9,MATCH($O44,Basis_of_Estimate!$A$5:$A$9,0)),""))</f>
        <v/>
      </c>
      <c r="R44" s="153">
        <f>IF($N44="","",$N44*(1+$P44))</f>
        <v/>
      </c>
      <c r="S44" s="153">
        <f>IF($N44="","",$N44)</f>
        <v/>
      </c>
      <c r="T44" s="153">
        <f>IF($N44="","",$N44*(1+$Q44))</f>
        <v/>
      </c>
      <c r="U44" s="150">
        <f>IF($D44="","",IFERROR(INDEX(WBS_CBS!$M$5:$M$16,MATCH($D44,WBS_CBS!$A$5:$A$16,0)),"Yes"))</f>
        <v/>
      </c>
      <c r="V44" s="150">
        <f>IF($D44="","",IFERROR(INDEX(WBS_CBS!$N$5:$N$16,MATCH($D44,WBS_CBS!$A$5:$A$16,0)),"Yes"))</f>
        <v/>
      </c>
      <c r="W44" s="150">
        <f>IF($D44="","",IFERROR(INDEX(WBS_CBS!$K$5:$K$16,MATCH($D44,WBS_CBS!$A$5:$A$16,0)),""))</f>
        <v/>
      </c>
      <c r="X44" s="150">
        <f>IF($D44="","",IFERROR(INDEX(WBS_CBS!$F$5:$F$16,MATCH($D44,WBS_CBS!$A$5:$A$16,0)),""))</f>
        <v/>
      </c>
      <c r="Y44" s="149" t="n"/>
      <c r="Z44" s="149" t="n"/>
      <c r="AA44" s="150">
        <f>IF($D44="","",IFERROR(INDEX(WBS_CBS!$L$5:$L$16,MATCH($D44,WBS_CBS!$A$5:$A$16,0)),""))</f>
        <v/>
      </c>
      <c r="AB44" s="149" t="n"/>
    </row>
    <row r="45">
      <c r="A45" s="149" t="n"/>
      <c r="B45" s="149" t="n"/>
      <c r="C45" s="150">
        <f>IF($D45="","",IFERROR(INDEX(WBS_CBS!$E$5:$E$16,MATCH($D45,WBS_CBS!$A$5:$A$16,0)),""))</f>
        <v/>
      </c>
      <c r="D45" s="149" t="n"/>
      <c r="E45" s="150">
        <f>IF($D45="","",IFERROR(INDEX(WBS_CBS!$C$5:$C$16,MATCH($D45,WBS_CBS!$A$5:$A$16,0)),""))</f>
        <v/>
      </c>
      <c r="F45" s="150">
        <f>IF($D45="","",IFERROR(INDEX(WBS_CBS!$J$5:$J$16,MATCH($D45,WBS_CBS!$A$5:$A$16,0)),""))</f>
        <v/>
      </c>
      <c r="G45" s="149" t="n"/>
      <c r="H45" s="151" t="n"/>
      <c r="I45" s="149" t="n"/>
      <c r="J45" s="152" t="n"/>
      <c r="K45" s="149" t="n"/>
      <c r="L45" s="153">
        <f>IF($K45="","",IFERROR(INDEX(FX_Rates!$B$5:$B$14,MATCH($K45,FX_Rates!$A$5:$A$14,0)),""))</f>
        <v/>
      </c>
      <c r="M45" s="153">
        <f>IF(OR($H45="",$J45=""),"",$H45*$J45)</f>
        <v/>
      </c>
      <c r="N45" s="153">
        <f>IF(OR($M45="",$L45=""),"",$M45*$L45)</f>
        <v/>
      </c>
      <c r="O45" s="149" t="n"/>
      <c r="P45" s="154">
        <f>IF($O45="","",IFERROR(INDEX(Basis_of_Estimate!$C$5:$C$9,MATCH($O45,Basis_of_Estimate!$A$5:$A$9,0)),""))</f>
        <v/>
      </c>
      <c r="Q45" s="154">
        <f>IF($O45="","",IFERROR(INDEX(Basis_of_Estimate!$D$5:$D$9,MATCH($O45,Basis_of_Estimate!$A$5:$A$9,0)),""))</f>
        <v/>
      </c>
      <c r="R45" s="153">
        <f>IF($N45="","",$N45*(1+$P45))</f>
        <v/>
      </c>
      <c r="S45" s="153">
        <f>IF($N45="","",$N45)</f>
        <v/>
      </c>
      <c r="T45" s="153">
        <f>IF($N45="","",$N45*(1+$Q45))</f>
        <v/>
      </c>
      <c r="U45" s="150">
        <f>IF($D45="","",IFERROR(INDEX(WBS_CBS!$M$5:$M$16,MATCH($D45,WBS_CBS!$A$5:$A$16,0)),"Yes"))</f>
        <v/>
      </c>
      <c r="V45" s="150">
        <f>IF($D45="","",IFERROR(INDEX(WBS_CBS!$N$5:$N$16,MATCH($D45,WBS_CBS!$A$5:$A$16,0)),"Yes"))</f>
        <v/>
      </c>
      <c r="W45" s="150">
        <f>IF($D45="","",IFERROR(INDEX(WBS_CBS!$K$5:$K$16,MATCH($D45,WBS_CBS!$A$5:$A$16,0)),""))</f>
        <v/>
      </c>
      <c r="X45" s="150">
        <f>IF($D45="","",IFERROR(INDEX(WBS_CBS!$F$5:$F$16,MATCH($D45,WBS_CBS!$A$5:$A$16,0)),""))</f>
        <v/>
      </c>
      <c r="Y45" s="149" t="n"/>
      <c r="Z45" s="149" t="n"/>
      <c r="AA45" s="150">
        <f>IF($D45="","",IFERROR(INDEX(WBS_CBS!$L$5:$L$16,MATCH($D45,WBS_CBS!$A$5:$A$16,0)),""))</f>
        <v/>
      </c>
      <c r="AB45" s="149" t="n"/>
    </row>
    <row r="46">
      <c r="A46" s="149" t="n"/>
      <c r="B46" s="149" t="n"/>
      <c r="C46" s="150">
        <f>IF($D46="","",IFERROR(INDEX(WBS_CBS!$E$5:$E$16,MATCH($D46,WBS_CBS!$A$5:$A$16,0)),""))</f>
        <v/>
      </c>
      <c r="D46" s="149" t="n"/>
      <c r="E46" s="150">
        <f>IF($D46="","",IFERROR(INDEX(WBS_CBS!$C$5:$C$16,MATCH($D46,WBS_CBS!$A$5:$A$16,0)),""))</f>
        <v/>
      </c>
      <c r="F46" s="150">
        <f>IF($D46="","",IFERROR(INDEX(WBS_CBS!$J$5:$J$16,MATCH($D46,WBS_CBS!$A$5:$A$16,0)),""))</f>
        <v/>
      </c>
      <c r="G46" s="149" t="n"/>
      <c r="H46" s="151" t="n"/>
      <c r="I46" s="149" t="n"/>
      <c r="J46" s="152" t="n"/>
      <c r="K46" s="149" t="n"/>
      <c r="L46" s="153">
        <f>IF($K46="","",IFERROR(INDEX(FX_Rates!$B$5:$B$14,MATCH($K46,FX_Rates!$A$5:$A$14,0)),""))</f>
        <v/>
      </c>
      <c r="M46" s="153">
        <f>IF(OR($H46="",$J46=""),"",$H46*$J46)</f>
        <v/>
      </c>
      <c r="N46" s="153">
        <f>IF(OR($M46="",$L46=""),"",$M46*$L46)</f>
        <v/>
      </c>
      <c r="O46" s="149" t="n"/>
      <c r="P46" s="154">
        <f>IF($O46="","",IFERROR(INDEX(Basis_of_Estimate!$C$5:$C$9,MATCH($O46,Basis_of_Estimate!$A$5:$A$9,0)),""))</f>
        <v/>
      </c>
      <c r="Q46" s="154">
        <f>IF($O46="","",IFERROR(INDEX(Basis_of_Estimate!$D$5:$D$9,MATCH($O46,Basis_of_Estimate!$A$5:$A$9,0)),""))</f>
        <v/>
      </c>
      <c r="R46" s="153">
        <f>IF($N46="","",$N46*(1+$P46))</f>
        <v/>
      </c>
      <c r="S46" s="153">
        <f>IF($N46="","",$N46)</f>
        <v/>
      </c>
      <c r="T46" s="153">
        <f>IF($N46="","",$N46*(1+$Q46))</f>
        <v/>
      </c>
      <c r="U46" s="150">
        <f>IF($D46="","",IFERROR(INDEX(WBS_CBS!$M$5:$M$16,MATCH($D46,WBS_CBS!$A$5:$A$16,0)),"Yes"))</f>
        <v/>
      </c>
      <c r="V46" s="150">
        <f>IF($D46="","",IFERROR(INDEX(WBS_CBS!$N$5:$N$16,MATCH($D46,WBS_CBS!$A$5:$A$16,0)),"Yes"))</f>
        <v/>
      </c>
      <c r="W46" s="150">
        <f>IF($D46="","",IFERROR(INDEX(WBS_CBS!$K$5:$K$16,MATCH($D46,WBS_CBS!$A$5:$A$16,0)),""))</f>
        <v/>
      </c>
      <c r="X46" s="150">
        <f>IF($D46="","",IFERROR(INDEX(WBS_CBS!$F$5:$F$16,MATCH($D46,WBS_CBS!$A$5:$A$16,0)),""))</f>
        <v/>
      </c>
      <c r="Y46" s="149" t="n"/>
      <c r="Z46" s="149" t="n"/>
      <c r="AA46" s="150">
        <f>IF($D46="","",IFERROR(INDEX(WBS_CBS!$L$5:$L$16,MATCH($D46,WBS_CBS!$A$5:$A$16,0)),""))</f>
        <v/>
      </c>
      <c r="AB46" s="149" t="n"/>
    </row>
    <row r="47">
      <c r="A47" s="149" t="n"/>
      <c r="B47" s="149" t="n"/>
      <c r="C47" s="150">
        <f>IF($D47="","",IFERROR(INDEX(WBS_CBS!$E$5:$E$16,MATCH($D47,WBS_CBS!$A$5:$A$16,0)),""))</f>
        <v/>
      </c>
      <c r="D47" s="149" t="n"/>
      <c r="E47" s="150">
        <f>IF($D47="","",IFERROR(INDEX(WBS_CBS!$C$5:$C$16,MATCH($D47,WBS_CBS!$A$5:$A$16,0)),""))</f>
        <v/>
      </c>
      <c r="F47" s="150">
        <f>IF($D47="","",IFERROR(INDEX(WBS_CBS!$J$5:$J$16,MATCH($D47,WBS_CBS!$A$5:$A$16,0)),""))</f>
        <v/>
      </c>
      <c r="G47" s="149" t="n"/>
      <c r="H47" s="151" t="n"/>
      <c r="I47" s="149" t="n"/>
      <c r="J47" s="152" t="n"/>
      <c r="K47" s="149" t="n"/>
      <c r="L47" s="153">
        <f>IF($K47="","",IFERROR(INDEX(FX_Rates!$B$5:$B$14,MATCH($K47,FX_Rates!$A$5:$A$14,0)),""))</f>
        <v/>
      </c>
      <c r="M47" s="153">
        <f>IF(OR($H47="",$J47=""),"",$H47*$J47)</f>
        <v/>
      </c>
      <c r="N47" s="153">
        <f>IF(OR($M47="",$L47=""),"",$M47*$L47)</f>
        <v/>
      </c>
      <c r="O47" s="149" t="n"/>
      <c r="P47" s="154">
        <f>IF($O47="","",IFERROR(INDEX(Basis_of_Estimate!$C$5:$C$9,MATCH($O47,Basis_of_Estimate!$A$5:$A$9,0)),""))</f>
        <v/>
      </c>
      <c r="Q47" s="154">
        <f>IF($O47="","",IFERROR(INDEX(Basis_of_Estimate!$D$5:$D$9,MATCH($O47,Basis_of_Estimate!$A$5:$A$9,0)),""))</f>
        <v/>
      </c>
      <c r="R47" s="153">
        <f>IF($N47="","",$N47*(1+$P47))</f>
        <v/>
      </c>
      <c r="S47" s="153">
        <f>IF($N47="","",$N47)</f>
        <v/>
      </c>
      <c r="T47" s="153">
        <f>IF($N47="","",$N47*(1+$Q47))</f>
        <v/>
      </c>
      <c r="U47" s="150">
        <f>IF($D47="","",IFERROR(INDEX(WBS_CBS!$M$5:$M$16,MATCH($D47,WBS_CBS!$A$5:$A$16,0)),"Yes"))</f>
        <v/>
      </c>
      <c r="V47" s="150">
        <f>IF($D47="","",IFERROR(INDEX(WBS_CBS!$N$5:$N$16,MATCH($D47,WBS_CBS!$A$5:$A$16,0)),"Yes"))</f>
        <v/>
      </c>
      <c r="W47" s="150">
        <f>IF($D47="","",IFERROR(INDEX(WBS_CBS!$K$5:$K$16,MATCH($D47,WBS_CBS!$A$5:$A$16,0)),""))</f>
        <v/>
      </c>
      <c r="X47" s="150">
        <f>IF($D47="","",IFERROR(INDEX(WBS_CBS!$F$5:$F$16,MATCH($D47,WBS_CBS!$A$5:$A$16,0)),""))</f>
        <v/>
      </c>
      <c r="Y47" s="149" t="n"/>
      <c r="Z47" s="149" t="n"/>
      <c r="AA47" s="150">
        <f>IF($D47="","",IFERROR(INDEX(WBS_CBS!$L$5:$L$16,MATCH($D47,WBS_CBS!$A$5:$A$16,0)),""))</f>
        <v/>
      </c>
      <c r="AB47" s="149" t="n"/>
    </row>
    <row r="48">
      <c r="A48" s="149" t="n"/>
      <c r="B48" s="149" t="n"/>
      <c r="C48" s="150">
        <f>IF($D48="","",IFERROR(INDEX(WBS_CBS!$E$5:$E$16,MATCH($D48,WBS_CBS!$A$5:$A$16,0)),""))</f>
        <v/>
      </c>
      <c r="D48" s="149" t="n"/>
      <c r="E48" s="150">
        <f>IF($D48="","",IFERROR(INDEX(WBS_CBS!$C$5:$C$16,MATCH($D48,WBS_CBS!$A$5:$A$16,0)),""))</f>
        <v/>
      </c>
      <c r="F48" s="150">
        <f>IF($D48="","",IFERROR(INDEX(WBS_CBS!$J$5:$J$16,MATCH($D48,WBS_CBS!$A$5:$A$16,0)),""))</f>
        <v/>
      </c>
      <c r="G48" s="149" t="n"/>
      <c r="H48" s="151" t="n"/>
      <c r="I48" s="149" t="n"/>
      <c r="J48" s="152" t="n"/>
      <c r="K48" s="149" t="n"/>
      <c r="L48" s="153">
        <f>IF($K48="","",IFERROR(INDEX(FX_Rates!$B$5:$B$14,MATCH($K48,FX_Rates!$A$5:$A$14,0)),""))</f>
        <v/>
      </c>
      <c r="M48" s="153">
        <f>IF(OR($H48="",$J48=""),"",$H48*$J48)</f>
        <v/>
      </c>
      <c r="N48" s="153">
        <f>IF(OR($M48="",$L48=""),"",$M48*$L48)</f>
        <v/>
      </c>
      <c r="O48" s="149" t="n"/>
      <c r="P48" s="154">
        <f>IF($O48="","",IFERROR(INDEX(Basis_of_Estimate!$C$5:$C$9,MATCH($O48,Basis_of_Estimate!$A$5:$A$9,0)),""))</f>
        <v/>
      </c>
      <c r="Q48" s="154">
        <f>IF($O48="","",IFERROR(INDEX(Basis_of_Estimate!$D$5:$D$9,MATCH($O48,Basis_of_Estimate!$A$5:$A$9,0)),""))</f>
        <v/>
      </c>
      <c r="R48" s="153">
        <f>IF($N48="","",$N48*(1+$P48))</f>
        <v/>
      </c>
      <c r="S48" s="153">
        <f>IF($N48="","",$N48)</f>
        <v/>
      </c>
      <c r="T48" s="153">
        <f>IF($N48="","",$N48*(1+$Q48))</f>
        <v/>
      </c>
      <c r="U48" s="150">
        <f>IF($D48="","",IFERROR(INDEX(WBS_CBS!$M$5:$M$16,MATCH($D48,WBS_CBS!$A$5:$A$16,0)),"Yes"))</f>
        <v/>
      </c>
      <c r="V48" s="150">
        <f>IF($D48="","",IFERROR(INDEX(WBS_CBS!$N$5:$N$16,MATCH($D48,WBS_CBS!$A$5:$A$16,0)),"Yes"))</f>
        <v/>
      </c>
      <c r="W48" s="150">
        <f>IF($D48="","",IFERROR(INDEX(WBS_CBS!$K$5:$K$16,MATCH($D48,WBS_CBS!$A$5:$A$16,0)),""))</f>
        <v/>
      </c>
      <c r="X48" s="150">
        <f>IF($D48="","",IFERROR(INDEX(WBS_CBS!$F$5:$F$16,MATCH($D48,WBS_CBS!$A$5:$A$16,0)),""))</f>
        <v/>
      </c>
      <c r="Y48" s="149" t="n"/>
      <c r="Z48" s="149" t="n"/>
      <c r="AA48" s="150">
        <f>IF($D48="","",IFERROR(INDEX(WBS_CBS!$L$5:$L$16,MATCH($D48,WBS_CBS!$A$5:$A$16,0)),""))</f>
        <v/>
      </c>
      <c r="AB48" s="149" t="n"/>
    </row>
    <row r="49">
      <c r="A49" s="149" t="n"/>
      <c r="B49" s="149" t="n"/>
      <c r="C49" s="150">
        <f>IF($D49="","",IFERROR(INDEX(WBS_CBS!$E$5:$E$16,MATCH($D49,WBS_CBS!$A$5:$A$16,0)),""))</f>
        <v/>
      </c>
      <c r="D49" s="149" t="n"/>
      <c r="E49" s="150">
        <f>IF($D49="","",IFERROR(INDEX(WBS_CBS!$C$5:$C$16,MATCH($D49,WBS_CBS!$A$5:$A$16,0)),""))</f>
        <v/>
      </c>
      <c r="F49" s="150">
        <f>IF($D49="","",IFERROR(INDEX(WBS_CBS!$J$5:$J$16,MATCH($D49,WBS_CBS!$A$5:$A$16,0)),""))</f>
        <v/>
      </c>
      <c r="G49" s="149" t="n"/>
      <c r="H49" s="151" t="n"/>
      <c r="I49" s="149" t="n"/>
      <c r="J49" s="152" t="n"/>
      <c r="K49" s="149" t="n"/>
      <c r="L49" s="153">
        <f>IF($K49="","",IFERROR(INDEX(FX_Rates!$B$5:$B$14,MATCH($K49,FX_Rates!$A$5:$A$14,0)),""))</f>
        <v/>
      </c>
      <c r="M49" s="153">
        <f>IF(OR($H49="",$J49=""),"",$H49*$J49)</f>
        <v/>
      </c>
      <c r="N49" s="153">
        <f>IF(OR($M49="",$L49=""),"",$M49*$L49)</f>
        <v/>
      </c>
      <c r="O49" s="149" t="n"/>
      <c r="P49" s="154">
        <f>IF($O49="","",IFERROR(INDEX(Basis_of_Estimate!$C$5:$C$9,MATCH($O49,Basis_of_Estimate!$A$5:$A$9,0)),""))</f>
        <v/>
      </c>
      <c r="Q49" s="154">
        <f>IF($O49="","",IFERROR(INDEX(Basis_of_Estimate!$D$5:$D$9,MATCH($O49,Basis_of_Estimate!$A$5:$A$9,0)),""))</f>
        <v/>
      </c>
      <c r="R49" s="153">
        <f>IF($N49="","",$N49*(1+$P49))</f>
        <v/>
      </c>
      <c r="S49" s="153">
        <f>IF($N49="","",$N49)</f>
        <v/>
      </c>
      <c r="T49" s="153">
        <f>IF($N49="","",$N49*(1+$Q49))</f>
        <v/>
      </c>
      <c r="U49" s="150">
        <f>IF($D49="","",IFERROR(INDEX(WBS_CBS!$M$5:$M$16,MATCH($D49,WBS_CBS!$A$5:$A$16,0)),"Yes"))</f>
        <v/>
      </c>
      <c r="V49" s="150">
        <f>IF($D49="","",IFERROR(INDEX(WBS_CBS!$N$5:$N$16,MATCH($D49,WBS_CBS!$A$5:$A$16,0)),"Yes"))</f>
        <v/>
      </c>
      <c r="W49" s="150">
        <f>IF($D49="","",IFERROR(INDEX(WBS_CBS!$K$5:$K$16,MATCH($D49,WBS_CBS!$A$5:$A$16,0)),""))</f>
        <v/>
      </c>
      <c r="X49" s="150">
        <f>IF($D49="","",IFERROR(INDEX(WBS_CBS!$F$5:$F$16,MATCH($D49,WBS_CBS!$A$5:$A$16,0)),""))</f>
        <v/>
      </c>
      <c r="Y49" s="149" t="n"/>
      <c r="Z49" s="149" t="n"/>
      <c r="AA49" s="150">
        <f>IF($D49="","",IFERROR(INDEX(WBS_CBS!$L$5:$L$16,MATCH($D49,WBS_CBS!$A$5:$A$16,0)),""))</f>
        <v/>
      </c>
      <c r="AB49" s="149" t="n"/>
    </row>
    <row r="50">
      <c r="A50" s="149" t="n"/>
      <c r="B50" s="149" t="n"/>
      <c r="C50" s="150">
        <f>IF($D50="","",IFERROR(INDEX(WBS_CBS!$E$5:$E$16,MATCH($D50,WBS_CBS!$A$5:$A$16,0)),""))</f>
        <v/>
      </c>
      <c r="D50" s="149" t="n"/>
      <c r="E50" s="150">
        <f>IF($D50="","",IFERROR(INDEX(WBS_CBS!$C$5:$C$16,MATCH($D50,WBS_CBS!$A$5:$A$16,0)),""))</f>
        <v/>
      </c>
      <c r="F50" s="150">
        <f>IF($D50="","",IFERROR(INDEX(WBS_CBS!$J$5:$J$16,MATCH($D50,WBS_CBS!$A$5:$A$16,0)),""))</f>
        <v/>
      </c>
      <c r="G50" s="149" t="n"/>
      <c r="H50" s="151" t="n"/>
      <c r="I50" s="149" t="n"/>
      <c r="J50" s="152" t="n"/>
      <c r="K50" s="149" t="n"/>
      <c r="L50" s="153">
        <f>IF($K50="","",IFERROR(INDEX(FX_Rates!$B$5:$B$14,MATCH($K50,FX_Rates!$A$5:$A$14,0)),""))</f>
        <v/>
      </c>
      <c r="M50" s="153">
        <f>IF(OR($H50="",$J50=""),"",$H50*$J50)</f>
        <v/>
      </c>
      <c r="N50" s="153">
        <f>IF(OR($M50="",$L50=""),"",$M50*$L50)</f>
        <v/>
      </c>
      <c r="O50" s="149" t="n"/>
      <c r="P50" s="154">
        <f>IF($O50="","",IFERROR(INDEX(Basis_of_Estimate!$C$5:$C$9,MATCH($O50,Basis_of_Estimate!$A$5:$A$9,0)),""))</f>
        <v/>
      </c>
      <c r="Q50" s="154">
        <f>IF($O50="","",IFERROR(INDEX(Basis_of_Estimate!$D$5:$D$9,MATCH($O50,Basis_of_Estimate!$A$5:$A$9,0)),""))</f>
        <v/>
      </c>
      <c r="R50" s="153">
        <f>IF($N50="","",$N50*(1+$P50))</f>
        <v/>
      </c>
      <c r="S50" s="153">
        <f>IF($N50="","",$N50)</f>
        <v/>
      </c>
      <c r="T50" s="153">
        <f>IF($N50="","",$N50*(1+$Q50))</f>
        <v/>
      </c>
      <c r="U50" s="150">
        <f>IF($D50="","",IFERROR(INDEX(WBS_CBS!$M$5:$M$16,MATCH($D50,WBS_CBS!$A$5:$A$16,0)),"Yes"))</f>
        <v/>
      </c>
      <c r="V50" s="150">
        <f>IF($D50="","",IFERROR(INDEX(WBS_CBS!$N$5:$N$16,MATCH($D50,WBS_CBS!$A$5:$A$16,0)),"Yes"))</f>
        <v/>
      </c>
      <c r="W50" s="150">
        <f>IF($D50="","",IFERROR(INDEX(WBS_CBS!$K$5:$K$16,MATCH($D50,WBS_CBS!$A$5:$A$16,0)),""))</f>
        <v/>
      </c>
      <c r="X50" s="150">
        <f>IF($D50="","",IFERROR(INDEX(WBS_CBS!$F$5:$F$16,MATCH($D50,WBS_CBS!$A$5:$A$16,0)),""))</f>
        <v/>
      </c>
      <c r="Y50" s="149" t="n"/>
      <c r="Z50" s="149" t="n"/>
      <c r="AA50" s="150">
        <f>IF($D50="","",IFERROR(INDEX(WBS_CBS!$L$5:$L$16,MATCH($D50,WBS_CBS!$A$5:$A$16,0)),""))</f>
        <v/>
      </c>
      <c r="AB50" s="149" t="n"/>
    </row>
    <row r="51">
      <c r="A51" s="149" t="n"/>
      <c r="B51" s="149" t="n"/>
      <c r="C51" s="150">
        <f>IF($D51="","",IFERROR(INDEX(WBS_CBS!$E$5:$E$16,MATCH($D51,WBS_CBS!$A$5:$A$16,0)),""))</f>
        <v/>
      </c>
      <c r="D51" s="149" t="n"/>
      <c r="E51" s="150">
        <f>IF($D51="","",IFERROR(INDEX(WBS_CBS!$C$5:$C$16,MATCH($D51,WBS_CBS!$A$5:$A$16,0)),""))</f>
        <v/>
      </c>
      <c r="F51" s="150">
        <f>IF($D51="","",IFERROR(INDEX(WBS_CBS!$J$5:$J$16,MATCH($D51,WBS_CBS!$A$5:$A$16,0)),""))</f>
        <v/>
      </c>
      <c r="G51" s="149" t="n"/>
      <c r="H51" s="151" t="n"/>
      <c r="I51" s="149" t="n"/>
      <c r="J51" s="152" t="n"/>
      <c r="K51" s="149" t="n"/>
      <c r="L51" s="153">
        <f>IF($K51="","",IFERROR(INDEX(FX_Rates!$B$5:$B$14,MATCH($K51,FX_Rates!$A$5:$A$14,0)),""))</f>
        <v/>
      </c>
      <c r="M51" s="153">
        <f>IF(OR($H51="",$J51=""),"",$H51*$J51)</f>
        <v/>
      </c>
      <c r="N51" s="153">
        <f>IF(OR($M51="",$L51=""),"",$M51*$L51)</f>
        <v/>
      </c>
      <c r="O51" s="149" t="n"/>
      <c r="P51" s="154">
        <f>IF($O51="","",IFERROR(INDEX(Basis_of_Estimate!$C$5:$C$9,MATCH($O51,Basis_of_Estimate!$A$5:$A$9,0)),""))</f>
        <v/>
      </c>
      <c r="Q51" s="154">
        <f>IF($O51="","",IFERROR(INDEX(Basis_of_Estimate!$D$5:$D$9,MATCH($O51,Basis_of_Estimate!$A$5:$A$9,0)),""))</f>
        <v/>
      </c>
      <c r="R51" s="153">
        <f>IF($N51="","",$N51*(1+$P51))</f>
        <v/>
      </c>
      <c r="S51" s="153">
        <f>IF($N51="","",$N51)</f>
        <v/>
      </c>
      <c r="T51" s="153">
        <f>IF($N51="","",$N51*(1+$Q51))</f>
        <v/>
      </c>
      <c r="U51" s="150">
        <f>IF($D51="","",IFERROR(INDEX(WBS_CBS!$M$5:$M$16,MATCH($D51,WBS_CBS!$A$5:$A$16,0)),"Yes"))</f>
        <v/>
      </c>
      <c r="V51" s="150">
        <f>IF($D51="","",IFERROR(INDEX(WBS_CBS!$N$5:$N$16,MATCH($D51,WBS_CBS!$A$5:$A$16,0)),"Yes"))</f>
        <v/>
      </c>
      <c r="W51" s="150">
        <f>IF($D51="","",IFERROR(INDEX(WBS_CBS!$K$5:$K$16,MATCH($D51,WBS_CBS!$A$5:$A$16,0)),""))</f>
        <v/>
      </c>
      <c r="X51" s="150">
        <f>IF($D51="","",IFERROR(INDEX(WBS_CBS!$F$5:$F$16,MATCH($D51,WBS_CBS!$A$5:$A$16,0)),""))</f>
        <v/>
      </c>
      <c r="Y51" s="149" t="n"/>
      <c r="Z51" s="149" t="n"/>
      <c r="AA51" s="150">
        <f>IF($D51="","",IFERROR(INDEX(WBS_CBS!$L$5:$L$16,MATCH($D51,WBS_CBS!$A$5:$A$16,0)),""))</f>
        <v/>
      </c>
      <c r="AB51" s="149" t="n"/>
    </row>
    <row r="52">
      <c r="A52" s="149" t="n"/>
      <c r="B52" s="149" t="n"/>
      <c r="C52" s="150">
        <f>IF($D52="","",IFERROR(INDEX(WBS_CBS!$E$5:$E$16,MATCH($D52,WBS_CBS!$A$5:$A$16,0)),""))</f>
        <v/>
      </c>
      <c r="D52" s="149" t="n"/>
      <c r="E52" s="150">
        <f>IF($D52="","",IFERROR(INDEX(WBS_CBS!$C$5:$C$16,MATCH($D52,WBS_CBS!$A$5:$A$16,0)),""))</f>
        <v/>
      </c>
      <c r="F52" s="150">
        <f>IF($D52="","",IFERROR(INDEX(WBS_CBS!$J$5:$J$16,MATCH($D52,WBS_CBS!$A$5:$A$16,0)),""))</f>
        <v/>
      </c>
      <c r="G52" s="149" t="n"/>
      <c r="H52" s="151" t="n"/>
      <c r="I52" s="149" t="n"/>
      <c r="J52" s="152" t="n"/>
      <c r="K52" s="149" t="n"/>
      <c r="L52" s="153">
        <f>IF($K52="","",IFERROR(INDEX(FX_Rates!$B$5:$B$14,MATCH($K52,FX_Rates!$A$5:$A$14,0)),""))</f>
        <v/>
      </c>
      <c r="M52" s="153">
        <f>IF(OR($H52="",$J52=""),"",$H52*$J52)</f>
        <v/>
      </c>
      <c r="N52" s="153">
        <f>IF(OR($M52="",$L52=""),"",$M52*$L52)</f>
        <v/>
      </c>
      <c r="O52" s="149" t="n"/>
      <c r="P52" s="154">
        <f>IF($O52="","",IFERROR(INDEX(Basis_of_Estimate!$C$5:$C$9,MATCH($O52,Basis_of_Estimate!$A$5:$A$9,0)),""))</f>
        <v/>
      </c>
      <c r="Q52" s="154">
        <f>IF($O52="","",IFERROR(INDEX(Basis_of_Estimate!$D$5:$D$9,MATCH($O52,Basis_of_Estimate!$A$5:$A$9,0)),""))</f>
        <v/>
      </c>
      <c r="R52" s="153">
        <f>IF($N52="","",$N52*(1+$P52))</f>
        <v/>
      </c>
      <c r="S52" s="153">
        <f>IF($N52="","",$N52)</f>
        <v/>
      </c>
      <c r="T52" s="153">
        <f>IF($N52="","",$N52*(1+$Q52))</f>
        <v/>
      </c>
      <c r="U52" s="150">
        <f>IF($D52="","",IFERROR(INDEX(WBS_CBS!$M$5:$M$16,MATCH($D52,WBS_CBS!$A$5:$A$16,0)),"Yes"))</f>
        <v/>
      </c>
      <c r="V52" s="150">
        <f>IF($D52="","",IFERROR(INDEX(WBS_CBS!$N$5:$N$16,MATCH($D52,WBS_CBS!$A$5:$A$16,0)),"Yes"))</f>
        <v/>
      </c>
      <c r="W52" s="150">
        <f>IF($D52="","",IFERROR(INDEX(WBS_CBS!$K$5:$K$16,MATCH($D52,WBS_CBS!$A$5:$A$16,0)),""))</f>
        <v/>
      </c>
      <c r="X52" s="150">
        <f>IF($D52="","",IFERROR(INDEX(WBS_CBS!$F$5:$F$16,MATCH($D52,WBS_CBS!$A$5:$A$16,0)),""))</f>
        <v/>
      </c>
      <c r="Y52" s="149" t="n"/>
      <c r="Z52" s="149" t="n"/>
      <c r="AA52" s="150">
        <f>IF($D52="","",IFERROR(INDEX(WBS_CBS!$L$5:$L$16,MATCH($D52,WBS_CBS!$A$5:$A$16,0)),""))</f>
        <v/>
      </c>
      <c r="AB52" s="149" t="n"/>
    </row>
    <row r="53">
      <c r="A53" s="149" t="n"/>
      <c r="B53" s="149" t="n"/>
      <c r="C53" s="150">
        <f>IF($D53="","",IFERROR(INDEX(WBS_CBS!$E$5:$E$16,MATCH($D53,WBS_CBS!$A$5:$A$16,0)),""))</f>
        <v/>
      </c>
      <c r="D53" s="149" t="n"/>
      <c r="E53" s="150">
        <f>IF($D53="","",IFERROR(INDEX(WBS_CBS!$C$5:$C$16,MATCH($D53,WBS_CBS!$A$5:$A$16,0)),""))</f>
        <v/>
      </c>
      <c r="F53" s="150">
        <f>IF($D53="","",IFERROR(INDEX(WBS_CBS!$J$5:$J$16,MATCH($D53,WBS_CBS!$A$5:$A$16,0)),""))</f>
        <v/>
      </c>
      <c r="G53" s="149" t="n"/>
      <c r="H53" s="151" t="n"/>
      <c r="I53" s="149" t="n"/>
      <c r="J53" s="152" t="n"/>
      <c r="K53" s="149" t="n"/>
      <c r="L53" s="153">
        <f>IF($K53="","",IFERROR(INDEX(FX_Rates!$B$5:$B$14,MATCH($K53,FX_Rates!$A$5:$A$14,0)),""))</f>
        <v/>
      </c>
      <c r="M53" s="153">
        <f>IF(OR($H53="",$J53=""),"",$H53*$J53)</f>
        <v/>
      </c>
      <c r="N53" s="153">
        <f>IF(OR($M53="",$L53=""),"",$M53*$L53)</f>
        <v/>
      </c>
      <c r="O53" s="149" t="n"/>
      <c r="P53" s="154">
        <f>IF($O53="","",IFERROR(INDEX(Basis_of_Estimate!$C$5:$C$9,MATCH($O53,Basis_of_Estimate!$A$5:$A$9,0)),""))</f>
        <v/>
      </c>
      <c r="Q53" s="154">
        <f>IF($O53="","",IFERROR(INDEX(Basis_of_Estimate!$D$5:$D$9,MATCH($O53,Basis_of_Estimate!$A$5:$A$9,0)),""))</f>
        <v/>
      </c>
      <c r="R53" s="153">
        <f>IF($N53="","",$N53*(1+$P53))</f>
        <v/>
      </c>
      <c r="S53" s="153">
        <f>IF($N53="","",$N53)</f>
        <v/>
      </c>
      <c r="T53" s="153">
        <f>IF($N53="","",$N53*(1+$Q53))</f>
        <v/>
      </c>
      <c r="U53" s="150">
        <f>IF($D53="","",IFERROR(INDEX(WBS_CBS!$M$5:$M$16,MATCH($D53,WBS_CBS!$A$5:$A$16,0)),"Yes"))</f>
        <v/>
      </c>
      <c r="V53" s="150">
        <f>IF($D53="","",IFERROR(INDEX(WBS_CBS!$N$5:$N$16,MATCH($D53,WBS_CBS!$A$5:$A$16,0)),"Yes"))</f>
        <v/>
      </c>
      <c r="W53" s="150">
        <f>IF($D53="","",IFERROR(INDEX(WBS_CBS!$K$5:$K$16,MATCH($D53,WBS_CBS!$A$5:$A$16,0)),""))</f>
        <v/>
      </c>
      <c r="X53" s="150">
        <f>IF($D53="","",IFERROR(INDEX(WBS_CBS!$F$5:$F$16,MATCH($D53,WBS_CBS!$A$5:$A$16,0)),""))</f>
        <v/>
      </c>
      <c r="Y53" s="149" t="n"/>
      <c r="Z53" s="149" t="n"/>
      <c r="AA53" s="150">
        <f>IF($D53="","",IFERROR(INDEX(WBS_CBS!$L$5:$L$16,MATCH($D53,WBS_CBS!$A$5:$A$16,0)),""))</f>
        <v/>
      </c>
      <c r="AB53" s="149" t="n"/>
    </row>
    <row r="54">
      <c r="A54" s="149" t="n"/>
      <c r="B54" s="149" t="n"/>
      <c r="C54" s="150">
        <f>IF($D54="","",IFERROR(INDEX(WBS_CBS!$E$5:$E$16,MATCH($D54,WBS_CBS!$A$5:$A$16,0)),""))</f>
        <v/>
      </c>
      <c r="D54" s="149" t="n"/>
      <c r="E54" s="150">
        <f>IF($D54="","",IFERROR(INDEX(WBS_CBS!$C$5:$C$16,MATCH($D54,WBS_CBS!$A$5:$A$16,0)),""))</f>
        <v/>
      </c>
      <c r="F54" s="150">
        <f>IF($D54="","",IFERROR(INDEX(WBS_CBS!$J$5:$J$16,MATCH($D54,WBS_CBS!$A$5:$A$16,0)),""))</f>
        <v/>
      </c>
      <c r="G54" s="149" t="n"/>
      <c r="H54" s="151" t="n"/>
      <c r="I54" s="149" t="n"/>
      <c r="J54" s="152" t="n"/>
      <c r="K54" s="149" t="n"/>
      <c r="L54" s="153">
        <f>IF($K54="","",IFERROR(INDEX(FX_Rates!$B$5:$B$14,MATCH($K54,FX_Rates!$A$5:$A$14,0)),""))</f>
        <v/>
      </c>
      <c r="M54" s="153">
        <f>IF(OR($H54="",$J54=""),"",$H54*$J54)</f>
        <v/>
      </c>
      <c r="N54" s="153">
        <f>IF(OR($M54="",$L54=""),"",$M54*$L54)</f>
        <v/>
      </c>
      <c r="O54" s="149" t="n"/>
      <c r="P54" s="154">
        <f>IF($O54="","",IFERROR(INDEX(Basis_of_Estimate!$C$5:$C$9,MATCH($O54,Basis_of_Estimate!$A$5:$A$9,0)),""))</f>
        <v/>
      </c>
      <c r="Q54" s="154">
        <f>IF($O54="","",IFERROR(INDEX(Basis_of_Estimate!$D$5:$D$9,MATCH($O54,Basis_of_Estimate!$A$5:$A$9,0)),""))</f>
        <v/>
      </c>
      <c r="R54" s="153">
        <f>IF($N54="","",$N54*(1+$P54))</f>
        <v/>
      </c>
      <c r="S54" s="153">
        <f>IF($N54="","",$N54)</f>
        <v/>
      </c>
      <c r="T54" s="153">
        <f>IF($N54="","",$N54*(1+$Q54))</f>
        <v/>
      </c>
      <c r="U54" s="150">
        <f>IF($D54="","",IFERROR(INDEX(WBS_CBS!$M$5:$M$16,MATCH($D54,WBS_CBS!$A$5:$A$16,0)),"Yes"))</f>
        <v/>
      </c>
      <c r="V54" s="150">
        <f>IF($D54="","",IFERROR(INDEX(WBS_CBS!$N$5:$N$16,MATCH($D54,WBS_CBS!$A$5:$A$16,0)),"Yes"))</f>
        <v/>
      </c>
      <c r="W54" s="150">
        <f>IF($D54="","",IFERROR(INDEX(WBS_CBS!$K$5:$K$16,MATCH($D54,WBS_CBS!$A$5:$A$16,0)),""))</f>
        <v/>
      </c>
      <c r="X54" s="150">
        <f>IF($D54="","",IFERROR(INDEX(WBS_CBS!$F$5:$F$16,MATCH($D54,WBS_CBS!$A$5:$A$16,0)),""))</f>
        <v/>
      </c>
      <c r="Y54" s="149" t="n"/>
      <c r="Z54" s="149" t="n"/>
      <c r="AA54" s="150">
        <f>IF($D54="","",IFERROR(INDEX(WBS_CBS!$L$5:$L$16,MATCH($D54,WBS_CBS!$A$5:$A$16,0)),""))</f>
        <v/>
      </c>
      <c r="AB54" s="149" t="n"/>
    </row>
    <row r="55">
      <c r="A55" s="149" t="n"/>
      <c r="B55" s="149" t="n"/>
      <c r="C55" s="150">
        <f>IF($D55="","",IFERROR(INDEX(WBS_CBS!$E$5:$E$16,MATCH($D55,WBS_CBS!$A$5:$A$16,0)),""))</f>
        <v/>
      </c>
      <c r="D55" s="149" t="n"/>
      <c r="E55" s="150">
        <f>IF($D55="","",IFERROR(INDEX(WBS_CBS!$C$5:$C$16,MATCH($D55,WBS_CBS!$A$5:$A$16,0)),""))</f>
        <v/>
      </c>
      <c r="F55" s="150">
        <f>IF($D55="","",IFERROR(INDEX(WBS_CBS!$J$5:$J$16,MATCH($D55,WBS_CBS!$A$5:$A$16,0)),""))</f>
        <v/>
      </c>
      <c r="G55" s="149" t="n"/>
      <c r="H55" s="151" t="n"/>
      <c r="I55" s="149" t="n"/>
      <c r="J55" s="152" t="n"/>
      <c r="K55" s="149" t="n"/>
      <c r="L55" s="153">
        <f>IF($K55="","",IFERROR(INDEX(FX_Rates!$B$5:$B$14,MATCH($K55,FX_Rates!$A$5:$A$14,0)),""))</f>
        <v/>
      </c>
      <c r="M55" s="153">
        <f>IF(OR($H55="",$J55=""),"",$H55*$J55)</f>
        <v/>
      </c>
      <c r="N55" s="153">
        <f>IF(OR($M55="",$L55=""),"",$M55*$L55)</f>
        <v/>
      </c>
      <c r="O55" s="149" t="n"/>
      <c r="P55" s="154">
        <f>IF($O55="","",IFERROR(INDEX(Basis_of_Estimate!$C$5:$C$9,MATCH($O55,Basis_of_Estimate!$A$5:$A$9,0)),""))</f>
        <v/>
      </c>
      <c r="Q55" s="154">
        <f>IF($O55="","",IFERROR(INDEX(Basis_of_Estimate!$D$5:$D$9,MATCH($O55,Basis_of_Estimate!$A$5:$A$9,0)),""))</f>
        <v/>
      </c>
      <c r="R55" s="153">
        <f>IF($N55="","",$N55*(1+$P55))</f>
        <v/>
      </c>
      <c r="S55" s="153">
        <f>IF($N55="","",$N55)</f>
        <v/>
      </c>
      <c r="T55" s="153">
        <f>IF($N55="","",$N55*(1+$Q55))</f>
        <v/>
      </c>
      <c r="U55" s="150">
        <f>IF($D55="","",IFERROR(INDEX(WBS_CBS!$M$5:$M$16,MATCH($D55,WBS_CBS!$A$5:$A$16,0)),"Yes"))</f>
        <v/>
      </c>
      <c r="V55" s="150">
        <f>IF($D55="","",IFERROR(INDEX(WBS_CBS!$N$5:$N$16,MATCH($D55,WBS_CBS!$A$5:$A$16,0)),"Yes"))</f>
        <v/>
      </c>
      <c r="W55" s="150">
        <f>IF($D55="","",IFERROR(INDEX(WBS_CBS!$K$5:$K$16,MATCH($D55,WBS_CBS!$A$5:$A$16,0)),""))</f>
        <v/>
      </c>
      <c r="X55" s="150">
        <f>IF($D55="","",IFERROR(INDEX(WBS_CBS!$F$5:$F$16,MATCH($D55,WBS_CBS!$A$5:$A$16,0)),""))</f>
        <v/>
      </c>
      <c r="Y55" s="149" t="n"/>
      <c r="Z55" s="149" t="n"/>
      <c r="AA55" s="150">
        <f>IF($D55="","",IFERROR(INDEX(WBS_CBS!$L$5:$L$16,MATCH($D55,WBS_CBS!$A$5:$A$16,0)),""))</f>
        <v/>
      </c>
      <c r="AB55" s="149" t="n"/>
    </row>
    <row r="56">
      <c r="A56" s="149" t="n"/>
      <c r="B56" s="149" t="n"/>
      <c r="C56" s="150">
        <f>IF($D56="","",IFERROR(INDEX(WBS_CBS!$E$5:$E$16,MATCH($D56,WBS_CBS!$A$5:$A$16,0)),""))</f>
        <v/>
      </c>
      <c r="D56" s="149" t="n"/>
      <c r="E56" s="150">
        <f>IF($D56="","",IFERROR(INDEX(WBS_CBS!$C$5:$C$16,MATCH($D56,WBS_CBS!$A$5:$A$16,0)),""))</f>
        <v/>
      </c>
      <c r="F56" s="150">
        <f>IF($D56="","",IFERROR(INDEX(WBS_CBS!$J$5:$J$16,MATCH($D56,WBS_CBS!$A$5:$A$16,0)),""))</f>
        <v/>
      </c>
      <c r="G56" s="149" t="n"/>
      <c r="H56" s="151" t="n"/>
      <c r="I56" s="149" t="n"/>
      <c r="J56" s="152" t="n"/>
      <c r="K56" s="149" t="n"/>
      <c r="L56" s="153">
        <f>IF($K56="","",IFERROR(INDEX(FX_Rates!$B$5:$B$14,MATCH($K56,FX_Rates!$A$5:$A$14,0)),""))</f>
        <v/>
      </c>
      <c r="M56" s="153">
        <f>IF(OR($H56="",$J56=""),"",$H56*$J56)</f>
        <v/>
      </c>
      <c r="N56" s="153">
        <f>IF(OR($M56="",$L56=""),"",$M56*$L56)</f>
        <v/>
      </c>
      <c r="O56" s="149" t="n"/>
      <c r="P56" s="154">
        <f>IF($O56="","",IFERROR(INDEX(Basis_of_Estimate!$C$5:$C$9,MATCH($O56,Basis_of_Estimate!$A$5:$A$9,0)),""))</f>
        <v/>
      </c>
      <c r="Q56" s="154">
        <f>IF($O56="","",IFERROR(INDEX(Basis_of_Estimate!$D$5:$D$9,MATCH($O56,Basis_of_Estimate!$A$5:$A$9,0)),""))</f>
        <v/>
      </c>
      <c r="R56" s="153">
        <f>IF($N56="","",$N56*(1+$P56))</f>
        <v/>
      </c>
      <c r="S56" s="153">
        <f>IF($N56="","",$N56)</f>
        <v/>
      </c>
      <c r="T56" s="153">
        <f>IF($N56="","",$N56*(1+$Q56))</f>
        <v/>
      </c>
      <c r="U56" s="150">
        <f>IF($D56="","",IFERROR(INDEX(WBS_CBS!$M$5:$M$16,MATCH($D56,WBS_CBS!$A$5:$A$16,0)),"Yes"))</f>
        <v/>
      </c>
      <c r="V56" s="150">
        <f>IF($D56="","",IFERROR(INDEX(WBS_CBS!$N$5:$N$16,MATCH($D56,WBS_CBS!$A$5:$A$16,0)),"Yes"))</f>
        <v/>
      </c>
      <c r="W56" s="150">
        <f>IF($D56="","",IFERROR(INDEX(WBS_CBS!$K$5:$K$16,MATCH($D56,WBS_CBS!$A$5:$A$16,0)),""))</f>
        <v/>
      </c>
      <c r="X56" s="150">
        <f>IF($D56="","",IFERROR(INDEX(WBS_CBS!$F$5:$F$16,MATCH($D56,WBS_CBS!$A$5:$A$16,0)),""))</f>
        <v/>
      </c>
      <c r="Y56" s="149" t="n"/>
      <c r="Z56" s="149" t="n"/>
      <c r="AA56" s="150">
        <f>IF($D56="","",IFERROR(INDEX(WBS_CBS!$L$5:$L$16,MATCH($D56,WBS_CBS!$A$5:$A$16,0)),""))</f>
        <v/>
      </c>
      <c r="AB56" s="149" t="n"/>
    </row>
    <row r="57">
      <c r="A57" s="149" t="n"/>
      <c r="B57" s="149" t="n"/>
      <c r="C57" s="150">
        <f>IF($D57="","",IFERROR(INDEX(WBS_CBS!$E$5:$E$16,MATCH($D57,WBS_CBS!$A$5:$A$16,0)),""))</f>
        <v/>
      </c>
      <c r="D57" s="149" t="n"/>
      <c r="E57" s="150">
        <f>IF($D57="","",IFERROR(INDEX(WBS_CBS!$C$5:$C$16,MATCH($D57,WBS_CBS!$A$5:$A$16,0)),""))</f>
        <v/>
      </c>
      <c r="F57" s="150">
        <f>IF($D57="","",IFERROR(INDEX(WBS_CBS!$J$5:$J$16,MATCH($D57,WBS_CBS!$A$5:$A$16,0)),""))</f>
        <v/>
      </c>
      <c r="G57" s="149" t="n"/>
      <c r="H57" s="151" t="n"/>
      <c r="I57" s="149" t="n"/>
      <c r="J57" s="152" t="n"/>
      <c r="K57" s="149" t="n"/>
      <c r="L57" s="153">
        <f>IF($K57="","",IFERROR(INDEX(FX_Rates!$B$5:$B$14,MATCH($K57,FX_Rates!$A$5:$A$14,0)),""))</f>
        <v/>
      </c>
      <c r="M57" s="153">
        <f>IF(OR($H57="",$J57=""),"",$H57*$J57)</f>
        <v/>
      </c>
      <c r="N57" s="153">
        <f>IF(OR($M57="",$L57=""),"",$M57*$L57)</f>
        <v/>
      </c>
      <c r="O57" s="149" t="n"/>
      <c r="P57" s="154">
        <f>IF($O57="","",IFERROR(INDEX(Basis_of_Estimate!$C$5:$C$9,MATCH($O57,Basis_of_Estimate!$A$5:$A$9,0)),""))</f>
        <v/>
      </c>
      <c r="Q57" s="154">
        <f>IF($O57="","",IFERROR(INDEX(Basis_of_Estimate!$D$5:$D$9,MATCH($O57,Basis_of_Estimate!$A$5:$A$9,0)),""))</f>
        <v/>
      </c>
      <c r="R57" s="153">
        <f>IF($N57="","",$N57*(1+$P57))</f>
        <v/>
      </c>
      <c r="S57" s="153">
        <f>IF($N57="","",$N57)</f>
        <v/>
      </c>
      <c r="T57" s="153">
        <f>IF($N57="","",$N57*(1+$Q57))</f>
        <v/>
      </c>
      <c r="U57" s="150">
        <f>IF($D57="","",IFERROR(INDEX(WBS_CBS!$M$5:$M$16,MATCH($D57,WBS_CBS!$A$5:$A$16,0)),"Yes"))</f>
        <v/>
      </c>
      <c r="V57" s="150">
        <f>IF($D57="","",IFERROR(INDEX(WBS_CBS!$N$5:$N$16,MATCH($D57,WBS_CBS!$A$5:$A$16,0)),"Yes"))</f>
        <v/>
      </c>
      <c r="W57" s="150">
        <f>IF($D57="","",IFERROR(INDEX(WBS_CBS!$K$5:$K$16,MATCH($D57,WBS_CBS!$A$5:$A$16,0)),""))</f>
        <v/>
      </c>
      <c r="X57" s="150">
        <f>IF($D57="","",IFERROR(INDEX(WBS_CBS!$F$5:$F$16,MATCH($D57,WBS_CBS!$A$5:$A$16,0)),""))</f>
        <v/>
      </c>
      <c r="Y57" s="149" t="n"/>
      <c r="Z57" s="149" t="n"/>
      <c r="AA57" s="150">
        <f>IF($D57="","",IFERROR(INDEX(WBS_CBS!$L$5:$L$16,MATCH($D57,WBS_CBS!$A$5:$A$16,0)),""))</f>
        <v/>
      </c>
      <c r="AB57" s="149" t="n"/>
    </row>
    <row r="58">
      <c r="A58" s="149" t="n"/>
      <c r="B58" s="149" t="n"/>
      <c r="C58" s="150">
        <f>IF($D58="","",IFERROR(INDEX(WBS_CBS!$E$5:$E$16,MATCH($D58,WBS_CBS!$A$5:$A$16,0)),""))</f>
        <v/>
      </c>
      <c r="D58" s="149" t="n"/>
      <c r="E58" s="150">
        <f>IF($D58="","",IFERROR(INDEX(WBS_CBS!$C$5:$C$16,MATCH($D58,WBS_CBS!$A$5:$A$16,0)),""))</f>
        <v/>
      </c>
      <c r="F58" s="150">
        <f>IF($D58="","",IFERROR(INDEX(WBS_CBS!$J$5:$J$16,MATCH($D58,WBS_CBS!$A$5:$A$16,0)),""))</f>
        <v/>
      </c>
      <c r="G58" s="149" t="n"/>
      <c r="H58" s="151" t="n"/>
      <c r="I58" s="149" t="n"/>
      <c r="J58" s="152" t="n"/>
      <c r="K58" s="149" t="n"/>
      <c r="L58" s="153">
        <f>IF($K58="","",IFERROR(INDEX(FX_Rates!$B$5:$B$14,MATCH($K58,FX_Rates!$A$5:$A$14,0)),""))</f>
        <v/>
      </c>
      <c r="M58" s="153">
        <f>IF(OR($H58="",$J58=""),"",$H58*$J58)</f>
        <v/>
      </c>
      <c r="N58" s="153">
        <f>IF(OR($M58="",$L58=""),"",$M58*$L58)</f>
        <v/>
      </c>
      <c r="O58" s="149" t="n"/>
      <c r="P58" s="154">
        <f>IF($O58="","",IFERROR(INDEX(Basis_of_Estimate!$C$5:$C$9,MATCH($O58,Basis_of_Estimate!$A$5:$A$9,0)),""))</f>
        <v/>
      </c>
      <c r="Q58" s="154">
        <f>IF($O58="","",IFERROR(INDEX(Basis_of_Estimate!$D$5:$D$9,MATCH($O58,Basis_of_Estimate!$A$5:$A$9,0)),""))</f>
        <v/>
      </c>
      <c r="R58" s="153">
        <f>IF($N58="","",$N58*(1+$P58))</f>
        <v/>
      </c>
      <c r="S58" s="153">
        <f>IF($N58="","",$N58)</f>
        <v/>
      </c>
      <c r="T58" s="153">
        <f>IF($N58="","",$N58*(1+$Q58))</f>
        <v/>
      </c>
      <c r="U58" s="150">
        <f>IF($D58="","",IFERROR(INDEX(WBS_CBS!$M$5:$M$16,MATCH($D58,WBS_CBS!$A$5:$A$16,0)),"Yes"))</f>
        <v/>
      </c>
      <c r="V58" s="150">
        <f>IF($D58="","",IFERROR(INDEX(WBS_CBS!$N$5:$N$16,MATCH($D58,WBS_CBS!$A$5:$A$16,0)),"Yes"))</f>
        <v/>
      </c>
      <c r="W58" s="150">
        <f>IF($D58="","",IFERROR(INDEX(WBS_CBS!$K$5:$K$16,MATCH($D58,WBS_CBS!$A$5:$A$16,0)),""))</f>
        <v/>
      </c>
      <c r="X58" s="150">
        <f>IF($D58="","",IFERROR(INDEX(WBS_CBS!$F$5:$F$16,MATCH($D58,WBS_CBS!$A$5:$A$16,0)),""))</f>
        <v/>
      </c>
      <c r="Y58" s="149" t="n"/>
      <c r="Z58" s="149" t="n"/>
      <c r="AA58" s="150">
        <f>IF($D58="","",IFERROR(INDEX(WBS_CBS!$L$5:$L$16,MATCH($D58,WBS_CBS!$A$5:$A$16,0)),""))</f>
        <v/>
      </c>
      <c r="AB58" s="149" t="n"/>
    </row>
    <row r="59">
      <c r="A59" s="149" t="n"/>
      <c r="B59" s="149" t="n"/>
      <c r="C59" s="150">
        <f>IF($D59="","",IFERROR(INDEX(WBS_CBS!$E$5:$E$16,MATCH($D59,WBS_CBS!$A$5:$A$16,0)),""))</f>
        <v/>
      </c>
      <c r="D59" s="149" t="n"/>
      <c r="E59" s="150">
        <f>IF($D59="","",IFERROR(INDEX(WBS_CBS!$C$5:$C$16,MATCH($D59,WBS_CBS!$A$5:$A$16,0)),""))</f>
        <v/>
      </c>
      <c r="F59" s="150">
        <f>IF($D59="","",IFERROR(INDEX(WBS_CBS!$J$5:$J$16,MATCH($D59,WBS_CBS!$A$5:$A$16,0)),""))</f>
        <v/>
      </c>
      <c r="G59" s="149" t="n"/>
      <c r="H59" s="151" t="n"/>
      <c r="I59" s="149" t="n"/>
      <c r="J59" s="152" t="n"/>
      <c r="K59" s="149" t="n"/>
      <c r="L59" s="153">
        <f>IF($K59="","",IFERROR(INDEX(FX_Rates!$B$5:$B$14,MATCH($K59,FX_Rates!$A$5:$A$14,0)),""))</f>
        <v/>
      </c>
      <c r="M59" s="153">
        <f>IF(OR($H59="",$J59=""),"",$H59*$J59)</f>
        <v/>
      </c>
      <c r="N59" s="153">
        <f>IF(OR($M59="",$L59=""),"",$M59*$L59)</f>
        <v/>
      </c>
      <c r="O59" s="149" t="n"/>
      <c r="P59" s="154">
        <f>IF($O59="","",IFERROR(INDEX(Basis_of_Estimate!$C$5:$C$9,MATCH($O59,Basis_of_Estimate!$A$5:$A$9,0)),""))</f>
        <v/>
      </c>
      <c r="Q59" s="154">
        <f>IF($O59="","",IFERROR(INDEX(Basis_of_Estimate!$D$5:$D$9,MATCH($O59,Basis_of_Estimate!$A$5:$A$9,0)),""))</f>
        <v/>
      </c>
      <c r="R59" s="153">
        <f>IF($N59="","",$N59*(1+$P59))</f>
        <v/>
      </c>
      <c r="S59" s="153">
        <f>IF($N59="","",$N59)</f>
        <v/>
      </c>
      <c r="T59" s="153">
        <f>IF($N59="","",$N59*(1+$Q59))</f>
        <v/>
      </c>
      <c r="U59" s="150">
        <f>IF($D59="","",IFERROR(INDEX(WBS_CBS!$M$5:$M$16,MATCH($D59,WBS_CBS!$A$5:$A$16,0)),"Yes"))</f>
        <v/>
      </c>
      <c r="V59" s="150">
        <f>IF($D59="","",IFERROR(INDEX(WBS_CBS!$N$5:$N$16,MATCH($D59,WBS_CBS!$A$5:$A$16,0)),"Yes"))</f>
        <v/>
      </c>
      <c r="W59" s="150">
        <f>IF($D59="","",IFERROR(INDEX(WBS_CBS!$K$5:$K$16,MATCH($D59,WBS_CBS!$A$5:$A$16,0)),""))</f>
        <v/>
      </c>
      <c r="X59" s="150">
        <f>IF($D59="","",IFERROR(INDEX(WBS_CBS!$F$5:$F$16,MATCH($D59,WBS_CBS!$A$5:$A$16,0)),""))</f>
        <v/>
      </c>
      <c r="Y59" s="149" t="n"/>
      <c r="Z59" s="149" t="n"/>
      <c r="AA59" s="150">
        <f>IF($D59="","",IFERROR(INDEX(WBS_CBS!$L$5:$L$16,MATCH($D59,WBS_CBS!$A$5:$A$16,0)),""))</f>
        <v/>
      </c>
      <c r="AB59" s="149" t="n"/>
    </row>
    <row r="60">
      <c r="A60" s="149" t="n"/>
      <c r="B60" s="149" t="n"/>
      <c r="C60" s="150">
        <f>IF($D60="","",IFERROR(INDEX(WBS_CBS!$E$5:$E$16,MATCH($D60,WBS_CBS!$A$5:$A$16,0)),""))</f>
        <v/>
      </c>
      <c r="D60" s="149" t="n"/>
      <c r="E60" s="150">
        <f>IF($D60="","",IFERROR(INDEX(WBS_CBS!$C$5:$C$16,MATCH($D60,WBS_CBS!$A$5:$A$16,0)),""))</f>
        <v/>
      </c>
      <c r="F60" s="150">
        <f>IF($D60="","",IFERROR(INDEX(WBS_CBS!$J$5:$J$16,MATCH($D60,WBS_CBS!$A$5:$A$16,0)),""))</f>
        <v/>
      </c>
      <c r="G60" s="149" t="n"/>
      <c r="H60" s="151" t="n"/>
      <c r="I60" s="149" t="n"/>
      <c r="J60" s="152" t="n"/>
      <c r="K60" s="149" t="n"/>
      <c r="L60" s="153">
        <f>IF($K60="","",IFERROR(INDEX(FX_Rates!$B$5:$B$14,MATCH($K60,FX_Rates!$A$5:$A$14,0)),""))</f>
        <v/>
      </c>
      <c r="M60" s="153">
        <f>IF(OR($H60="",$J60=""),"",$H60*$J60)</f>
        <v/>
      </c>
      <c r="N60" s="153">
        <f>IF(OR($M60="",$L60=""),"",$M60*$L60)</f>
        <v/>
      </c>
      <c r="O60" s="149" t="n"/>
      <c r="P60" s="154">
        <f>IF($O60="","",IFERROR(INDEX(Basis_of_Estimate!$C$5:$C$9,MATCH($O60,Basis_of_Estimate!$A$5:$A$9,0)),""))</f>
        <v/>
      </c>
      <c r="Q60" s="154">
        <f>IF($O60="","",IFERROR(INDEX(Basis_of_Estimate!$D$5:$D$9,MATCH($O60,Basis_of_Estimate!$A$5:$A$9,0)),""))</f>
        <v/>
      </c>
      <c r="R60" s="153">
        <f>IF($N60="","",$N60*(1+$P60))</f>
        <v/>
      </c>
      <c r="S60" s="153">
        <f>IF($N60="","",$N60)</f>
        <v/>
      </c>
      <c r="T60" s="153">
        <f>IF($N60="","",$N60*(1+$Q60))</f>
        <v/>
      </c>
      <c r="U60" s="150">
        <f>IF($D60="","",IFERROR(INDEX(WBS_CBS!$M$5:$M$16,MATCH($D60,WBS_CBS!$A$5:$A$16,0)),"Yes"))</f>
        <v/>
      </c>
      <c r="V60" s="150">
        <f>IF($D60="","",IFERROR(INDEX(WBS_CBS!$N$5:$N$16,MATCH($D60,WBS_CBS!$A$5:$A$16,0)),"Yes"))</f>
        <v/>
      </c>
      <c r="W60" s="150">
        <f>IF($D60="","",IFERROR(INDEX(WBS_CBS!$K$5:$K$16,MATCH($D60,WBS_CBS!$A$5:$A$16,0)),""))</f>
        <v/>
      </c>
      <c r="X60" s="150">
        <f>IF($D60="","",IFERROR(INDEX(WBS_CBS!$F$5:$F$16,MATCH($D60,WBS_CBS!$A$5:$A$16,0)),""))</f>
        <v/>
      </c>
      <c r="Y60" s="149" t="n"/>
      <c r="Z60" s="149" t="n"/>
      <c r="AA60" s="150">
        <f>IF($D60="","",IFERROR(INDEX(WBS_CBS!$L$5:$L$16,MATCH($D60,WBS_CBS!$A$5:$A$16,0)),""))</f>
        <v/>
      </c>
      <c r="AB60" s="149" t="n"/>
    </row>
    <row r="61">
      <c r="A61" s="149" t="n"/>
      <c r="B61" s="149" t="n"/>
      <c r="C61" s="150">
        <f>IF($D61="","",IFERROR(INDEX(WBS_CBS!$E$5:$E$16,MATCH($D61,WBS_CBS!$A$5:$A$16,0)),""))</f>
        <v/>
      </c>
      <c r="D61" s="149" t="n"/>
      <c r="E61" s="150">
        <f>IF($D61="","",IFERROR(INDEX(WBS_CBS!$C$5:$C$16,MATCH($D61,WBS_CBS!$A$5:$A$16,0)),""))</f>
        <v/>
      </c>
      <c r="F61" s="150">
        <f>IF($D61="","",IFERROR(INDEX(WBS_CBS!$J$5:$J$16,MATCH($D61,WBS_CBS!$A$5:$A$16,0)),""))</f>
        <v/>
      </c>
      <c r="G61" s="149" t="n"/>
      <c r="H61" s="151" t="n"/>
      <c r="I61" s="149" t="n"/>
      <c r="J61" s="152" t="n"/>
      <c r="K61" s="149" t="n"/>
      <c r="L61" s="153">
        <f>IF($K61="","",IFERROR(INDEX(FX_Rates!$B$5:$B$14,MATCH($K61,FX_Rates!$A$5:$A$14,0)),""))</f>
        <v/>
      </c>
      <c r="M61" s="153">
        <f>IF(OR($H61="",$J61=""),"",$H61*$J61)</f>
        <v/>
      </c>
      <c r="N61" s="153">
        <f>IF(OR($M61="",$L61=""),"",$M61*$L61)</f>
        <v/>
      </c>
      <c r="O61" s="149" t="n"/>
      <c r="P61" s="154">
        <f>IF($O61="","",IFERROR(INDEX(Basis_of_Estimate!$C$5:$C$9,MATCH($O61,Basis_of_Estimate!$A$5:$A$9,0)),""))</f>
        <v/>
      </c>
      <c r="Q61" s="154">
        <f>IF($O61="","",IFERROR(INDEX(Basis_of_Estimate!$D$5:$D$9,MATCH($O61,Basis_of_Estimate!$A$5:$A$9,0)),""))</f>
        <v/>
      </c>
      <c r="R61" s="153">
        <f>IF($N61="","",$N61*(1+$P61))</f>
        <v/>
      </c>
      <c r="S61" s="153">
        <f>IF($N61="","",$N61)</f>
        <v/>
      </c>
      <c r="T61" s="153">
        <f>IF($N61="","",$N61*(1+$Q61))</f>
        <v/>
      </c>
      <c r="U61" s="150">
        <f>IF($D61="","",IFERROR(INDEX(WBS_CBS!$M$5:$M$16,MATCH($D61,WBS_CBS!$A$5:$A$16,0)),"Yes"))</f>
        <v/>
      </c>
      <c r="V61" s="150">
        <f>IF($D61="","",IFERROR(INDEX(WBS_CBS!$N$5:$N$16,MATCH($D61,WBS_CBS!$A$5:$A$16,0)),"Yes"))</f>
        <v/>
      </c>
      <c r="W61" s="150">
        <f>IF($D61="","",IFERROR(INDEX(WBS_CBS!$K$5:$K$16,MATCH($D61,WBS_CBS!$A$5:$A$16,0)),""))</f>
        <v/>
      </c>
      <c r="X61" s="150">
        <f>IF($D61="","",IFERROR(INDEX(WBS_CBS!$F$5:$F$16,MATCH($D61,WBS_CBS!$A$5:$A$16,0)),""))</f>
        <v/>
      </c>
      <c r="Y61" s="149" t="n"/>
      <c r="Z61" s="149" t="n"/>
      <c r="AA61" s="150">
        <f>IF($D61="","",IFERROR(INDEX(WBS_CBS!$L$5:$L$16,MATCH($D61,WBS_CBS!$A$5:$A$16,0)),""))</f>
        <v/>
      </c>
      <c r="AB61" s="149" t="n"/>
    </row>
    <row r="62">
      <c r="A62" s="149" t="n"/>
      <c r="B62" s="149" t="n"/>
      <c r="C62" s="150">
        <f>IF($D62="","",IFERROR(INDEX(WBS_CBS!$E$5:$E$16,MATCH($D62,WBS_CBS!$A$5:$A$16,0)),""))</f>
        <v/>
      </c>
      <c r="D62" s="149" t="n"/>
      <c r="E62" s="150">
        <f>IF($D62="","",IFERROR(INDEX(WBS_CBS!$C$5:$C$16,MATCH($D62,WBS_CBS!$A$5:$A$16,0)),""))</f>
        <v/>
      </c>
      <c r="F62" s="150">
        <f>IF($D62="","",IFERROR(INDEX(WBS_CBS!$J$5:$J$16,MATCH($D62,WBS_CBS!$A$5:$A$16,0)),""))</f>
        <v/>
      </c>
      <c r="G62" s="149" t="n"/>
      <c r="H62" s="151" t="n"/>
      <c r="I62" s="149" t="n"/>
      <c r="J62" s="152" t="n"/>
      <c r="K62" s="149" t="n"/>
      <c r="L62" s="153">
        <f>IF($K62="","",IFERROR(INDEX(FX_Rates!$B$5:$B$14,MATCH($K62,FX_Rates!$A$5:$A$14,0)),""))</f>
        <v/>
      </c>
      <c r="M62" s="153">
        <f>IF(OR($H62="",$J62=""),"",$H62*$J62)</f>
        <v/>
      </c>
      <c r="N62" s="153">
        <f>IF(OR($M62="",$L62=""),"",$M62*$L62)</f>
        <v/>
      </c>
      <c r="O62" s="149" t="n"/>
      <c r="P62" s="154">
        <f>IF($O62="","",IFERROR(INDEX(Basis_of_Estimate!$C$5:$C$9,MATCH($O62,Basis_of_Estimate!$A$5:$A$9,0)),""))</f>
        <v/>
      </c>
      <c r="Q62" s="154">
        <f>IF($O62="","",IFERROR(INDEX(Basis_of_Estimate!$D$5:$D$9,MATCH($O62,Basis_of_Estimate!$A$5:$A$9,0)),""))</f>
        <v/>
      </c>
      <c r="R62" s="153">
        <f>IF($N62="","",$N62*(1+$P62))</f>
        <v/>
      </c>
      <c r="S62" s="153">
        <f>IF($N62="","",$N62)</f>
        <v/>
      </c>
      <c r="T62" s="153">
        <f>IF($N62="","",$N62*(1+$Q62))</f>
        <v/>
      </c>
      <c r="U62" s="150">
        <f>IF($D62="","",IFERROR(INDEX(WBS_CBS!$M$5:$M$16,MATCH($D62,WBS_CBS!$A$5:$A$16,0)),"Yes"))</f>
        <v/>
      </c>
      <c r="V62" s="150">
        <f>IF($D62="","",IFERROR(INDEX(WBS_CBS!$N$5:$N$16,MATCH($D62,WBS_CBS!$A$5:$A$16,0)),"Yes"))</f>
        <v/>
      </c>
      <c r="W62" s="150">
        <f>IF($D62="","",IFERROR(INDEX(WBS_CBS!$K$5:$K$16,MATCH($D62,WBS_CBS!$A$5:$A$16,0)),""))</f>
        <v/>
      </c>
      <c r="X62" s="150">
        <f>IF($D62="","",IFERROR(INDEX(WBS_CBS!$F$5:$F$16,MATCH($D62,WBS_CBS!$A$5:$A$16,0)),""))</f>
        <v/>
      </c>
      <c r="Y62" s="149" t="n"/>
      <c r="Z62" s="149" t="n"/>
      <c r="AA62" s="150">
        <f>IF($D62="","",IFERROR(INDEX(WBS_CBS!$L$5:$L$16,MATCH($D62,WBS_CBS!$A$5:$A$16,0)),""))</f>
        <v/>
      </c>
      <c r="AB62" s="149" t="n"/>
    </row>
    <row r="63">
      <c r="A63" s="149" t="n"/>
      <c r="B63" s="149" t="n"/>
      <c r="C63" s="150">
        <f>IF($D63="","",IFERROR(INDEX(WBS_CBS!$E$5:$E$16,MATCH($D63,WBS_CBS!$A$5:$A$16,0)),""))</f>
        <v/>
      </c>
      <c r="D63" s="149" t="n"/>
      <c r="E63" s="150">
        <f>IF($D63="","",IFERROR(INDEX(WBS_CBS!$C$5:$C$16,MATCH($D63,WBS_CBS!$A$5:$A$16,0)),""))</f>
        <v/>
      </c>
      <c r="F63" s="150">
        <f>IF($D63="","",IFERROR(INDEX(WBS_CBS!$J$5:$J$16,MATCH($D63,WBS_CBS!$A$5:$A$16,0)),""))</f>
        <v/>
      </c>
      <c r="G63" s="149" t="n"/>
      <c r="H63" s="151" t="n"/>
      <c r="I63" s="149" t="n"/>
      <c r="J63" s="152" t="n"/>
      <c r="K63" s="149" t="n"/>
      <c r="L63" s="153">
        <f>IF($K63="","",IFERROR(INDEX(FX_Rates!$B$5:$B$14,MATCH($K63,FX_Rates!$A$5:$A$14,0)),""))</f>
        <v/>
      </c>
      <c r="M63" s="153">
        <f>IF(OR($H63="",$J63=""),"",$H63*$J63)</f>
        <v/>
      </c>
      <c r="N63" s="153">
        <f>IF(OR($M63="",$L63=""),"",$M63*$L63)</f>
        <v/>
      </c>
      <c r="O63" s="149" t="n"/>
      <c r="P63" s="154">
        <f>IF($O63="","",IFERROR(INDEX(Basis_of_Estimate!$C$5:$C$9,MATCH($O63,Basis_of_Estimate!$A$5:$A$9,0)),""))</f>
        <v/>
      </c>
      <c r="Q63" s="154">
        <f>IF($O63="","",IFERROR(INDEX(Basis_of_Estimate!$D$5:$D$9,MATCH($O63,Basis_of_Estimate!$A$5:$A$9,0)),""))</f>
        <v/>
      </c>
      <c r="R63" s="153">
        <f>IF($N63="","",$N63*(1+$P63))</f>
        <v/>
      </c>
      <c r="S63" s="153">
        <f>IF($N63="","",$N63)</f>
        <v/>
      </c>
      <c r="T63" s="153">
        <f>IF($N63="","",$N63*(1+$Q63))</f>
        <v/>
      </c>
      <c r="U63" s="150">
        <f>IF($D63="","",IFERROR(INDEX(WBS_CBS!$M$5:$M$16,MATCH($D63,WBS_CBS!$A$5:$A$16,0)),"Yes"))</f>
        <v/>
      </c>
      <c r="V63" s="150">
        <f>IF($D63="","",IFERROR(INDEX(WBS_CBS!$N$5:$N$16,MATCH($D63,WBS_CBS!$A$5:$A$16,0)),"Yes"))</f>
        <v/>
      </c>
      <c r="W63" s="150">
        <f>IF($D63="","",IFERROR(INDEX(WBS_CBS!$K$5:$K$16,MATCH($D63,WBS_CBS!$A$5:$A$16,0)),""))</f>
        <v/>
      </c>
      <c r="X63" s="150">
        <f>IF($D63="","",IFERROR(INDEX(WBS_CBS!$F$5:$F$16,MATCH($D63,WBS_CBS!$A$5:$A$16,0)),""))</f>
        <v/>
      </c>
      <c r="Y63" s="149" t="n"/>
      <c r="Z63" s="149" t="n"/>
      <c r="AA63" s="150">
        <f>IF($D63="","",IFERROR(INDEX(WBS_CBS!$L$5:$L$16,MATCH($D63,WBS_CBS!$A$5:$A$16,0)),""))</f>
        <v/>
      </c>
      <c r="AB63" s="149" t="n"/>
    </row>
    <row r="64">
      <c r="A64" s="149" t="n"/>
      <c r="B64" s="149" t="n"/>
      <c r="C64" s="150">
        <f>IF($D64="","",IFERROR(INDEX(WBS_CBS!$E$5:$E$16,MATCH($D64,WBS_CBS!$A$5:$A$16,0)),""))</f>
        <v/>
      </c>
      <c r="D64" s="149" t="n"/>
      <c r="E64" s="150">
        <f>IF($D64="","",IFERROR(INDEX(WBS_CBS!$C$5:$C$16,MATCH($D64,WBS_CBS!$A$5:$A$16,0)),""))</f>
        <v/>
      </c>
      <c r="F64" s="150">
        <f>IF($D64="","",IFERROR(INDEX(WBS_CBS!$J$5:$J$16,MATCH($D64,WBS_CBS!$A$5:$A$16,0)),""))</f>
        <v/>
      </c>
      <c r="G64" s="149" t="n"/>
      <c r="H64" s="151" t="n"/>
      <c r="I64" s="149" t="n"/>
      <c r="J64" s="152" t="n"/>
      <c r="K64" s="149" t="n"/>
      <c r="L64" s="153">
        <f>IF($K64="","",IFERROR(INDEX(FX_Rates!$B$5:$B$14,MATCH($K64,FX_Rates!$A$5:$A$14,0)),""))</f>
        <v/>
      </c>
      <c r="M64" s="153">
        <f>IF(OR($H64="",$J64=""),"",$H64*$J64)</f>
        <v/>
      </c>
      <c r="N64" s="153">
        <f>IF(OR($M64="",$L64=""),"",$M64*$L64)</f>
        <v/>
      </c>
      <c r="O64" s="149" t="n"/>
      <c r="P64" s="154">
        <f>IF($O64="","",IFERROR(INDEX(Basis_of_Estimate!$C$5:$C$9,MATCH($O64,Basis_of_Estimate!$A$5:$A$9,0)),""))</f>
        <v/>
      </c>
      <c r="Q64" s="154">
        <f>IF($O64="","",IFERROR(INDEX(Basis_of_Estimate!$D$5:$D$9,MATCH($O64,Basis_of_Estimate!$A$5:$A$9,0)),""))</f>
        <v/>
      </c>
      <c r="R64" s="153">
        <f>IF($N64="","",$N64*(1+$P64))</f>
        <v/>
      </c>
      <c r="S64" s="153">
        <f>IF($N64="","",$N64)</f>
        <v/>
      </c>
      <c r="T64" s="153">
        <f>IF($N64="","",$N64*(1+$Q64))</f>
        <v/>
      </c>
      <c r="U64" s="150">
        <f>IF($D64="","",IFERROR(INDEX(WBS_CBS!$M$5:$M$16,MATCH($D64,WBS_CBS!$A$5:$A$16,0)),"Yes"))</f>
        <v/>
      </c>
      <c r="V64" s="150">
        <f>IF($D64="","",IFERROR(INDEX(WBS_CBS!$N$5:$N$16,MATCH($D64,WBS_CBS!$A$5:$A$16,0)),"Yes"))</f>
        <v/>
      </c>
      <c r="W64" s="150">
        <f>IF($D64="","",IFERROR(INDEX(WBS_CBS!$K$5:$K$16,MATCH($D64,WBS_CBS!$A$5:$A$16,0)),""))</f>
        <v/>
      </c>
      <c r="X64" s="150">
        <f>IF($D64="","",IFERROR(INDEX(WBS_CBS!$F$5:$F$16,MATCH($D64,WBS_CBS!$A$5:$A$16,0)),""))</f>
        <v/>
      </c>
      <c r="Y64" s="149" t="n"/>
      <c r="Z64" s="149" t="n"/>
      <c r="AA64" s="150">
        <f>IF($D64="","",IFERROR(INDEX(WBS_CBS!$L$5:$L$16,MATCH($D64,WBS_CBS!$A$5:$A$16,0)),""))</f>
        <v/>
      </c>
      <c r="AB64" s="149" t="n"/>
    </row>
    <row r="65">
      <c r="A65" s="149" t="n"/>
      <c r="B65" s="149" t="n"/>
      <c r="C65" s="150">
        <f>IF($D65="","",IFERROR(INDEX(WBS_CBS!$E$5:$E$16,MATCH($D65,WBS_CBS!$A$5:$A$16,0)),""))</f>
        <v/>
      </c>
      <c r="D65" s="149" t="n"/>
      <c r="E65" s="150">
        <f>IF($D65="","",IFERROR(INDEX(WBS_CBS!$C$5:$C$16,MATCH($D65,WBS_CBS!$A$5:$A$16,0)),""))</f>
        <v/>
      </c>
      <c r="F65" s="150">
        <f>IF($D65="","",IFERROR(INDEX(WBS_CBS!$J$5:$J$16,MATCH($D65,WBS_CBS!$A$5:$A$16,0)),""))</f>
        <v/>
      </c>
      <c r="G65" s="149" t="n"/>
      <c r="H65" s="151" t="n"/>
      <c r="I65" s="149" t="n"/>
      <c r="J65" s="152" t="n"/>
      <c r="K65" s="149" t="n"/>
      <c r="L65" s="153">
        <f>IF($K65="","",IFERROR(INDEX(FX_Rates!$B$5:$B$14,MATCH($K65,FX_Rates!$A$5:$A$14,0)),""))</f>
        <v/>
      </c>
      <c r="M65" s="153">
        <f>IF(OR($H65="",$J65=""),"",$H65*$J65)</f>
        <v/>
      </c>
      <c r="N65" s="153">
        <f>IF(OR($M65="",$L65=""),"",$M65*$L65)</f>
        <v/>
      </c>
      <c r="O65" s="149" t="n"/>
      <c r="P65" s="154">
        <f>IF($O65="","",IFERROR(INDEX(Basis_of_Estimate!$C$5:$C$9,MATCH($O65,Basis_of_Estimate!$A$5:$A$9,0)),""))</f>
        <v/>
      </c>
      <c r="Q65" s="154">
        <f>IF($O65="","",IFERROR(INDEX(Basis_of_Estimate!$D$5:$D$9,MATCH($O65,Basis_of_Estimate!$A$5:$A$9,0)),""))</f>
        <v/>
      </c>
      <c r="R65" s="153">
        <f>IF($N65="","",$N65*(1+$P65))</f>
        <v/>
      </c>
      <c r="S65" s="153">
        <f>IF($N65="","",$N65)</f>
        <v/>
      </c>
      <c r="T65" s="153">
        <f>IF($N65="","",$N65*(1+$Q65))</f>
        <v/>
      </c>
      <c r="U65" s="150">
        <f>IF($D65="","",IFERROR(INDEX(WBS_CBS!$M$5:$M$16,MATCH($D65,WBS_CBS!$A$5:$A$16,0)),"Yes"))</f>
        <v/>
      </c>
      <c r="V65" s="150">
        <f>IF($D65="","",IFERROR(INDEX(WBS_CBS!$N$5:$N$16,MATCH($D65,WBS_CBS!$A$5:$A$16,0)),"Yes"))</f>
        <v/>
      </c>
      <c r="W65" s="150">
        <f>IF($D65="","",IFERROR(INDEX(WBS_CBS!$K$5:$K$16,MATCH($D65,WBS_CBS!$A$5:$A$16,0)),""))</f>
        <v/>
      </c>
      <c r="X65" s="150">
        <f>IF($D65="","",IFERROR(INDEX(WBS_CBS!$F$5:$F$16,MATCH($D65,WBS_CBS!$A$5:$A$16,0)),""))</f>
        <v/>
      </c>
      <c r="Y65" s="149" t="n"/>
      <c r="Z65" s="149" t="n"/>
      <c r="AA65" s="150">
        <f>IF($D65="","",IFERROR(INDEX(WBS_CBS!$L$5:$L$16,MATCH($D65,WBS_CBS!$A$5:$A$16,0)),""))</f>
        <v/>
      </c>
      <c r="AB65" s="149" t="n"/>
    </row>
    <row r="66">
      <c r="A66" s="149" t="n"/>
      <c r="B66" s="149" t="n"/>
      <c r="C66" s="150">
        <f>IF($D66="","",IFERROR(INDEX(WBS_CBS!$E$5:$E$16,MATCH($D66,WBS_CBS!$A$5:$A$16,0)),""))</f>
        <v/>
      </c>
      <c r="D66" s="149" t="n"/>
      <c r="E66" s="150">
        <f>IF($D66="","",IFERROR(INDEX(WBS_CBS!$C$5:$C$16,MATCH($D66,WBS_CBS!$A$5:$A$16,0)),""))</f>
        <v/>
      </c>
      <c r="F66" s="150">
        <f>IF($D66="","",IFERROR(INDEX(WBS_CBS!$J$5:$J$16,MATCH($D66,WBS_CBS!$A$5:$A$16,0)),""))</f>
        <v/>
      </c>
      <c r="G66" s="149" t="n"/>
      <c r="H66" s="151" t="n"/>
      <c r="I66" s="149" t="n"/>
      <c r="J66" s="152" t="n"/>
      <c r="K66" s="149" t="n"/>
      <c r="L66" s="153">
        <f>IF($K66="","",IFERROR(INDEX(FX_Rates!$B$5:$B$14,MATCH($K66,FX_Rates!$A$5:$A$14,0)),""))</f>
        <v/>
      </c>
      <c r="M66" s="153">
        <f>IF(OR($H66="",$J66=""),"",$H66*$J66)</f>
        <v/>
      </c>
      <c r="N66" s="153">
        <f>IF(OR($M66="",$L66=""),"",$M66*$L66)</f>
        <v/>
      </c>
      <c r="O66" s="149" t="n"/>
      <c r="P66" s="154">
        <f>IF($O66="","",IFERROR(INDEX(Basis_of_Estimate!$C$5:$C$9,MATCH($O66,Basis_of_Estimate!$A$5:$A$9,0)),""))</f>
        <v/>
      </c>
      <c r="Q66" s="154">
        <f>IF($O66="","",IFERROR(INDEX(Basis_of_Estimate!$D$5:$D$9,MATCH($O66,Basis_of_Estimate!$A$5:$A$9,0)),""))</f>
        <v/>
      </c>
      <c r="R66" s="153">
        <f>IF($N66="","",$N66*(1+$P66))</f>
        <v/>
      </c>
      <c r="S66" s="153">
        <f>IF($N66="","",$N66)</f>
        <v/>
      </c>
      <c r="T66" s="153">
        <f>IF($N66="","",$N66*(1+$Q66))</f>
        <v/>
      </c>
      <c r="U66" s="150">
        <f>IF($D66="","",IFERROR(INDEX(WBS_CBS!$M$5:$M$16,MATCH($D66,WBS_CBS!$A$5:$A$16,0)),"Yes"))</f>
        <v/>
      </c>
      <c r="V66" s="150">
        <f>IF($D66="","",IFERROR(INDEX(WBS_CBS!$N$5:$N$16,MATCH($D66,WBS_CBS!$A$5:$A$16,0)),"Yes"))</f>
        <v/>
      </c>
      <c r="W66" s="150">
        <f>IF($D66="","",IFERROR(INDEX(WBS_CBS!$K$5:$K$16,MATCH($D66,WBS_CBS!$A$5:$A$16,0)),""))</f>
        <v/>
      </c>
      <c r="X66" s="150">
        <f>IF($D66="","",IFERROR(INDEX(WBS_CBS!$F$5:$F$16,MATCH($D66,WBS_CBS!$A$5:$A$16,0)),""))</f>
        <v/>
      </c>
      <c r="Y66" s="149" t="n"/>
      <c r="Z66" s="149" t="n"/>
      <c r="AA66" s="150">
        <f>IF($D66="","",IFERROR(INDEX(WBS_CBS!$L$5:$L$16,MATCH($D66,WBS_CBS!$A$5:$A$16,0)),""))</f>
        <v/>
      </c>
      <c r="AB66" s="149" t="n"/>
    </row>
    <row r="67">
      <c r="A67" s="149" t="n"/>
      <c r="B67" s="149" t="n"/>
      <c r="C67" s="150">
        <f>IF($D67="","",IFERROR(INDEX(WBS_CBS!$E$5:$E$16,MATCH($D67,WBS_CBS!$A$5:$A$16,0)),""))</f>
        <v/>
      </c>
      <c r="D67" s="149" t="n"/>
      <c r="E67" s="150">
        <f>IF($D67="","",IFERROR(INDEX(WBS_CBS!$C$5:$C$16,MATCH($D67,WBS_CBS!$A$5:$A$16,0)),""))</f>
        <v/>
      </c>
      <c r="F67" s="150">
        <f>IF($D67="","",IFERROR(INDEX(WBS_CBS!$J$5:$J$16,MATCH($D67,WBS_CBS!$A$5:$A$16,0)),""))</f>
        <v/>
      </c>
      <c r="G67" s="149" t="n"/>
      <c r="H67" s="151" t="n"/>
      <c r="I67" s="149" t="n"/>
      <c r="J67" s="152" t="n"/>
      <c r="K67" s="149" t="n"/>
      <c r="L67" s="153">
        <f>IF($K67="","",IFERROR(INDEX(FX_Rates!$B$5:$B$14,MATCH($K67,FX_Rates!$A$5:$A$14,0)),""))</f>
        <v/>
      </c>
      <c r="M67" s="153">
        <f>IF(OR($H67="",$J67=""),"",$H67*$J67)</f>
        <v/>
      </c>
      <c r="N67" s="153">
        <f>IF(OR($M67="",$L67=""),"",$M67*$L67)</f>
        <v/>
      </c>
      <c r="O67" s="149" t="n"/>
      <c r="P67" s="154">
        <f>IF($O67="","",IFERROR(INDEX(Basis_of_Estimate!$C$5:$C$9,MATCH($O67,Basis_of_Estimate!$A$5:$A$9,0)),""))</f>
        <v/>
      </c>
      <c r="Q67" s="154">
        <f>IF($O67="","",IFERROR(INDEX(Basis_of_Estimate!$D$5:$D$9,MATCH($O67,Basis_of_Estimate!$A$5:$A$9,0)),""))</f>
        <v/>
      </c>
      <c r="R67" s="153">
        <f>IF($N67="","",$N67*(1+$P67))</f>
        <v/>
      </c>
      <c r="S67" s="153">
        <f>IF($N67="","",$N67)</f>
        <v/>
      </c>
      <c r="T67" s="153">
        <f>IF($N67="","",$N67*(1+$Q67))</f>
        <v/>
      </c>
      <c r="U67" s="150">
        <f>IF($D67="","",IFERROR(INDEX(WBS_CBS!$M$5:$M$16,MATCH($D67,WBS_CBS!$A$5:$A$16,0)),"Yes"))</f>
        <v/>
      </c>
      <c r="V67" s="150">
        <f>IF($D67="","",IFERROR(INDEX(WBS_CBS!$N$5:$N$16,MATCH($D67,WBS_CBS!$A$5:$A$16,0)),"Yes"))</f>
        <v/>
      </c>
      <c r="W67" s="150">
        <f>IF($D67="","",IFERROR(INDEX(WBS_CBS!$K$5:$K$16,MATCH($D67,WBS_CBS!$A$5:$A$16,0)),""))</f>
        <v/>
      </c>
      <c r="X67" s="150">
        <f>IF($D67="","",IFERROR(INDEX(WBS_CBS!$F$5:$F$16,MATCH($D67,WBS_CBS!$A$5:$A$16,0)),""))</f>
        <v/>
      </c>
      <c r="Y67" s="149" t="n"/>
      <c r="Z67" s="149" t="n"/>
      <c r="AA67" s="150">
        <f>IF($D67="","",IFERROR(INDEX(WBS_CBS!$L$5:$L$16,MATCH($D67,WBS_CBS!$A$5:$A$16,0)),""))</f>
        <v/>
      </c>
      <c r="AB67" s="149" t="n"/>
    </row>
    <row r="68">
      <c r="A68" s="149" t="n"/>
      <c r="B68" s="149" t="n"/>
      <c r="C68" s="150">
        <f>IF($D68="","",IFERROR(INDEX(WBS_CBS!$E$5:$E$16,MATCH($D68,WBS_CBS!$A$5:$A$16,0)),""))</f>
        <v/>
      </c>
      <c r="D68" s="149" t="n"/>
      <c r="E68" s="150">
        <f>IF($D68="","",IFERROR(INDEX(WBS_CBS!$C$5:$C$16,MATCH($D68,WBS_CBS!$A$5:$A$16,0)),""))</f>
        <v/>
      </c>
      <c r="F68" s="150">
        <f>IF($D68="","",IFERROR(INDEX(WBS_CBS!$J$5:$J$16,MATCH($D68,WBS_CBS!$A$5:$A$16,0)),""))</f>
        <v/>
      </c>
      <c r="G68" s="149" t="n"/>
      <c r="H68" s="151" t="n"/>
      <c r="I68" s="149" t="n"/>
      <c r="J68" s="152" t="n"/>
      <c r="K68" s="149" t="n"/>
      <c r="L68" s="153">
        <f>IF($K68="","",IFERROR(INDEX(FX_Rates!$B$5:$B$14,MATCH($K68,FX_Rates!$A$5:$A$14,0)),""))</f>
        <v/>
      </c>
      <c r="M68" s="153">
        <f>IF(OR($H68="",$J68=""),"",$H68*$J68)</f>
        <v/>
      </c>
      <c r="N68" s="153">
        <f>IF(OR($M68="",$L68=""),"",$M68*$L68)</f>
        <v/>
      </c>
      <c r="O68" s="149" t="n"/>
      <c r="P68" s="154">
        <f>IF($O68="","",IFERROR(INDEX(Basis_of_Estimate!$C$5:$C$9,MATCH($O68,Basis_of_Estimate!$A$5:$A$9,0)),""))</f>
        <v/>
      </c>
      <c r="Q68" s="154">
        <f>IF($O68="","",IFERROR(INDEX(Basis_of_Estimate!$D$5:$D$9,MATCH($O68,Basis_of_Estimate!$A$5:$A$9,0)),""))</f>
        <v/>
      </c>
      <c r="R68" s="153">
        <f>IF($N68="","",$N68*(1+$P68))</f>
        <v/>
      </c>
      <c r="S68" s="153">
        <f>IF($N68="","",$N68)</f>
        <v/>
      </c>
      <c r="T68" s="153">
        <f>IF($N68="","",$N68*(1+$Q68))</f>
        <v/>
      </c>
      <c r="U68" s="150">
        <f>IF($D68="","",IFERROR(INDEX(WBS_CBS!$M$5:$M$16,MATCH($D68,WBS_CBS!$A$5:$A$16,0)),"Yes"))</f>
        <v/>
      </c>
      <c r="V68" s="150">
        <f>IF($D68="","",IFERROR(INDEX(WBS_CBS!$N$5:$N$16,MATCH($D68,WBS_CBS!$A$5:$A$16,0)),"Yes"))</f>
        <v/>
      </c>
      <c r="W68" s="150">
        <f>IF($D68="","",IFERROR(INDEX(WBS_CBS!$K$5:$K$16,MATCH($D68,WBS_CBS!$A$5:$A$16,0)),""))</f>
        <v/>
      </c>
      <c r="X68" s="150">
        <f>IF($D68="","",IFERROR(INDEX(WBS_CBS!$F$5:$F$16,MATCH($D68,WBS_CBS!$A$5:$A$16,0)),""))</f>
        <v/>
      </c>
      <c r="Y68" s="149" t="n"/>
      <c r="Z68" s="149" t="n"/>
      <c r="AA68" s="150">
        <f>IF($D68="","",IFERROR(INDEX(WBS_CBS!$L$5:$L$16,MATCH($D68,WBS_CBS!$A$5:$A$16,0)),""))</f>
        <v/>
      </c>
      <c r="AB68" s="149" t="n"/>
    </row>
    <row r="69">
      <c r="A69" s="149" t="n"/>
      <c r="B69" s="149" t="n"/>
      <c r="C69" s="150">
        <f>IF($D69="","",IFERROR(INDEX(WBS_CBS!$E$5:$E$16,MATCH($D69,WBS_CBS!$A$5:$A$16,0)),""))</f>
        <v/>
      </c>
      <c r="D69" s="149" t="n"/>
      <c r="E69" s="150">
        <f>IF($D69="","",IFERROR(INDEX(WBS_CBS!$C$5:$C$16,MATCH($D69,WBS_CBS!$A$5:$A$16,0)),""))</f>
        <v/>
      </c>
      <c r="F69" s="150">
        <f>IF($D69="","",IFERROR(INDEX(WBS_CBS!$J$5:$J$16,MATCH($D69,WBS_CBS!$A$5:$A$16,0)),""))</f>
        <v/>
      </c>
      <c r="G69" s="149" t="n"/>
      <c r="H69" s="151" t="n"/>
      <c r="I69" s="149" t="n"/>
      <c r="J69" s="152" t="n"/>
      <c r="K69" s="149" t="n"/>
      <c r="L69" s="153">
        <f>IF($K69="","",IFERROR(INDEX(FX_Rates!$B$5:$B$14,MATCH($K69,FX_Rates!$A$5:$A$14,0)),""))</f>
        <v/>
      </c>
      <c r="M69" s="153">
        <f>IF(OR($H69="",$J69=""),"",$H69*$J69)</f>
        <v/>
      </c>
      <c r="N69" s="153">
        <f>IF(OR($M69="",$L69=""),"",$M69*$L69)</f>
        <v/>
      </c>
      <c r="O69" s="149" t="n"/>
      <c r="P69" s="154">
        <f>IF($O69="","",IFERROR(INDEX(Basis_of_Estimate!$C$5:$C$9,MATCH($O69,Basis_of_Estimate!$A$5:$A$9,0)),""))</f>
        <v/>
      </c>
      <c r="Q69" s="154">
        <f>IF($O69="","",IFERROR(INDEX(Basis_of_Estimate!$D$5:$D$9,MATCH($O69,Basis_of_Estimate!$A$5:$A$9,0)),""))</f>
        <v/>
      </c>
      <c r="R69" s="153">
        <f>IF($N69="","",$N69*(1+$P69))</f>
        <v/>
      </c>
      <c r="S69" s="153">
        <f>IF($N69="","",$N69)</f>
        <v/>
      </c>
      <c r="T69" s="153">
        <f>IF($N69="","",$N69*(1+$Q69))</f>
        <v/>
      </c>
      <c r="U69" s="150">
        <f>IF($D69="","",IFERROR(INDEX(WBS_CBS!$M$5:$M$16,MATCH($D69,WBS_CBS!$A$5:$A$16,0)),"Yes"))</f>
        <v/>
      </c>
      <c r="V69" s="150">
        <f>IF($D69="","",IFERROR(INDEX(WBS_CBS!$N$5:$N$16,MATCH($D69,WBS_CBS!$A$5:$A$16,0)),"Yes"))</f>
        <v/>
      </c>
      <c r="W69" s="150">
        <f>IF($D69="","",IFERROR(INDEX(WBS_CBS!$K$5:$K$16,MATCH($D69,WBS_CBS!$A$5:$A$16,0)),""))</f>
        <v/>
      </c>
      <c r="X69" s="150">
        <f>IF($D69="","",IFERROR(INDEX(WBS_CBS!$F$5:$F$16,MATCH($D69,WBS_CBS!$A$5:$A$16,0)),""))</f>
        <v/>
      </c>
      <c r="Y69" s="149" t="n"/>
      <c r="Z69" s="149" t="n"/>
      <c r="AA69" s="150">
        <f>IF($D69="","",IFERROR(INDEX(WBS_CBS!$L$5:$L$16,MATCH($D69,WBS_CBS!$A$5:$A$16,0)),""))</f>
        <v/>
      </c>
      <c r="AB69" s="149" t="n"/>
    </row>
    <row r="70">
      <c r="A70" s="149" t="n"/>
      <c r="B70" s="149" t="n"/>
      <c r="C70" s="150">
        <f>IF($D70="","",IFERROR(INDEX(WBS_CBS!$E$5:$E$16,MATCH($D70,WBS_CBS!$A$5:$A$16,0)),""))</f>
        <v/>
      </c>
      <c r="D70" s="149" t="n"/>
      <c r="E70" s="150">
        <f>IF($D70="","",IFERROR(INDEX(WBS_CBS!$C$5:$C$16,MATCH($D70,WBS_CBS!$A$5:$A$16,0)),""))</f>
        <v/>
      </c>
      <c r="F70" s="150">
        <f>IF($D70="","",IFERROR(INDEX(WBS_CBS!$J$5:$J$16,MATCH($D70,WBS_CBS!$A$5:$A$16,0)),""))</f>
        <v/>
      </c>
      <c r="G70" s="149" t="n"/>
      <c r="H70" s="151" t="n"/>
      <c r="I70" s="149" t="n"/>
      <c r="J70" s="152" t="n"/>
      <c r="K70" s="149" t="n"/>
      <c r="L70" s="153">
        <f>IF($K70="","",IFERROR(INDEX(FX_Rates!$B$5:$B$14,MATCH($K70,FX_Rates!$A$5:$A$14,0)),""))</f>
        <v/>
      </c>
      <c r="M70" s="153">
        <f>IF(OR($H70="",$J70=""),"",$H70*$J70)</f>
        <v/>
      </c>
      <c r="N70" s="153">
        <f>IF(OR($M70="",$L70=""),"",$M70*$L70)</f>
        <v/>
      </c>
      <c r="O70" s="149" t="n"/>
      <c r="P70" s="154">
        <f>IF($O70="","",IFERROR(INDEX(Basis_of_Estimate!$C$5:$C$9,MATCH($O70,Basis_of_Estimate!$A$5:$A$9,0)),""))</f>
        <v/>
      </c>
      <c r="Q70" s="154">
        <f>IF($O70="","",IFERROR(INDEX(Basis_of_Estimate!$D$5:$D$9,MATCH($O70,Basis_of_Estimate!$A$5:$A$9,0)),""))</f>
        <v/>
      </c>
      <c r="R70" s="153">
        <f>IF($N70="","",$N70*(1+$P70))</f>
        <v/>
      </c>
      <c r="S70" s="153">
        <f>IF($N70="","",$N70)</f>
        <v/>
      </c>
      <c r="T70" s="153">
        <f>IF($N70="","",$N70*(1+$Q70))</f>
        <v/>
      </c>
      <c r="U70" s="150">
        <f>IF($D70="","",IFERROR(INDEX(WBS_CBS!$M$5:$M$16,MATCH($D70,WBS_CBS!$A$5:$A$16,0)),"Yes"))</f>
        <v/>
      </c>
      <c r="V70" s="150">
        <f>IF($D70="","",IFERROR(INDEX(WBS_CBS!$N$5:$N$16,MATCH($D70,WBS_CBS!$A$5:$A$16,0)),"Yes"))</f>
        <v/>
      </c>
      <c r="W70" s="150">
        <f>IF($D70="","",IFERROR(INDEX(WBS_CBS!$K$5:$K$16,MATCH($D70,WBS_CBS!$A$5:$A$16,0)),""))</f>
        <v/>
      </c>
      <c r="X70" s="150">
        <f>IF($D70="","",IFERROR(INDEX(WBS_CBS!$F$5:$F$16,MATCH($D70,WBS_CBS!$A$5:$A$16,0)),""))</f>
        <v/>
      </c>
      <c r="Y70" s="149" t="n"/>
      <c r="Z70" s="149" t="n"/>
      <c r="AA70" s="150">
        <f>IF($D70="","",IFERROR(INDEX(WBS_CBS!$L$5:$L$16,MATCH($D70,WBS_CBS!$A$5:$A$16,0)),""))</f>
        <v/>
      </c>
      <c r="AB70" s="149" t="n"/>
    </row>
    <row r="71">
      <c r="A71" s="149" t="n"/>
      <c r="B71" s="149" t="n"/>
      <c r="C71" s="150">
        <f>IF($D71="","",IFERROR(INDEX(WBS_CBS!$E$5:$E$16,MATCH($D71,WBS_CBS!$A$5:$A$16,0)),""))</f>
        <v/>
      </c>
      <c r="D71" s="149" t="n"/>
      <c r="E71" s="150">
        <f>IF($D71="","",IFERROR(INDEX(WBS_CBS!$C$5:$C$16,MATCH($D71,WBS_CBS!$A$5:$A$16,0)),""))</f>
        <v/>
      </c>
      <c r="F71" s="150">
        <f>IF($D71="","",IFERROR(INDEX(WBS_CBS!$J$5:$J$16,MATCH($D71,WBS_CBS!$A$5:$A$16,0)),""))</f>
        <v/>
      </c>
      <c r="G71" s="149" t="n"/>
      <c r="H71" s="151" t="n"/>
      <c r="I71" s="149" t="n"/>
      <c r="J71" s="152" t="n"/>
      <c r="K71" s="149" t="n"/>
      <c r="L71" s="153">
        <f>IF($K71="","",IFERROR(INDEX(FX_Rates!$B$5:$B$14,MATCH($K71,FX_Rates!$A$5:$A$14,0)),""))</f>
        <v/>
      </c>
      <c r="M71" s="153">
        <f>IF(OR($H71="",$J71=""),"",$H71*$J71)</f>
        <v/>
      </c>
      <c r="N71" s="153">
        <f>IF(OR($M71="",$L71=""),"",$M71*$L71)</f>
        <v/>
      </c>
      <c r="O71" s="149" t="n"/>
      <c r="P71" s="154">
        <f>IF($O71="","",IFERROR(INDEX(Basis_of_Estimate!$C$5:$C$9,MATCH($O71,Basis_of_Estimate!$A$5:$A$9,0)),""))</f>
        <v/>
      </c>
      <c r="Q71" s="154">
        <f>IF($O71="","",IFERROR(INDEX(Basis_of_Estimate!$D$5:$D$9,MATCH($O71,Basis_of_Estimate!$A$5:$A$9,0)),""))</f>
        <v/>
      </c>
      <c r="R71" s="153">
        <f>IF($N71="","",$N71*(1+$P71))</f>
        <v/>
      </c>
      <c r="S71" s="153">
        <f>IF($N71="","",$N71)</f>
        <v/>
      </c>
      <c r="T71" s="153">
        <f>IF($N71="","",$N71*(1+$Q71))</f>
        <v/>
      </c>
      <c r="U71" s="150">
        <f>IF($D71="","",IFERROR(INDEX(WBS_CBS!$M$5:$M$16,MATCH($D71,WBS_CBS!$A$5:$A$16,0)),"Yes"))</f>
        <v/>
      </c>
      <c r="V71" s="150">
        <f>IF($D71="","",IFERROR(INDEX(WBS_CBS!$N$5:$N$16,MATCH($D71,WBS_CBS!$A$5:$A$16,0)),"Yes"))</f>
        <v/>
      </c>
      <c r="W71" s="150">
        <f>IF($D71="","",IFERROR(INDEX(WBS_CBS!$K$5:$K$16,MATCH($D71,WBS_CBS!$A$5:$A$16,0)),""))</f>
        <v/>
      </c>
      <c r="X71" s="150">
        <f>IF($D71="","",IFERROR(INDEX(WBS_CBS!$F$5:$F$16,MATCH($D71,WBS_CBS!$A$5:$A$16,0)),""))</f>
        <v/>
      </c>
      <c r="Y71" s="149" t="n"/>
      <c r="Z71" s="149" t="n"/>
      <c r="AA71" s="150">
        <f>IF($D71="","",IFERROR(INDEX(WBS_CBS!$L$5:$L$16,MATCH($D71,WBS_CBS!$A$5:$A$16,0)),""))</f>
        <v/>
      </c>
      <c r="AB71" s="149" t="n"/>
    </row>
    <row r="72">
      <c r="A72" s="149" t="n"/>
      <c r="B72" s="149" t="n"/>
      <c r="C72" s="150">
        <f>IF($D72="","",IFERROR(INDEX(WBS_CBS!$E$5:$E$16,MATCH($D72,WBS_CBS!$A$5:$A$16,0)),""))</f>
        <v/>
      </c>
      <c r="D72" s="149" t="n"/>
      <c r="E72" s="150">
        <f>IF($D72="","",IFERROR(INDEX(WBS_CBS!$C$5:$C$16,MATCH($D72,WBS_CBS!$A$5:$A$16,0)),""))</f>
        <v/>
      </c>
      <c r="F72" s="150">
        <f>IF($D72="","",IFERROR(INDEX(WBS_CBS!$J$5:$J$16,MATCH($D72,WBS_CBS!$A$5:$A$16,0)),""))</f>
        <v/>
      </c>
      <c r="G72" s="149" t="n"/>
      <c r="H72" s="151" t="n"/>
      <c r="I72" s="149" t="n"/>
      <c r="J72" s="152" t="n"/>
      <c r="K72" s="149" t="n"/>
      <c r="L72" s="153">
        <f>IF($K72="","",IFERROR(INDEX(FX_Rates!$B$5:$B$14,MATCH($K72,FX_Rates!$A$5:$A$14,0)),""))</f>
        <v/>
      </c>
      <c r="M72" s="153">
        <f>IF(OR($H72="",$J72=""),"",$H72*$J72)</f>
        <v/>
      </c>
      <c r="N72" s="153">
        <f>IF(OR($M72="",$L72=""),"",$M72*$L72)</f>
        <v/>
      </c>
      <c r="O72" s="149" t="n"/>
      <c r="P72" s="154">
        <f>IF($O72="","",IFERROR(INDEX(Basis_of_Estimate!$C$5:$C$9,MATCH($O72,Basis_of_Estimate!$A$5:$A$9,0)),""))</f>
        <v/>
      </c>
      <c r="Q72" s="154">
        <f>IF($O72="","",IFERROR(INDEX(Basis_of_Estimate!$D$5:$D$9,MATCH($O72,Basis_of_Estimate!$A$5:$A$9,0)),""))</f>
        <v/>
      </c>
      <c r="R72" s="153">
        <f>IF($N72="","",$N72*(1+$P72))</f>
        <v/>
      </c>
      <c r="S72" s="153">
        <f>IF($N72="","",$N72)</f>
        <v/>
      </c>
      <c r="T72" s="153">
        <f>IF($N72="","",$N72*(1+$Q72))</f>
        <v/>
      </c>
      <c r="U72" s="150">
        <f>IF($D72="","",IFERROR(INDEX(WBS_CBS!$M$5:$M$16,MATCH($D72,WBS_CBS!$A$5:$A$16,0)),"Yes"))</f>
        <v/>
      </c>
      <c r="V72" s="150">
        <f>IF($D72="","",IFERROR(INDEX(WBS_CBS!$N$5:$N$16,MATCH($D72,WBS_CBS!$A$5:$A$16,0)),"Yes"))</f>
        <v/>
      </c>
      <c r="W72" s="150">
        <f>IF($D72="","",IFERROR(INDEX(WBS_CBS!$K$5:$K$16,MATCH($D72,WBS_CBS!$A$5:$A$16,0)),""))</f>
        <v/>
      </c>
      <c r="X72" s="150">
        <f>IF($D72="","",IFERROR(INDEX(WBS_CBS!$F$5:$F$16,MATCH($D72,WBS_CBS!$A$5:$A$16,0)),""))</f>
        <v/>
      </c>
      <c r="Y72" s="149" t="n"/>
      <c r="Z72" s="149" t="n"/>
      <c r="AA72" s="150">
        <f>IF($D72="","",IFERROR(INDEX(WBS_CBS!$L$5:$L$16,MATCH($D72,WBS_CBS!$A$5:$A$16,0)),""))</f>
        <v/>
      </c>
      <c r="AB72" s="149" t="n"/>
    </row>
    <row r="73">
      <c r="A73" s="149" t="n"/>
      <c r="B73" s="149" t="n"/>
      <c r="C73" s="150">
        <f>IF($D73="","",IFERROR(INDEX(WBS_CBS!$E$5:$E$16,MATCH($D73,WBS_CBS!$A$5:$A$16,0)),""))</f>
        <v/>
      </c>
      <c r="D73" s="149" t="n"/>
      <c r="E73" s="150">
        <f>IF($D73="","",IFERROR(INDEX(WBS_CBS!$C$5:$C$16,MATCH($D73,WBS_CBS!$A$5:$A$16,0)),""))</f>
        <v/>
      </c>
      <c r="F73" s="150">
        <f>IF($D73="","",IFERROR(INDEX(WBS_CBS!$J$5:$J$16,MATCH($D73,WBS_CBS!$A$5:$A$16,0)),""))</f>
        <v/>
      </c>
      <c r="G73" s="149" t="n"/>
      <c r="H73" s="151" t="n"/>
      <c r="I73" s="149" t="n"/>
      <c r="J73" s="152" t="n"/>
      <c r="K73" s="149" t="n"/>
      <c r="L73" s="153">
        <f>IF($K73="","",IFERROR(INDEX(FX_Rates!$B$5:$B$14,MATCH($K73,FX_Rates!$A$5:$A$14,0)),""))</f>
        <v/>
      </c>
      <c r="M73" s="153">
        <f>IF(OR($H73="",$J73=""),"",$H73*$J73)</f>
        <v/>
      </c>
      <c r="N73" s="153">
        <f>IF(OR($M73="",$L73=""),"",$M73*$L73)</f>
        <v/>
      </c>
      <c r="O73" s="149" t="n"/>
      <c r="P73" s="154">
        <f>IF($O73="","",IFERROR(INDEX(Basis_of_Estimate!$C$5:$C$9,MATCH($O73,Basis_of_Estimate!$A$5:$A$9,0)),""))</f>
        <v/>
      </c>
      <c r="Q73" s="154">
        <f>IF($O73="","",IFERROR(INDEX(Basis_of_Estimate!$D$5:$D$9,MATCH($O73,Basis_of_Estimate!$A$5:$A$9,0)),""))</f>
        <v/>
      </c>
      <c r="R73" s="153">
        <f>IF($N73="","",$N73*(1+$P73))</f>
        <v/>
      </c>
      <c r="S73" s="153">
        <f>IF($N73="","",$N73)</f>
        <v/>
      </c>
      <c r="T73" s="153">
        <f>IF($N73="","",$N73*(1+$Q73))</f>
        <v/>
      </c>
      <c r="U73" s="150">
        <f>IF($D73="","",IFERROR(INDEX(WBS_CBS!$M$5:$M$16,MATCH($D73,WBS_CBS!$A$5:$A$16,0)),"Yes"))</f>
        <v/>
      </c>
      <c r="V73" s="150">
        <f>IF($D73="","",IFERROR(INDEX(WBS_CBS!$N$5:$N$16,MATCH($D73,WBS_CBS!$A$5:$A$16,0)),"Yes"))</f>
        <v/>
      </c>
      <c r="W73" s="150">
        <f>IF($D73="","",IFERROR(INDEX(WBS_CBS!$K$5:$K$16,MATCH($D73,WBS_CBS!$A$5:$A$16,0)),""))</f>
        <v/>
      </c>
      <c r="X73" s="150">
        <f>IF($D73="","",IFERROR(INDEX(WBS_CBS!$F$5:$F$16,MATCH($D73,WBS_CBS!$A$5:$A$16,0)),""))</f>
        <v/>
      </c>
      <c r="Y73" s="149" t="n"/>
      <c r="Z73" s="149" t="n"/>
      <c r="AA73" s="150">
        <f>IF($D73="","",IFERROR(INDEX(WBS_CBS!$L$5:$L$16,MATCH($D73,WBS_CBS!$A$5:$A$16,0)),""))</f>
        <v/>
      </c>
      <c r="AB73" s="149" t="n"/>
    </row>
    <row r="74">
      <c r="A74" s="149" t="n"/>
      <c r="B74" s="149" t="n"/>
      <c r="C74" s="150">
        <f>IF($D74="","",IFERROR(INDEX(WBS_CBS!$E$5:$E$16,MATCH($D74,WBS_CBS!$A$5:$A$16,0)),""))</f>
        <v/>
      </c>
      <c r="D74" s="149" t="n"/>
      <c r="E74" s="150">
        <f>IF($D74="","",IFERROR(INDEX(WBS_CBS!$C$5:$C$16,MATCH($D74,WBS_CBS!$A$5:$A$16,0)),""))</f>
        <v/>
      </c>
      <c r="F74" s="150">
        <f>IF($D74="","",IFERROR(INDEX(WBS_CBS!$J$5:$J$16,MATCH($D74,WBS_CBS!$A$5:$A$16,0)),""))</f>
        <v/>
      </c>
      <c r="G74" s="149" t="n"/>
      <c r="H74" s="151" t="n"/>
      <c r="I74" s="149" t="n"/>
      <c r="J74" s="152" t="n"/>
      <c r="K74" s="149" t="n"/>
      <c r="L74" s="153">
        <f>IF($K74="","",IFERROR(INDEX(FX_Rates!$B$5:$B$14,MATCH($K74,FX_Rates!$A$5:$A$14,0)),""))</f>
        <v/>
      </c>
      <c r="M74" s="153">
        <f>IF(OR($H74="",$J74=""),"",$H74*$J74)</f>
        <v/>
      </c>
      <c r="N74" s="153">
        <f>IF(OR($M74="",$L74=""),"",$M74*$L74)</f>
        <v/>
      </c>
      <c r="O74" s="149" t="n"/>
      <c r="P74" s="154">
        <f>IF($O74="","",IFERROR(INDEX(Basis_of_Estimate!$C$5:$C$9,MATCH($O74,Basis_of_Estimate!$A$5:$A$9,0)),""))</f>
        <v/>
      </c>
      <c r="Q74" s="154">
        <f>IF($O74="","",IFERROR(INDEX(Basis_of_Estimate!$D$5:$D$9,MATCH($O74,Basis_of_Estimate!$A$5:$A$9,0)),""))</f>
        <v/>
      </c>
      <c r="R74" s="153">
        <f>IF($N74="","",$N74*(1+$P74))</f>
        <v/>
      </c>
      <c r="S74" s="153">
        <f>IF($N74="","",$N74)</f>
        <v/>
      </c>
      <c r="T74" s="153">
        <f>IF($N74="","",$N74*(1+$Q74))</f>
        <v/>
      </c>
      <c r="U74" s="150">
        <f>IF($D74="","",IFERROR(INDEX(WBS_CBS!$M$5:$M$16,MATCH($D74,WBS_CBS!$A$5:$A$16,0)),"Yes"))</f>
        <v/>
      </c>
      <c r="V74" s="150">
        <f>IF($D74="","",IFERROR(INDEX(WBS_CBS!$N$5:$N$16,MATCH($D74,WBS_CBS!$A$5:$A$16,0)),"Yes"))</f>
        <v/>
      </c>
      <c r="W74" s="150">
        <f>IF($D74="","",IFERROR(INDEX(WBS_CBS!$K$5:$K$16,MATCH($D74,WBS_CBS!$A$5:$A$16,0)),""))</f>
        <v/>
      </c>
      <c r="X74" s="150">
        <f>IF($D74="","",IFERROR(INDEX(WBS_CBS!$F$5:$F$16,MATCH($D74,WBS_CBS!$A$5:$A$16,0)),""))</f>
        <v/>
      </c>
      <c r="Y74" s="149" t="n"/>
      <c r="Z74" s="149" t="n"/>
      <c r="AA74" s="150">
        <f>IF($D74="","",IFERROR(INDEX(WBS_CBS!$L$5:$L$16,MATCH($D74,WBS_CBS!$A$5:$A$16,0)),""))</f>
        <v/>
      </c>
      <c r="AB74" s="149" t="n"/>
    </row>
    <row r="75">
      <c r="A75" s="149" t="n"/>
      <c r="B75" s="149" t="n"/>
      <c r="C75" s="150">
        <f>IF($D75="","",IFERROR(INDEX(WBS_CBS!$E$5:$E$16,MATCH($D75,WBS_CBS!$A$5:$A$16,0)),""))</f>
        <v/>
      </c>
      <c r="D75" s="149" t="n"/>
      <c r="E75" s="150">
        <f>IF($D75="","",IFERROR(INDEX(WBS_CBS!$C$5:$C$16,MATCH($D75,WBS_CBS!$A$5:$A$16,0)),""))</f>
        <v/>
      </c>
      <c r="F75" s="150">
        <f>IF($D75="","",IFERROR(INDEX(WBS_CBS!$J$5:$J$16,MATCH($D75,WBS_CBS!$A$5:$A$16,0)),""))</f>
        <v/>
      </c>
      <c r="G75" s="149" t="n"/>
      <c r="H75" s="151" t="n"/>
      <c r="I75" s="149" t="n"/>
      <c r="J75" s="152" t="n"/>
      <c r="K75" s="149" t="n"/>
      <c r="L75" s="153">
        <f>IF($K75="","",IFERROR(INDEX(FX_Rates!$B$5:$B$14,MATCH($K75,FX_Rates!$A$5:$A$14,0)),""))</f>
        <v/>
      </c>
      <c r="M75" s="153">
        <f>IF(OR($H75="",$J75=""),"",$H75*$J75)</f>
        <v/>
      </c>
      <c r="N75" s="153">
        <f>IF(OR($M75="",$L75=""),"",$M75*$L75)</f>
        <v/>
      </c>
      <c r="O75" s="149" t="n"/>
      <c r="P75" s="154">
        <f>IF($O75="","",IFERROR(INDEX(Basis_of_Estimate!$C$5:$C$9,MATCH($O75,Basis_of_Estimate!$A$5:$A$9,0)),""))</f>
        <v/>
      </c>
      <c r="Q75" s="154">
        <f>IF($O75="","",IFERROR(INDEX(Basis_of_Estimate!$D$5:$D$9,MATCH($O75,Basis_of_Estimate!$A$5:$A$9,0)),""))</f>
        <v/>
      </c>
      <c r="R75" s="153">
        <f>IF($N75="","",$N75*(1+$P75))</f>
        <v/>
      </c>
      <c r="S75" s="153">
        <f>IF($N75="","",$N75)</f>
        <v/>
      </c>
      <c r="T75" s="153">
        <f>IF($N75="","",$N75*(1+$Q75))</f>
        <v/>
      </c>
      <c r="U75" s="150">
        <f>IF($D75="","",IFERROR(INDEX(WBS_CBS!$M$5:$M$16,MATCH($D75,WBS_CBS!$A$5:$A$16,0)),"Yes"))</f>
        <v/>
      </c>
      <c r="V75" s="150">
        <f>IF($D75="","",IFERROR(INDEX(WBS_CBS!$N$5:$N$16,MATCH($D75,WBS_CBS!$A$5:$A$16,0)),"Yes"))</f>
        <v/>
      </c>
      <c r="W75" s="150">
        <f>IF($D75="","",IFERROR(INDEX(WBS_CBS!$K$5:$K$16,MATCH($D75,WBS_CBS!$A$5:$A$16,0)),""))</f>
        <v/>
      </c>
      <c r="X75" s="150">
        <f>IF($D75="","",IFERROR(INDEX(WBS_CBS!$F$5:$F$16,MATCH($D75,WBS_CBS!$A$5:$A$16,0)),""))</f>
        <v/>
      </c>
      <c r="Y75" s="149" t="n"/>
      <c r="Z75" s="149" t="n"/>
      <c r="AA75" s="150">
        <f>IF($D75="","",IFERROR(INDEX(WBS_CBS!$L$5:$L$16,MATCH($D75,WBS_CBS!$A$5:$A$16,0)),""))</f>
        <v/>
      </c>
      <c r="AB75" s="149" t="n"/>
    </row>
    <row r="76">
      <c r="A76" s="149" t="n"/>
      <c r="B76" s="149" t="n"/>
      <c r="C76" s="150">
        <f>IF($D76="","",IFERROR(INDEX(WBS_CBS!$E$5:$E$16,MATCH($D76,WBS_CBS!$A$5:$A$16,0)),""))</f>
        <v/>
      </c>
      <c r="D76" s="149" t="n"/>
      <c r="E76" s="150">
        <f>IF($D76="","",IFERROR(INDEX(WBS_CBS!$C$5:$C$16,MATCH($D76,WBS_CBS!$A$5:$A$16,0)),""))</f>
        <v/>
      </c>
      <c r="F76" s="150">
        <f>IF($D76="","",IFERROR(INDEX(WBS_CBS!$J$5:$J$16,MATCH($D76,WBS_CBS!$A$5:$A$16,0)),""))</f>
        <v/>
      </c>
      <c r="G76" s="149" t="n"/>
      <c r="H76" s="151" t="n"/>
      <c r="I76" s="149" t="n"/>
      <c r="J76" s="152" t="n"/>
      <c r="K76" s="149" t="n"/>
      <c r="L76" s="153">
        <f>IF($K76="","",IFERROR(INDEX(FX_Rates!$B$5:$B$14,MATCH($K76,FX_Rates!$A$5:$A$14,0)),""))</f>
        <v/>
      </c>
      <c r="M76" s="153">
        <f>IF(OR($H76="",$J76=""),"",$H76*$J76)</f>
        <v/>
      </c>
      <c r="N76" s="153">
        <f>IF(OR($M76="",$L76=""),"",$M76*$L76)</f>
        <v/>
      </c>
      <c r="O76" s="149" t="n"/>
      <c r="P76" s="154">
        <f>IF($O76="","",IFERROR(INDEX(Basis_of_Estimate!$C$5:$C$9,MATCH($O76,Basis_of_Estimate!$A$5:$A$9,0)),""))</f>
        <v/>
      </c>
      <c r="Q76" s="154">
        <f>IF($O76="","",IFERROR(INDEX(Basis_of_Estimate!$D$5:$D$9,MATCH($O76,Basis_of_Estimate!$A$5:$A$9,0)),""))</f>
        <v/>
      </c>
      <c r="R76" s="153">
        <f>IF($N76="","",$N76*(1+$P76))</f>
        <v/>
      </c>
      <c r="S76" s="153">
        <f>IF($N76="","",$N76)</f>
        <v/>
      </c>
      <c r="T76" s="153">
        <f>IF($N76="","",$N76*(1+$Q76))</f>
        <v/>
      </c>
      <c r="U76" s="150">
        <f>IF($D76="","",IFERROR(INDEX(WBS_CBS!$M$5:$M$16,MATCH($D76,WBS_CBS!$A$5:$A$16,0)),"Yes"))</f>
        <v/>
      </c>
      <c r="V76" s="150">
        <f>IF($D76="","",IFERROR(INDEX(WBS_CBS!$N$5:$N$16,MATCH($D76,WBS_CBS!$A$5:$A$16,0)),"Yes"))</f>
        <v/>
      </c>
      <c r="W76" s="150">
        <f>IF($D76="","",IFERROR(INDEX(WBS_CBS!$K$5:$K$16,MATCH($D76,WBS_CBS!$A$5:$A$16,0)),""))</f>
        <v/>
      </c>
      <c r="X76" s="150">
        <f>IF($D76="","",IFERROR(INDEX(WBS_CBS!$F$5:$F$16,MATCH($D76,WBS_CBS!$A$5:$A$16,0)),""))</f>
        <v/>
      </c>
      <c r="Y76" s="149" t="n"/>
      <c r="Z76" s="149" t="n"/>
      <c r="AA76" s="150">
        <f>IF($D76="","",IFERROR(INDEX(WBS_CBS!$L$5:$L$16,MATCH($D76,WBS_CBS!$A$5:$A$16,0)),""))</f>
        <v/>
      </c>
      <c r="AB76" s="149" t="n"/>
    </row>
    <row r="77">
      <c r="A77" s="149" t="n"/>
      <c r="B77" s="149" t="n"/>
      <c r="C77" s="150">
        <f>IF($D77="","",IFERROR(INDEX(WBS_CBS!$E$5:$E$16,MATCH($D77,WBS_CBS!$A$5:$A$16,0)),""))</f>
        <v/>
      </c>
      <c r="D77" s="149" t="n"/>
      <c r="E77" s="150">
        <f>IF($D77="","",IFERROR(INDEX(WBS_CBS!$C$5:$C$16,MATCH($D77,WBS_CBS!$A$5:$A$16,0)),""))</f>
        <v/>
      </c>
      <c r="F77" s="150">
        <f>IF($D77="","",IFERROR(INDEX(WBS_CBS!$J$5:$J$16,MATCH($D77,WBS_CBS!$A$5:$A$16,0)),""))</f>
        <v/>
      </c>
      <c r="G77" s="149" t="n"/>
      <c r="H77" s="151" t="n"/>
      <c r="I77" s="149" t="n"/>
      <c r="J77" s="152" t="n"/>
      <c r="K77" s="149" t="n"/>
      <c r="L77" s="153">
        <f>IF($K77="","",IFERROR(INDEX(FX_Rates!$B$5:$B$14,MATCH($K77,FX_Rates!$A$5:$A$14,0)),""))</f>
        <v/>
      </c>
      <c r="M77" s="153">
        <f>IF(OR($H77="",$J77=""),"",$H77*$J77)</f>
        <v/>
      </c>
      <c r="N77" s="153">
        <f>IF(OR($M77="",$L77=""),"",$M77*$L77)</f>
        <v/>
      </c>
      <c r="O77" s="149" t="n"/>
      <c r="P77" s="154">
        <f>IF($O77="","",IFERROR(INDEX(Basis_of_Estimate!$C$5:$C$9,MATCH($O77,Basis_of_Estimate!$A$5:$A$9,0)),""))</f>
        <v/>
      </c>
      <c r="Q77" s="154">
        <f>IF($O77="","",IFERROR(INDEX(Basis_of_Estimate!$D$5:$D$9,MATCH($O77,Basis_of_Estimate!$A$5:$A$9,0)),""))</f>
        <v/>
      </c>
      <c r="R77" s="153">
        <f>IF($N77="","",$N77*(1+$P77))</f>
        <v/>
      </c>
      <c r="S77" s="153">
        <f>IF($N77="","",$N77)</f>
        <v/>
      </c>
      <c r="T77" s="153">
        <f>IF($N77="","",$N77*(1+$Q77))</f>
        <v/>
      </c>
      <c r="U77" s="150">
        <f>IF($D77="","",IFERROR(INDEX(WBS_CBS!$M$5:$M$16,MATCH($D77,WBS_CBS!$A$5:$A$16,0)),"Yes"))</f>
        <v/>
      </c>
      <c r="V77" s="150">
        <f>IF($D77="","",IFERROR(INDEX(WBS_CBS!$N$5:$N$16,MATCH($D77,WBS_CBS!$A$5:$A$16,0)),"Yes"))</f>
        <v/>
      </c>
      <c r="W77" s="150">
        <f>IF($D77="","",IFERROR(INDEX(WBS_CBS!$K$5:$K$16,MATCH($D77,WBS_CBS!$A$5:$A$16,0)),""))</f>
        <v/>
      </c>
      <c r="X77" s="150">
        <f>IF($D77="","",IFERROR(INDEX(WBS_CBS!$F$5:$F$16,MATCH($D77,WBS_CBS!$A$5:$A$16,0)),""))</f>
        <v/>
      </c>
      <c r="Y77" s="149" t="n"/>
      <c r="Z77" s="149" t="n"/>
      <c r="AA77" s="150">
        <f>IF($D77="","",IFERROR(INDEX(WBS_CBS!$L$5:$L$16,MATCH($D77,WBS_CBS!$A$5:$A$16,0)),""))</f>
        <v/>
      </c>
      <c r="AB77" s="149" t="n"/>
    </row>
    <row r="78">
      <c r="A78" s="149" t="n"/>
      <c r="B78" s="149" t="n"/>
      <c r="C78" s="150">
        <f>IF($D78="","",IFERROR(INDEX(WBS_CBS!$E$5:$E$16,MATCH($D78,WBS_CBS!$A$5:$A$16,0)),""))</f>
        <v/>
      </c>
      <c r="D78" s="149" t="n"/>
      <c r="E78" s="150">
        <f>IF($D78="","",IFERROR(INDEX(WBS_CBS!$C$5:$C$16,MATCH($D78,WBS_CBS!$A$5:$A$16,0)),""))</f>
        <v/>
      </c>
      <c r="F78" s="150">
        <f>IF($D78="","",IFERROR(INDEX(WBS_CBS!$J$5:$J$16,MATCH($D78,WBS_CBS!$A$5:$A$16,0)),""))</f>
        <v/>
      </c>
      <c r="G78" s="149" t="n"/>
      <c r="H78" s="151" t="n"/>
      <c r="I78" s="149" t="n"/>
      <c r="J78" s="152" t="n"/>
      <c r="K78" s="149" t="n"/>
      <c r="L78" s="153">
        <f>IF($K78="","",IFERROR(INDEX(FX_Rates!$B$5:$B$14,MATCH($K78,FX_Rates!$A$5:$A$14,0)),""))</f>
        <v/>
      </c>
      <c r="M78" s="153">
        <f>IF(OR($H78="",$J78=""),"",$H78*$J78)</f>
        <v/>
      </c>
      <c r="N78" s="153">
        <f>IF(OR($M78="",$L78=""),"",$M78*$L78)</f>
        <v/>
      </c>
      <c r="O78" s="149" t="n"/>
      <c r="P78" s="154">
        <f>IF($O78="","",IFERROR(INDEX(Basis_of_Estimate!$C$5:$C$9,MATCH($O78,Basis_of_Estimate!$A$5:$A$9,0)),""))</f>
        <v/>
      </c>
      <c r="Q78" s="154">
        <f>IF($O78="","",IFERROR(INDEX(Basis_of_Estimate!$D$5:$D$9,MATCH($O78,Basis_of_Estimate!$A$5:$A$9,0)),""))</f>
        <v/>
      </c>
      <c r="R78" s="153">
        <f>IF($N78="","",$N78*(1+$P78))</f>
        <v/>
      </c>
      <c r="S78" s="153">
        <f>IF($N78="","",$N78)</f>
        <v/>
      </c>
      <c r="T78" s="153">
        <f>IF($N78="","",$N78*(1+$Q78))</f>
        <v/>
      </c>
      <c r="U78" s="150">
        <f>IF($D78="","",IFERROR(INDEX(WBS_CBS!$M$5:$M$16,MATCH($D78,WBS_CBS!$A$5:$A$16,0)),"Yes"))</f>
        <v/>
      </c>
      <c r="V78" s="150">
        <f>IF($D78="","",IFERROR(INDEX(WBS_CBS!$N$5:$N$16,MATCH($D78,WBS_CBS!$A$5:$A$16,0)),"Yes"))</f>
        <v/>
      </c>
      <c r="W78" s="150">
        <f>IF($D78="","",IFERROR(INDEX(WBS_CBS!$K$5:$K$16,MATCH($D78,WBS_CBS!$A$5:$A$16,0)),""))</f>
        <v/>
      </c>
      <c r="X78" s="150">
        <f>IF($D78="","",IFERROR(INDEX(WBS_CBS!$F$5:$F$16,MATCH($D78,WBS_CBS!$A$5:$A$16,0)),""))</f>
        <v/>
      </c>
      <c r="Y78" s="149" t="n"/>
      <c r="Z78" s="149" t="n"/>
      <c r="AA78" s="150">
        <f>IF($D78="","",IFERROR(INDEX(WBS_CBS!$L$5:$L$16,MATCH($D78,WBS_CBS!$A$5:$A$16,0)),""))</f>
        <v/>
      </c>
      <c r="AB78" s="149" t="n"/>
    </row>
    <row r="79">
      <c r="A79" s="149" t="n"/>
      <c r="B79" s="149" t="n"/>
      <c r="C79" s="150">
        <f>IF($D79="","",IFERROR(INDEX(WBS_CBS!$E$5:$E$16,MATCH($D79,WBS_CBS!$A$5:$A$16,0)),""))</f>
        <v/>
      </c>
      <c r="D79" s="149" t="n"/>
      <c r="E79" s="150">
        <f>IF($D79="","",IFERROR(INDEX(WBS_CBS!$C$5:$C$16,MATCH($D79,WBS_CBS!$A$5:$A$16,0)),""))</f>
        <v/>
      </c>
      <c r="F79" s="150">
        <f>IF($D79="","",IFERROR(INDEX(WBS_CBS!$J$5:$J$16,MATCH($D79,WBS_CBS!$A$5:$A$16,0)),""))</f>
        <v/>
      </c>
      <c r="G79" s="149" t="n"/>
      <c r="H79" s="151" t="n"/>
      <c r="I79" s="149" t="n"/>
      <c r="J79" s="152" t="n"/>
      <c r="K79" s="149" t="n"/>
      <c r="L79" s="153">
        <f>IF($K79="","",IFERROR(INDEX(FX_Rates!$B$5:$B$14,MATCH($K79,FX_Rates!$A$5:$A$14,0)),""))</f>
        <v/>
      </c>
      <c r="M79" s="153">
        <f>IF(OR($H79="",$J79=""),"",$H79*$J79)</f>
        <v/>
      </c>
      <c r="N79" s="153">
        <f>IF(OR($M79="",$L79=""),"",$M79*$L79)</f>
        <v/>
      </c>
      <c r="O79" s="149" t="n"/>
      <c r="P79" s="154">
        <f>IF($O79="","",IFERROR(INDEX(Basis_of_Estimate!$C$5:$C$9,MATCH($O79,Basis_of_Estimate!$A$5:$A$9,0)),""))</f>
        <v/>
      </c>
      <c r="Q79" s="154">
        <f>IF($O79="","",IFERROR(INDEX(Basis_of_Estimate!$D$5:$D$9,MATCH($O79,Basis_of_Estimate!$A$5:$A$9,0)),""))</f>
        <v/>
      </c>
      <c r="R79" s="153">
        <f>IF($N79="","",$N79*(1+$P79))</f>
        <v/>
      </c>
      <c r="S79" s="153">
        <f>IF($N79="","",$N79)</f>
        <v/>
      </c>
      <c r="T79" s="153">
        <f>IF($N79="","",$N79*(1+$Q79))</f>
        <v/>
      </c>
      <c r="U79" s="150">
        <f>IF($D79="","",IFERROR(INDEX(WBS_CBS!$M$5:$M$16,MATCH($D79,WBS_CBS!$A$5:$A$16,0)),"Yes"))</f>
        <v/>
      </c>
      <c r="V79" s="150">
        <f>IF($D79="","",IFERROR(INDEX(WBS_CBS!$N$5:$N$16,MATCH($D79,WBS_CBS!$A$5:$A$16,0)),"Yes"))</f>
        <v/>
      </c>
      <c r="W79" s="150">
        <f>IF($D79="","",IFERROR(INDEX(WBS_CBS!$K$5:$K$16,MATCH($D79,WBS_CBS!$A$5:$A$16,0)),""))</f>
        <v/>
      </c>
      <c r="X79" s="150">
        <f>IF($D79="","",IFERROR(INDEX(WBS_CBS!$F$5:$F$16,MATCH($D79,WBS_CBS!$A$5:$A$16,0)),""))</f>
        <v/>
      </c>
      <c r="Y79" s="149" t="n"/>
      <c r="Z79" s="149" t="n"/>
      <c r="AA79" s="150">
        <f>IF($D79="","",IFERROR(INDEX(WBS_CBS!$L$5:$L$16,MATCH($D79,WBS_CBS!$A$5:$A$16,0)),""))</f>
        <v/>
      </c>
      <c r="AB79" s="149" t="n"/>
    </row>
    <row r="80">
      <c r="A80" s="149" t="n"/>
      <c r="B80" s="149" t="n"/>
      <c r="C80" s="150">
        <f>IF($D80="","",IFERROR(INDEX(WBS_CBS!$E$5:$E$16,MATCH($D80,WBS_CBS!$A$5:$A$16,0)),""))</f>
        <v/>
      </c>
      <c r="D80" s="149" t="n"/>
      <c r="E80" s="150">
        <f>IF($D80="","",IFERROR(INDEX(WBS_CBS!$C$5:$C$16,MATCH($D80,WBS_CBS!$A$5:$A$16,0)),""))</f>
        <v/>
      </c>
      <c r="F80" s="150">
        <f>IF($D80="","",IFERROR(INDEX(WBS_CBS!$J$5:$J$16,MATCH($D80,WBS_CBS!$A$5:$A$16,0)),""))</f>
        <v/>
      </c>
      <c r="G80" s="149" t="n"/>
      <c r="H80" s="151" t="n"/>
      <c r="I80" s="149" t="n"/>
      <c r="J80" s="152" t="n"/>
      <c r="K80" s="149" t="n"/>
      <c r="L80" s="153">
        <f>IF($K80="","",IFERROR(INDEX(FX_Rates!$B$5:$B$14,MATCH($K80,FX_Rates!$A$5:$A$14,0)),""))</f>
        <v/>
      </c>
      <c r="M80" s="153">
        <f>IF(OR($H80="",$J80=""),"",$H80*$J80)</f>
        <v/>
      </c>
      <c r="N80" s="153">
        <f>IF(OR($M80="",$L80=""),"",$M80*$L80)</f>
        <v/>
      </c>
      <c r="O80" s="149" t="n"/>
      <c r="P80" s="154">
        <f>IF($O80="","",IFERROR(INDEX(Basis_of_Estimate!$C$5:$C$9,MATCH($O80,Basis_of_Estimate!$A$5:$A$9,0)),""))</f>
        <v/>
      </c>
      <c r="Q80" s="154">
        <f>IF($O80="","",IFERROR(INDEX(Basis_of_Estimate!$D$5:$D$9,MATCH($O80,Basis_of_Estimate!$A$5:$A$9,0)),""))</f>
        <v/>
      </c>
      <c r="R80" s="153">
        <f>IF($N80="","",$N80*(1+$P80))</f>
        <v/>
      </c>
      <c r="S80" s="153">
        <f>IF($N80="","",$N80)</f>
        <v/>
      </c>
      <c r="T80" s="153">
        <f>IF($N80="","",$N80*(1+$Q80))</f>
        <v/>
      </c>
      <c r="U80" s="150">
        <f>IF($D80="","",IFERROR(INDEX(WBS_CBS!$M$5:$M$16,MATCH($D80,WBS_CBS!$A$5:$A$16,0)),"Yes"))</f>
        <v/>
      </c>
      <c r="V80" s="150">
        <f>IF($D80="","",IFERROR(INDEX(WBS_CBS!$N$5:$N$16,MATCH($D80,WBS_CBS!$A$5:$A$16,0)),"Yes"))</f>
        <v/>
      </c>
      <c r="W80" s="150">
        <f>IF($D80="","",IFERROR(INDEX(WBS_CBS!$K$5:$K$16,MATCH($D80,WBS_CBS!$A$5:$A$16,0)),""))</f>
        <v/>
      </c>
      <c r="X80" s="150">
        <f>IF($D80="","",IFERROR(INDEX(WBS_CBS!$F$5:$F$16,MATCH($D80,WBS_CBS!$A$5:$A$16,0)),""))</f>
        <v/>
      </c>
      <c r="Y80" s="149" t="n"/>
      <c r="Z80" s="149" t="n"/>
      <c r="AA80" s="150">
        <f>IF($D80="","",IFERROR(INDEX(WBS_CBS!$L$5:$L$16,MATCH($D80,WBS_CBS!$A$5:$A$16,0)),""))</f>
        <v/>
      </c>
      <c r="AB80" s="149" t="n"/>
    </row>
    <row r="81">
      <c r="A81" s="149" t="n"/>
      <c r="B81" s="149" t="n"/>
      <c r="C81" s="150">
        <f>IF($D81="","",IFERROR(INDEX(WBS_CBS!$E$5:$E$16,MATCH($D81,WBS_CBS!$A$5:$A$16,0)),""))</f>
        <v/>
      </c>
      <c r="D81" s="149" t="n"/>
      <c r="E81" s="150">
        <f>IF($D81="","",IFERROR(INDEX(WBS_CBS!$C$5:$C$16,MATCH($D81,WBS_CBS!$A$5:$A$16,0)),""))</f>
        <v/>
      </c>
      <c r="F81" s="150">
        <f>IF($D81="","",IFERROR(INDEX(WBS_CBS!$J$5:$J$16,MATCH($D81,WBS_CBS!$A$5:$A$16,0)),""))</f>
        <v/>
      </c>
      <c r="G81" s="149" t="n"/>
      <c r="H81" s="151" t="n"/>
      <c r="I81" s="149" t="n"/>
      <c r="J81" s="152" t="n"/>
      <c r="K81" s="149" t="n"/>
      <c r="L81" s="153">
        <f>IF($K81="","",IFERROR(INDEX(FX_Rates!$B$5:$B$14,MATCH($K81,FX_Rates!$A$5:$A$14,0)),""))</f>
        <v/>
      </c>
      <c r="M81" s="153">
        <f>IF(OR($H81="",$J81=""),"",$H81*$J81)</f>
        <v/>
      </c>
      <c r="N81" s="153">
        <f>IF(OR($M81="",$L81=""),"",$M81*$L81)</f>
        <v/>
      </c>
      <c r="O81" s="149" t="n"/>
      <c r="P81" s="154">
        <f>IF($O81="","",IFERROR(INDEX(Basis_of_Estimate!$C$5:$C$9,MATCH($O81,Basis_of_Estimate!$A$5:$A$9,0)),""))</f>
        <v/>
      </c>
      <c r="Q81" s="154">
        <f>IF($O81="","",IFERROR(INDEX(Basis_of_Estimate!$D$5:$D$9,MATCH($O81,Basis_of_Estimate!$A$5:$A$9,0)),""))</f>
        <v/>
      </c>
      <c r="R81" s="153">
        <f>IF($N81="","",$N81*(1+$P81))</f>
        <v/>
      </c>
      <c r="S81" s="153">
        <f>IF($N81="","",$N81)</f>
        <v/>
      </c>
      <c r="T81" s="153">
        <f>IF($N81="","",$N81*(1+$Q81))</f>
        <v/>
      </c>
      <c r="U81" s="150">
        <f>IF($D81="","",IFERROR(INDEX(WBS_CBS!$M$5:$M$16,MATCH($D81,WBS_CBS!$A$5:$A$16,0)),"Yes"))</f>
        <v/>
      </c>
      <c r="V81" s="150">
        <f>IF($D81="","",IFERROR(INDEX(WBS_CBS!$N$5:$N$16,MATCH($D81,WBS_CBS!$A$5:$A$16,0)),"Yes"))</f>
        <v/>
      </c>
      <c r="W81" s="150">
        <f>IF($D81="","",IFERROR(INDEX(WBS_CBS!$K$5:$K$16,MATCH($D81,WBS_CBS!$A$5:$A$16,0)),""))</f>
        <v/>
      </c>
      <c r="X81" s="150">
        <f>IF($D81="","",IFERROR(INDEX(WBS_CBS!$F$5:$F$16,MATCH($D81,WBS_CBS!$A$5:$A$16,0)),""))</f>
        <v/>
      </c>
      <c r="Y81" s="149" t="n"/>
      <c r="Z81" s="149" t="n"/>
      <c r="AA81" s="150">
        <f>IF($D81="","",IFERROR(INDEX(WBS_CBS!$L$5:$L$16,MATCH($D81,WBS_CBS!$A$5:$A$16,0)),""))</f>
        <v/>
      </c>
      <c r="AB81" s="149" t="n"/>
    </row>
    <row r="82">
      <c r="A82" s="149" t="n"/>
      <c r="B82" s="149" t="n"/>
      <c r="C82" s="150">
        <f>IF($D82="","",IFERROR(INDEX(WBS_CBS!$E$5:$E$16,MATCH($D82,WBS_CBS!$A$5:$A$16,0)),""))</f>
        <v/>
      </c>
      <c r="D82" s="149" t="n"/>
      <c r="E82" s="150">
        <f>IF($D82="","",IFERROR(INDEX(WBS_CBS!$C$5:$C$16,MATCH($D82,WBS_CBS!$A$5:$A$16,0)),""))</f>
        <v/>
      </c>
      <c r="F82" s="150">
        <f>IF($D82="","",IFERROR(INDEX(WBS_CBS!$J$5:$J$16,MATCH($D82,WBS_CBS!$A$5:$A$16,0)),""))</f>
        <v/>
      </c>
      <c r="G82" s="149" t="n"/>
      <c r="H82" s="151" t="n"/>
      <c r="I82" s="149" t="n"/>
      <c r="J82" s="152" t="n"/>
      <c r="K82" s="149" t="n"/>
      <c r="L82" s="153">
        <f>IF($K82="","",IFERROR(INDEX(FX_Rates!$B$5:$B$14,MATCH($K82,FX_Rates!$A$5:$A$14,0)),""))</f>
        <v/>
      </c>
      <c r="M82" s="153">
        <f>IF(OR($H82="",$J82=""),"",$H82*$J82)</f>
        <v/>
      </c>
      <c r="N82" s="153">
        <f>IF(OR($M82="",$L82=""),"",$M82*$L82)</f>
        <v/>
      </c>
      <c r="O82" s="149" t="n"/>
      <c r="P82" s="154">
        <f>IF($O82="","",IFERROR(INDEX(Basis_of_Estimate!$C$5:$C$9,MATCH($O82,Basis_of_Estimate!$A$5:$A$9,0)),""))</f>
        <v/>
      </c>
      <c r="Q82" s="154">
        <f>IF($O82="","",IFERROR(INDEX(Basis_of_Estimate!$D$5:$D$9,MATCH($O82,Basis_of_Estimate!$A$5:$A$9,0)),""))</f>
        <v/>
      </c>
      <c r="R82" s="153">
        <f>IF($N82="","",$N82*(1+$P82))</f>
        <v/>
      </c>
      <c r="S82" s="153">
        <f>IF($N82="","",$N82)</f>
        <v/>
      </c>
      <c r="T82" s="153">
        <f>IF($N82="","",$N82*(1+$Q82))</f>
        <v/>
      </c>
      <c r="U82" s="150">
        <f>IF($D82="","",IFERROR(INDEX(WBS_CBS!$M$5:$M$16,MATCH($D82,WBS_CBS!$A$5:$A$16,0)),"Yes"))</f>
        <v/>
      </c>
      <c r="V82" s="150">
        <f>IF($D82="","",IFERROR(INDEX(WBS_CBS!$N$5:$N$16,MATCH($D82,WBS_CBS!$A$5:$A$16,0)),"Yes"))</f>
        <v/>
      </c>
      <c r="W82" s="150">
        <f>IF($D82="","",IFERROR(INDEX(WBS_CBS!$K$5:$K$16,MATCH($D82,WBS_CBS!$A$5:$A$16,0)),""))</f>
        <v/>
      </c>
      <c r="X82" s="150">
        <f>IF($D82="","",IFERROR(INDEX(WBS_CBS!$F$5:$F$16,MATCH($D82,WBS_CBS!$A$5:$A$16,0)),""))</f>
        <v/>
      </c>
      <c r="Y82" s="149" t="n"/>
      <c r="Z82" s="149" t="n"/>
      <c r="AA82" s="150">
        <f>IF($D82="","",IFERROR(INDEX(WBS_CBS!$L$5:$L$16,MATCH($D82,WBS_CBS!$A$5:$A$16,0)),""))</f>
        <v/>
      </c>
      <c r="AB82" s="149" t="n"/>
    </row>
    <row r="83">
      <c r="A83" s="149" t="n"/>
      <c r="B83" s="149" t="n"/>
      <c r="C83" s="150">
        <f>IF($D83="","",IFERROR(INDEX(WBS_CBS!$E$5:$E$16,MATCH($D83,WBS_CBS!$A$5:$A$16,0)),""))</f>
        <v/>
      </c>
      <c r="D83" s="149" t="n"/>
      <c r="E83" s="150">
        <f>IF($D83="","",IFERROR(INDEX(WBS_CBS!$C$5:$C$16,MATCH($D83,WBS_CBS!$A$5:$A$16,0)),""))</f>
        <v/>
      </c>
      <c r="F83" s="150">
        <f>IF($D83="","",IFERROR(INDEX(WBS_CBS!$J$5:$J$16,MATCH($D83,WBS_CBS!$A$5:$A$16,0)),""))</f>
        <v/>
      </c>
      <c r="G83" s="149" t="n"/>
      <c r="H83" s="151" t="n"/>
      <c r="I83" s="149" t="n"/>
      <c r="J83" s="152" t="n"/>
      <c r="K83" s="149" t="n"/>
      <c r="L83" s="153">
        <f>IF($K83="","",IFERROR(INDEX(FX_Rates!$B$5:$B$14,MATCH($K83,FX_Rates!$A$5:$A$14,0)),""))</f>
        <v/>
      </c>
      <c r="M83" s="153">
        <f>IF(OR($H83="",$J83=""),"",$H83*$J83)</f>
        <v/>
      </c>
      <c r="N83" s="153">
        <f>IF(OR($M83="",$L83=""),"",$M83*$L83)</f>
        <v/>
      </c>
      <c r="O83" s="149" t="n"/>
      <c r="P83" s="154">
        <f>IF($O83="","",IFERROR(INDEX(Basis_of_Estimate!$C$5:$C$9,MATCH($O83,Basis_of_Estimate!$A$5:$A$9,0)),""))</f>
        <v/>
      </c>
      <c r="Q83" s="154">
        <f>IF($O83="","",IFERROR(INDEX(Basis_of_Estimate!$D$5:$D$9,MATCH($O83,Basis_of_Estimate!$A$5:$A$9,0)),""))</f>
        <v/>
      </c>
      <c r="R83" s="153">
        <f>IF($N83="","",$N83*(1+$P83))</f>
        <v/>
      </c>
      <c r="S83" s="153">
        <f>IF($N83="","",$N83)</f>
        <v/>
      </c>
      <c r="T83" s="153">
        <f>IF($N83="","",$N83*(1+$Q83))</f>
        <v/>
      </c>
      <c r="U83" s="150">
        <f>IF($D83="","",IFERROR(INDEX(WBS_CBS!$M$5:$M$16,MATCH($D83,WBS_CBS!$A$5:$A$16,0)),"Yes"))</f>
        <v/>
      </c>
      <c r="V83" s="150">
        <f>IF($D83="","",IFERROR(INDEX(WBS_CBS!$N$5:$N$16,MATCH($D83,WBS_CBS!$A$5:$A$16,0)),"Yes"))</f>
        <v/>
      </c>
      <c r="W83" s="150">
        <f>IF($D83="","",IFERROR(INDEX(WBS_CBS!$K$5:$K$16,MATCH($D83,WBS_CBS!$A$5:$A$16,0)),""))</f>
        <v/>
      </c>
      <c r="X83" s="150">
        <f>IF($D83="","",IFERROR(INDEX(WBS_CBS!$F$5:$F$16,MATCH($D83,WBS_CBS!$A$5:$A$16,0)),""))</f>
        <v/>
      </c>
      <c r="Y83" s="149" t="n"/>
      <c r="Z83" s="149" t="n"/>
      <c r="AA83" s="150">
        <f>IF($D83="","",IFERROR(INDEX(WBS_CBS!$L$5:$L$16,MATCH($D83,WBS_CBS!$A$5:$A$16,0)),""))</f>
        <v/>
      </c>
      <c r="AB83" s="149" t="n"/>
    </row>
    <row r="84">
      <c r="A84" s="149" t="n"/>
      <c r="B84" s="149" t="n"/>
      <c r="C84" s="150">
        <f>IF($D84="","",IFERROR(INDEX(WBS_CBS!$E$5:$E$16,MATCH($D84,WBS_CBS!$A$5:$A$16,0)),""))</f>
        <v/>
      </c>
      <c r="D84" s="149" t="n"/>
      <c r="E84" s="150">
        <f>IF($D84="","",IFERROR(INDEX(WBS_CBS!$C$5:$C$16,MATCH($D84,WBS_CBS!$A$5:$A$16,0)),""))</f>
        <v/>
      </c>
      <c r="F84" s="150">
        <f>IF($D84="","",IFERROR(INDEX(WBS_CBS!$J$5:$J$16,MATCH($D84,WBS_CBS!$A$5:$A$16,0)),""))</f>
        <v/>
      </c>
      <c r="G84" s="149" t="n"/>
      <c r="H84" s="151" t="n"/>
      <c r="I84" s="149" t="n"/>
      <c r="J84" s="152" t="n"/>
      <c r="K84" s="149" t="n"/>
      <c r="L84" s="153">
        <f>IF($K84="","",IFERROR(INDEX(FX_Rates!$B$5:$B$14,MATCH($K84,FX_Rates!$A$5:$A$14,0)),""))</f>
        <v/>
      </c>
      <c r="M84" s="153">
        <f>IF(OR($H84="",$J84=""),"",$H84*$J84)</f>
        <v/>
      </c>
      <c r="N84" s="153">
        <f>IF(OR($M84="",$L84=""),"",$M84*$L84)</f>
        <v/>
      </c>
      <c r="O84" s="149" t="n"/>
      <c r="P84" s="154">
        <f>IF($O84="","",IFERROR(INDEX(Basis_of_Estimate!$C$5:$C$9,MATCH($O84,Basis_of_Estimate!$A$5:$A$9,0)),""))</f>
        <v/>
      </c>
      <c r="Q84" s="154">
        <f>IF($O84="","",IFERROR(INDEX(Basis_of_Estimate!$D$5:$D$9,MATCH($O84,Basis_of_Estimate!$A$5:$A$9,0)),""))</f>
        <v/>
      </c>
      <c r="R84" s="153">
        <f>IF($N84="","",$N84*(1+$P84))</f>
        <v/>
      </c>
      <c r="S84" s="153">
        <f>IF($N84="","",$N84)</f>
        <v/>
      </c>
      <c r="T84" s="153">
        <f>IF($N84="","",$N84*(1+$Q84))</f>
        <v/>
      </c>
      <c r="U84" s="150">
        <f>IF($D84="","",IFERROR(INDEX(WBS_CBS!$M$5:$M$16,MATCH($D84,WBS_CBS!$A$5:$A$16,0)),"Yes"))</f>
        <v/>
      </c>
      <c r="V84" s="150">
        <f>IF($D84="","",IFERROR(INDEX(WBS_CBS!$N$5:$N$16,MATCH($D84,WBS_CBS!$A$5:$A$16,0)),"Yes"))</f>
        <v/>
      </c>
      <c r="W84" s="150">
        <f>IF($D84="","",IFERROR(INDEX(WBS_CBS!$K$5:$K$16,MATCH($D84,WBS_CBS!$A$5:$A$16,0)),""))</f>
        <v/>
      </c>
      <c r="X84" s="150">
        <f>IF($D84="","",IFERROR(INDEX(WBS_CBS!$F$5:$F$16,MATCH($D84,WBS_CBS!$A$5:$A$16,0)),""))</f>
        <v/>
      </c>
      <c r="Y84" s="149" t="n"/>
      <c r="Z84" s="149" t="n"/>
      <c r="AA84" s="150">
        <f>IF($D84="","",IFERROR(INDEX(WBS_CBS!$L$5:$L$16,MATCH($D84,WBS_CBS!$A$5:$A$16,0)),""))</f>
        <v/>
      </c>
      <c r="AB84" s="149" t="n"/>
    </row>
    <row r="85">
      <c r="A85" s="149" t="n"/>
      <c r="B85" s="149" t="n"/>
      <c r="C85" s="150">
        <f>IF($D85="","",IFERROR(INDEX(WBS_CBS!$E$5:$E$16,MATCH($D85,WBS_CBS!$A$5:$A$16,0)),""))</f>
        <v/>
      </c>
      <c r="D85" s="149" t="n"/>
      <c r="E85" s="150">
        <f>IF($D85="","",IFERROR(INDEX(WBS_CBS!$C$5:$C$16,MATCH($D85,WBS_CBS!$A$5:$A$16,0)),""))</f>
        <v/>
      </c>
      <c r="F85" s="150">
        <f>IF($D85="","",IFERROR(INDEX(WBS_CBS!$J$5:$J$16,MATCH($D85,WBS_CBS!$A$5:$A$16,0)),""))</f>
        <v/>
      </c>
      <c r="G85" s="149" t="n"/>
      <c r="H85" s="151" t="n"/>
      <c r="I85" s="149" t="n"/>
      <c r="J85" s="152" t="n"/>
      <c r="K85" s="149" t="n"/>
      <c r="L85" s="153">
        <f>IF($K85="","",IFERROR(INDEX(FX_Rates!$B$5:$B$14,MATCH($K85,FX_Rates!$A$5:$A$14,0)),""))</f>
        <v/>
      </c>
      <c r="M85" s="153">
        <f>IF(OR($H85="",$J85=""),"",$H85*$J85)</f>
        <v/>
      </c>
      <c r="N85" s="153">
        <f>IF(OR($M85="",$L85=""),"",$M85*$L85)</f>
        <v/>
      </c>
      <c r="O85" s="149" t="n"/>
      <c r="P85" s="154">
        <f>IF($O85="","",IFERROR(INDEX(Basis_of_Estimate!$C$5:$C$9,MATCH($O85,Basis_of_Estimate!$A$5:$A$9,0)),""))</f>
        <v/>
      </c>
      <c r="Q85" s="154">
        <f>IF($O85="","",IFERROR(INDEX(Basis_of_Estimate!$D$5:$D$9,MATCH($O85,Basis_of_Estimate!$A$5:$A$9,0)),""))</f>
        <v/>
      </c>
      <c r="R85" s="153">
        <f>IF($N85="","",$N85*(1+$P85))</f>
        <v/>
      </c>
      <c r="S85" s="153">
        <f>IF($N85="","",$N85)</f>
        <v/>
      </c>
      <c r="T85" s="153">
        <f>IF($N85="","",$N85*(1+$Q85))</f>
        <v/>
      </c>
      <c r="U85" s="150">
        <f>IF($D85="","",IFERROR(INDEX(WBS_CBS!$M$5:$M$16,MATCH($D85,WBS_CBS!$A$5:$A$16,0)),"Yes"))</f>
        <v/>
      </c>
      <c r="V85" s="150">
        <f>IF($D85="","",IFERROR(INDEX(WBS_CBS!$N$5:$N$16,MATCH($D85,WBS_CBS!$A$5:$A$16,0)),"Yes"))</f>
        <v/>
      </c>
      <c r="W85" s="150">
        <f>IF($D85="","",IFERROR(INDEX(WBS_CBS!$K$5:$K$16,MATCH($D85,WBS_CBS!$A$5:$A$16,0)),""))</f>
        <v/>
      </c>
      <c r="X85" s="150">
        <f>IF($D85="","",IFERROR(INDEX(WBS_CBS!$F$5:$F$16,MATCH($D85,WBS_CBS!$A$5:$A$16,0)),""))</f>
        <v/>
      </c>
      <c r="Y85" s="149" t="n"/>
      <c r="Z85" s="149" t="n"/>
      <c r="AA85" s="150">
        <f>IF($D85="","",IFERROR(INDEX(WBS_CBS!$L$5:$L$16,MATCH($D85,WBS_CBS!$A$5:$A$16,0)),""))</f>
        <v/>
      </c>
      <c r="AB85" s="149" t="n"/>
    </row>
    <row r="86">
      <c r="A86" s="149" t="n"/>
      <c r="B86" s="149" t="n"/>
      <c r="C86" s="150">
        <f>IF($D86="","",IFERROR(INDEX(WBS_CBS!$E$5:$E$16,MATCH($D86,WBS_CBS!$A$5:$A$16,0)),""))</f>
        <v/>
      </c>
      <c r="D86" s="149" t="n"/>
      <c r="E86" s="150">
        <f>IF($D86="","",IFERROR(INDEX(WBS_CBS!$C$5:$C$16,MATCH($D86,WBS_CBS!$A$5:$A$16,0)),""))</f>
        <v/>
      </c>
      <c r="F86" s="150">
        <f>IF($D86="","",IFERROR(INDEX(WBS_CBS!$J$5:$J$16,MATCH($D86,WBS_CBS!$A$5:$A$16,0)),""))</f>
        <v/>
      </c>
      <c r="G86" s="149" t="n"/>
      <c r="H86" s="151" t="n"/>
      <c r="I86" s="149" t="n"/>
      <c r="J86" s="152" t="n"/>
      <c r="K86" s="149" t="n"/>
      <c r="L86" s="153">
        <f>IF($K86="","",IFERROR(INDEX(FX_Rates!$B$5:$B$14,MATCH($K86,FX_Rates!$A$5:$A$14,0)),""))</f>
        <v/>
      </c>
      <c r="M86" s="153">
        <f>IF(OR($H86="",$J86=""),"",$H86*$J86)</f>
        <v/>
      </c>
      <c r="N86" s="153">
        <f>IF(OR($M86="",$L86=""),"",$M86*$L86)</f>
        <v/>
      </c>
      <c r="O86" s="149" t="n"/>
      <c r="P86" s="154">
        <f>IF($O86="","",IFERROR(INDEX(Basis_of_Estimate!$C$5:$C$9,MATCH($O86,Basis_of_Estimate!$A$5:$A$9,0)),""))</f>
        <v/>
      </c>
      <c r="Q86" s="154">
        <f>IF($O86="","",IFERROR(INDEX(Basis_of_Estimate!$D$5:$D$9,MATCH($O86,Basis_of_Estimate!$A$5:$A$9,0)),""))</f>
        <v/>
      </c>
      <c r="R86" s="153">
        <f>IF($N86="","",$N86*(1+$P86))</f>
        <v/>
      </c>
      <c r="S86" s="153">
        <f>IF($N86="","",$N86)</f>
        <v/>
      </c>
      <c r="T86" s="153">
        <f>IF($N86="","",$N86*(1+$Q86))</f>
        <v/>
      </c>
      <c r="U86" s="150">
        <f>IF($D86="","",IFERROR(INDEX(WBS_CBS!$M$5:$M$16,MATCH($D86,WBS_CBS!$A$5:$A$16,0)),"Yes"))</f>
        <v/>
      </c>
      <c r="V86" s="150">
        <f>IF($D86="","",IFERROR(INDEX(WBS_CBS!$N$5:$N$16,MATCH($D86,WBS_CBS!$A$5:$A$16,0)),"Yes"))</f>
        <v/>
      </c>
      <c r="W86" s="150">
        <f>IF($D86="","",IFERROR(INDEX(WBS_CBS!$K$5:$K$16,MATCH($D86,WBS_CBS!$A$5:$A$16,0)),""))</f>
        <v/>
      </c>
      <c r="X86" s="150">
        <f>IF($D86="","",IFERROR(INDEX(WBS_CBS!$F$5:$F$16,MATCH($D86,WBS_CBS!$A$5:$A$16,0)),""))</f>
        <v/>
      </c>
      <c r="Y86" s="149" t="n"/>
      <c r="Z86" s="149" t="n"/>
      <c r="AA86" s="150">
        <f>IF($D86="","",IFERROR(INDEX(WBS_CBS!$L$5:$L$16,MATCH($D86,WBS_CBS!$A$5:$A$16,0)),""))</f>
        <v/>
      </c>
      <c r="AB86" s="149" t="n"/>
    </row>
    <row r="87">
      <c r="A87" s="149" t="n"/>
      <c r="B87" s="149" t="n"/>
      <c r="C87" s="150">
        <f>IF($D87="","",IFERROR(INDEX(WBS_CBS!$E$5:$E$16,MATCH($D87,WBS_CBS!$A$5:$A$16,0)),""))</f>
        <v/>
      </c>
      <c r="D87" s="149" t="n"/>
      <c r="E87" s="150">
        <f>IF($D87="","",IFERROR(INDEX(WBS_CBS!$C$5:$C$16,MATCH($D87,WBS_CBS!$A$5:$A$16,0)),""))</f>
        <v/>
      </c>
      <c r="F87" s="150">
        <f>IF($D87="","",IFERROR(INDEX(WBS_CBS!$J$5:$J$16,MATCH($D87,WBS_CBS!$A$5:$A$16,0)),""))</f>
        <v/>
      </c>
      <c r="G87" s="149" t="n"/>
      <c r="H87" s="151" t="n"/>
      <c r="I87" s="149" t="n"/>
      <c r="J87" s="152" t="n"/>
      <c r="K87" s="149" t="n"/>
      <c r="L87" s="153">
        <f>IF($K87="","",IFERROR(INDEX(FX_Rates!$B$5:$B$14,MATCH($K87,FX_Rates!$A$5:$A$14,0)),""))</f>
        <v/>
      </c>
      <c r="M87" s="153">
        <f>IF(OR($H87="",$J87=""),"",$H87*$J87)</f>
        <v/>
      </c>
      <c r="N87" s="153">
        <f>IF(OR($M87="",$L87=""),"",$M87*$L87)</f>
        <v/>
      </c>
      <c r="O87" s="149" t="n"/>
      <c r="P87" s="154">
        <f>IF($O87="","",IFERROR(INDEX(Basis_of_Estimate!$C$5:$C$9,MATCH($O87,Basis_of_Estimate!$A$5:$A$9,0)),""))</f>
        <v/>
      </c>
      <c r="Q87" s="154">
        <f>IF($O87="","",IFERROR(INDEX(Basis_of_Estimate!$D$5:$D$9,MATCH($O87,Basis_of_Estimate!$A$5:$A$9,0)),""))</f>
        <v/>
      </c>
      <c r="R87" s="153">
        <f>IF($N87="","",$N87*(1+$P87))</f>
        <v/>
      </c>
      <c r="S87" s="153">
        <f>IF($N87="","",$N87)</f>
        <v/>
      </c>
      <c r="T87" s="153">
        <f>IF($N87="","",$N87*(1+$Q87))</f>
        <v/>
      </c>
      <c r="U87" s="150">
        <f>IF($D87="","",IFERROR(INDEX(WBS_CBS!$M$5:$M$16,MATCH($D87,WBS_CBS!$A$5:$A$16,0)),"Yes"))</f>
        <v/>
      </c>
      <c r="V87" s="150">
        <f>IF($D87="","",IFERROR(INDEX(WBS_CBS!$N$5:$N$16,MATCH($D87,WBS_CBS!$A$5:$A$16,0)),"Yes"))</f>
        <v/>
      </c>
      <c r="W87" s="150">
        <f>IF($D87="","",IFERROR(INDEX(WBS_CBS!$K$5:$K$16,MATCH($D87,WBS_CBS!$A$5:$A$16,0)),""))</f>
        <v/>
      </c>
      <c r="X87" s="150">
        <f>IF($D87="","",IFERROR(INDEX(WBS_CBS!$F$5:$F$16,MATCH($D87,WBS_CBS!$A$5:$A$16,0)),""))</f>
        <v/>
      </c>
      <c r="Y87" s="149" t="n"/>
      <c r="Z87" s="149" t="n"/>
      <c r="AA87" s="150">
        <f>IF($D87="","",IFERROR(INDEX(WBS_CBS!$L$5:$L$16,MATCH($D87,WBS_CBS!$A$5:$A$16,0)),""))</f>
        <v/>
      </c>
      <c r="AB87" s="149" t="n"/>
    </row>
    <row r="88">
      <c r="A88" s="149" t="n"/>
      <c r="B88" s="149" t="n"/>
      <c r="C88" s="150">
        <f>IF($D88="","",IFERROR(INDEX(WBS_CBS!$E$5:$E$16,MATCH($D88,WBS_CBS!$A$5:$A$16,0)),""))</f>
        <v/>
      </c>
      <c r="D88" s="149" t="n"/>
      <c r="E88" s="150">
        <f>IF($D88="","",IFERROR(INDEX(WBS_CBS!$C$5:$C$16,MATCH($D88,WBS_CBS!$A$5:$A$16,0)),""))</f>
        <v/>
      </c>
      <c r="F88" s="150">
        <f>IF($D88="","",IFERROR(INDEX(WBS_CBS!$J$5:$J$16,MATCH($D88,WBS_CBS!$A$5:$A$16,0)),""))</f>
        <v/>
      </c>
      <c r="G88" s="149" t="n"/>
      <c r="H88" s="151" t="n"/>
      <c r="I88" s="149" t="n"/>
      <c r="J88" s="152" t="n"/>
      <c r="K88" s="149" t="n"/>
      <c r="L88" s="153">
        <f>IF($K88="","",IFERROR(INDEX(FX_Rates!$B$5:$B$14,MATCH($K88,FX_Rates!$A$5:$A$14,0)),""))</f>
        <v/>
      </c>
      <c r="M88" s="153">
        <f>IF(OR($H88="",$J88=""),"",$H88*$J88)</f>
        <v/>
      </c>
      <c r="N88" s="153">
        <f>IF(OR($M88="",$L88=""),"",$M88*$L88)</f>
        <v/>
      </c>
      <c r="O88" s="149" t="n"/>
      <c r="P88" s="154">
        <f>IF($O88="","",IFERROR(INDEX(Basis_of_Estimate!$C$5:$C$9,MATCH($O88,Basis_of_Estimate!$A$5:$A$9,0)),""))</f>
        <v/>
      </c>
      <c r="Q88" s="154">
        <f>IF($O88="","",IFERROR(INDEX(Basis_of_Estimate!$D$5:$D$9,MATCH($O88,Basis_of_Estimate!$A$5:$A$9,0)),""))</f>
        <v/>
      </c>
      <c r="R88" s="153">
        <f>IF($N88="","",$N88*(1+$P88))</f>
        <v/>
      </c>
      <c r="S88" s="153">
        <f>IF($N88="","",$N88)</f>
        <v/>
      </c>
      <c r="T88" s="153">
        <f>IF($N88="","",$N88*(1+$Q88))</f>
        <v/>
      </c>
      <c r="U88" s="150">
        <f>IF($D88="","",IFERROR(INDEX(WBS_CBS!$M$5:$M$16,MATCH($D88,WBS_CBS!$A$5:$A$16,0)),"Yes"))</f>
        <v/>
      </c>
      <c r="V88" s="150">
        <f>IF($D88="","",IFERROR(INDEX(WBS_CBS!$N$5:$N$16,MATCH($D88,WBS_CBS!$A$5:$A$16,0)),"Yes"))</f>
        <v/>
      </c>
      <c r="W88" s="150">
        <f>IF($D88="","",IFERROR(INDEX(WBS_CBS!$K$5:$K$16,MATCH($D88,WBS_CBS!$A$5:$A$16,0)),""))</f>
        <v/>
      </c>
      <c r="X88" s="150">
        <f>IF($D88="","",IFERROR(INDEX(WBS_CBS!$F$5:$F$16,MATCH($D88,WBS_CBS!$A$5:$A$16,0)),""))</f>
        <v/>
      </c>
      <c r="Y88" s="149" t="n"/>
      <c r="Z88" s="149" t="n"/>
      <c r="AA88" s="150">
        <f>IF($D88="","",IFERROR(INDEX(WBS_CBS!$L$5:$L$16,MATCH($D88,WBS_CBS!$A$5:$A$16,0)),""))</f>
        <v/>
      </c>
      <c r="AB88" s="149" t="n"/>
    </row>
    <row r="89">
      <c r="A89" s="149" t="n"/>
      <c r="B89" s="149" t="n"/>
      <c r="C89" s="150">
        <f>IF($D89="","",IFERROR(INDEX(WBS_CBS!$E$5:$E$16,MATCH($D89,WBS_CBS!$A$5:$A$16,0)),""))</f>
        <v/>
      </c>
      <c r="D89" s="149" t="n"/>
      <c r="E89" s="150">
        <f>IF($D89="","",IFERROR(INDEX(WBS_CBS!$C$5:$C$16,MATCH($D89,WBS_CBS!$A$5:$A$16,0)),""))</f>
        <v/>
      </c>
      <c r="F89" s="150">
        <f>IF($D89="","",IFERROR(INDEX(WBS_CBS!$J$5:$J$16,MATCH($D89,WBS_CBS!$A$5:$A$16,0)),""))</f>
        <v/>
      </c>
      <c r="G89" s="149" t="n"/>
      <c r="H89" s="151" t="n"/>
      <c r="I89" s="149" t="n"/>
      <c r="J89" s="152" t="n"/>
      <c r="K89" s="149" t="n"/>
      <c r="L89" s="153">
        <f>IF($K89="","",IFERROR(INDEX(FX_Rates!$B$5:$B$14,MATCH($K89,FX_Rates!$A$5:$A$14,0)),""))</f>
        <v/>
      </c>
      <c r="M89" s="153">
        <f>IF(OR($H89="",$J89=""),"",$H89*$J89)</f>
        <v/>
      </c>
      <c r="N89" s="153">
        <f>IF(OR($M89="",$L89=""),"",$M89*$L89)</f>
        <v/>
      </c>
      <c r="O89" s="149" t="n"/>
      <c r="P89" s="154">
        <f>IF($O89="","",IFERROR(INDEX(Basis_of_Estimate!$C$5:$C$9,MATCH($O89,Basis_of_Estimate!$A$5:$A$9,0)),""))</f>
        <v/>
      </c>
      <c r="Q89" s="154">
        <f>IF($O89="","",IFERROR(INDEX(Basis_of_Estimate!$D$5:$D$9,MATCH($O89,Basis_of_Estimate!$A$5:$A$9,0)),""))</f>
        <v/>
      </c>
      <c r="R89" s="153">
        <f>IF($N89="","",$N89*(1+$P89))</f>
        <v/>
      </c>
      <c r="S89" s="153">
        <f>IF($N89="","",$N89)</f>
        <v/>
      </c>
      <c r="T89" s="153">
        <f>IF($N89="","",$N89*(1+$Q89))</f>
        <v/>
      </c>
      <c r="U89" s="150">
        <f>IF($D89="","",IFERROR(INDEX(WBS_CBS!$M$5:$M$16,MATCH($D89,WBS_CBS!$A$5:$A$16,0)),"Yes"))</f>
        <v/>
      </c>
      <c r="V89" s="150">
        <f>IF($D89="","",IFERROR(INDEX(WBS_CBS!$N$5:$N$16,MATCH($D89,WBS_CBS!$A$5:$A$16,0)),"Yes"))</f>
        <v/>
      </c>
      <c r="W89" s="150">
        <f>IF($D89="","",IFERROR(INDEX(WBS_CBS!$K$5:$K$16,MATCH($D89,WBS_CBS!$A$5:$A$16,0)),""))</f>
        <v/>
      </c>
      <c r="X89" s="150">
        <f>IF($D89="","",IFERROR(INDEX(WBS_CBS!$F$5:$F$16,MATCH($D89,WBS_CBS!$A$5:$A$16,0)),""))</f>
        <v/>
      </c>
      <c r="Y89" s="149" t="n"/>
      <c r="Z89" s="149" t="n"/>
      <c r="AA89" s="150">
        <f>IF($D89="","",IFERROR(INDEX(WBS_CBS!$L$5:$L$16,MATCH($D89,WBS_CBS!$A$5:$A$16,0)),""))</f>
        <v/>
      </c>
      <c r="AB89" s="149" t="n"/>
    </row>
    <row r="90">
      <c r="A90" s="149" t="n"/>
      <c r="B90" s="149" t="n"/>
      <c r="C90" s="150">
        <f>IF($D90="","",IFERROR(INDEX(WBS_CBS!$E$5:$E$16,MATCH($D90,WBS_CBS!$A$5:$A$16,0)),""))</f>
        <v/>
      </c>
      <c r="D90" s="149" t="n"/>
      <c r="E90" s="150">
        <f>IF($D90="","",IFERROR(INDEX(WBS_CBS!$C$5:$C$16,MATCH($D90,WBS_CBS!$A$5:$A$16,0)),""))</f>
        <v/>
      </c>
      <c r="F90" s="150">
        <f>IF($D90="","",IFERROR(INDEX(WBS_CBS!$J$5:$J$16,MATCH($D90,WBS_CBS!$A$5:$A$16,0)),""))</f>
        <v/>
      </c>
      <c r="G90" s="149" t="n"/>
      <c r="H90" s="151" t="n"/>
      <c r="I90" s="149" t="n"/>
      <c r="J90" s="152" t="n"/>
      <c r="K90" s="149" t="n"/>
      <c r="L90" s="153">
        <f>IF($K90="","",IFERROR(INDEX(FX_Rates!$B$5:$B$14,MATCH($K90,FX_Rates!$A$5:$A$14,0)),""))</f>
        <v/>
      </c>
      <c r="M90" s="153">
        <f>IF(OR($H90="",$J90=""),"",$H90*$J90)</f>
        <v/>
      </c>
      <c r="N90" s="153">
        <f>IF(OR($M90="",$L90=""),"",$M90*$L90)</f>
        <v/>
      </c>
      <c r="O90" s="149" t="n"/>
      <c r="P90" s="154">
        <f>IF($O90="","",IFERROR(INDEX(Basis_of_Estimate!$C$5:$C$9,MATCH($O90,Basis_of_Estimate!$A$5:$A$9,0)),""))</f>
        <v/>
      </c>
      <c r="Q90" s="154">
        <f>IF($O90="","",IFERROR(INDEX(Basis_of_Estimate!$D$5:$D$9,MATCH($O90,Basis_of_Estimate!$A$5:$A$9,0)),""))</f>
        <v/>
      </c>
      <c r="R90" s="153">
        <f>IF($N90="","",$N90*(1+$P90))</f>
        <v/>
      </c>
      <c r="S90" s="153">
        <f>IF($N90="","",$N90)</f>
        <v/>
      </c>
      <c r="T90" s="153">
        <f>IF($N90="","",$N90*(1+$Q90))</f>
        <v/>
      </c>
      <c r="U90" s="150">
        <f>IF($D90="","",IFERROR(INDEX(WBS_CBS!$M$5:$M$16,MATCH($D90,WBS_CBS!$A$5:$A$16,0)),"Yes"))</f>
        <v/>
      </c>
      <c r="V90" s="150">
        <f>IF($D90="","",IFERROR(INDEX(WBS_CBS!$N$5:$N$16,MATCH($D90,WBS_CBS!$A$5:$A$16,0)),"Yes"))</f>
        <v/>
      </c>
      <c r="W90" s="150">
        <f>IF($D90="","",IFERROR(INDEX(WBS_CBS!$K$5:$K$16,MATCH($D90,WBS_CBS!$A$5:$A$16,0)),""))</f>
        <v/>
      </c>
      <c r="X90" s="150">
        <f>IF($D90="","",IFERROR(INDEX(WBS_CBS!$F$5:$F$16,MATCH($D90,WBS_CBS!$A$5:$A$16,0)),""))</f>
        <v/>
      </c>
      <c r="Y90" s="149" t="n"/>
      <c r="Z90" s="149" t="n"/>
      <c r="AA90" s="150">
        <f>IF($D90="","",IFERROR(INDEX(WBS_CBS!$L$5:$L$16,MATCH($D90,WBS_CBS!$A$5:$A$16,0)),""))</f>
        <v/>
      </c>
      <c r="AB90" s="149" t="n"/>
    </row>
    <row r="91">
      <c r="A91" s="149" t="n"/>
      <c r="B91" s="149" t="n"/>
      <c r="C91" s="150">
        <f>IF($D91="","",IFERROR(INDEX(WBS_CBS!$E$5:$E$16,MATCH($D91,WBS_CBS!$A$5:$A$16,0)),""))</f>
        <v/>
      </c>
      <c r="D91" s="149" t="n"/>
      <c r="E91" s="150">
        <f>IF($D91="","",IFERROR(INDEX(WBS_CBS!$C$5:$C$16,MATCH($D91,WBS_CBS!$A$5:$A$16,0)),""))</f>
        <v/>
      </c>
      <c r="F91" s="150">
        <f>IF($D91="","",IFERROR(INDEX(WBS_CBS!$J$5:$J$16,MATCH($D91,WBS_CBS!$A$5:$A$16,0)),""))</f>
        <v/>
      </c>
      <c r="G91" s="149" t="n"/>
      <c r="H91" s="151" t="n"/>
      <c r="I91" s="149" t="n"/>
      <c r="J91" s="152" t="n"/>
      <c r="K91" s="149" t="n"/>
      <c r="L91" s="153">
        <f>IF($K91="","",IFERROR(INDEX(FX_Rates!$B$5:$B$14,MATCH($K91,FX_Rates!$A$5:$A$14,0)),""))</f>
        <v/>
      </c>
      <c r="M91" s="153">
        <f>IF(OR($H91="",$J91=""),"",$H91*$J91)</f>
        <v/>
      </c>
      <c r="N91" s="153">
        <f>IF(OR($M91="",$L91=""),"",$M91*$L91)</f>
        <v/>
      </c>
      <c r="O91" s="149" t="n"/>
      <c r="P91" s="154">
        <f>IF($O91="","",IFERROR(INDEX(Basis_of_Estimate!$C$5:$C$9,MATCH($O91,Basis_of_Estimate!$A$5:$A$9,0)),""))</f>
        <v/>
      </c>
      <c r="Q91" s="154">
        <f>IF($O91="","",IFERROR(INDEX(Basis_of_Estimate!$D$5:$D$9,MATCH($O91,Basis_of_Estimate!$A$5:$A$9,0)),""))</f>
        <v/>
      </c>
      <c r="R91" s="153">
        <f>IF($N91="","",$N91*(1+$P91))</f>
        <v/>
      </c>
      <c r="S91" s="153">
        <f>IF($N91="","",$N91)</f>
        <v/>
      </c>
      <c r="T91" s="153">
        <f>IF($N91="","",$N91*(1+$Q91))</f>
        <v/>
      </c>
      <c r="U91" s="150">
        <f>IF($D91="","",IFERROR(INDEX(WBS_CBS!$M$5:$M$16,MATCH($D91,WBS_CBS!$A$5:$A$16,0)),"Yes"))</f>
        <v/>
      </c>
      <c r="V91" s="150">
        <f>IF($D91="","",IFERROR(INDEX(WBS_CBS!$N$5:$N$16,MATCH($D91,WBS_CBS!$A$5:$A$16,0)),"Yes"))</f>
        <v/>
      </c>
      <c r="W91" s="150">
        <f>IF($D91="","",IFERROR(INDEX(WBS_CBS!$K$5:$K$16,MATCH($D91,WBS_CBS!$A$5:$A$16,0)),""))</f>
        <v/>
      </c>
      <c r="X91" s="150">
        <f>IF($D91="","",IFERROR(INDEX(WBS_CBS!$F$5:$F$16,MATCH($D91,WBS_CBS!$A$5:$A$16,0)),""))</f>
        <v/>
      </c>
      <c r="Y91" s="149" t="n"/>
      <c r="Z91" s="149" t="n"/>
      <c r="AA91" s="150">
        <f>IF($D91="","",IFERROR(INDEX(WBS_CBS!$L$5:$L$16,MATCH($D91,WBS_CBS!$A$5:$A$16,0)),""))</f>
        <v/>
      </c>
      <c r="AB91" s="149" t="n"/>
    </row>
    <row r="92">
      <c r="A92" s="149" t="n"/>
      <c r="B92" s="149" t="n"/>
      <c r="C92" s="150">
        <f>IF($D92="","",IFERROR(INDEX(WBS_CBS!$E$5:$E$16,MATCH($D92,WBS_CBS!$A$5:$A$16,0)),""))</f>
        <v/>
      </c>
      <c r="D92" s="149" t="n"/>
      <c r="E92" s="150">
        <f>IF($D92="","",IFERROR(INDEX(WBS_CBS!$C$5:$C$16,MATCH($D92,WBS_CBS!$A$5:$A$16,0)),""))</f>
        <v/>
      </c>
      <c r="F92" s="150">
        <f>IF($D92="","",IFERROR(INDEX(WBS_CBS!$J$5:$J$16,MATCH($D92,WBS_CBS!$A$5:$A$16,0)),""))</f>
        <v/>
      </c>
      <c r="G92" s="149" t="n"/>
      <c r="H92" s="151" t="n"/>
      <c r="I92" s="149" t="n"/>
      <c r="J92" s="152" t="n"/>
      <c r="K92" s="149" t="n"/>
      <c r="L92" s="153">
        <f>IF($K92="","",IFERROR(INDEX(FX_Rates!$B$5:$B$14,MATCH($K92,FX_Rates!$A$5:$A$14,0)),""))</f>
        <v/>
      </c>
      <c r="M92" s="153">
        <f>IF(OR($H92="",$J92=""),"",$H92*$J92)</f>
        <v/>
      </c>
      <c r="N92" s="153">
        <f>IF(OR($M92="",$L92=""),"",$M92*$L92)</f>
        <v/>
      </c>
      <c r="O92" s="149" t="n"/>
      <c r="P92" s="154">
        <f>IF($O92="","",IFERROR(INDEX(Basis_of_Estimate!$C$5:$C$9,MATCH($O92,Basis_of_Estimate!$A$5:$A$9,0)),""))</f>
        <v/>
      </c>
      <c r="Q92" s="154">
        <f>IF($O92="","",IFERROR(INDEX(Basis_of_Estimate!$D$5:$D$9,MATCH($O92,Basis_of_Estimate!$A$5:$A$9,0)),""))</f>
        <v/>
      </c>
      <c r="R92" s="153">
        <f>IF($N92="","",$N92*(1+$P92))</f>
        <v/>
      </c>
      <c r="S92" s="153">
        <f>IF($N92="","",$N92)</f>
        <v/>
      </c>
      <c r="T92" s="153">
        <f>IF($N92="","",$N92*(1+$Q92))</f>
        <v/>
      </c>
      <c r="U92" s="150">
        <f>IF($D92="","",IFERROR(INDEX(WBS_CBS!$M$5:$M$16,MATCH($D92,WBS_CBS!$A$5:$A$16,0)),"Yes"))</f>
        <v/>
      </c>
      <c r="V92" s="150">
        <f>IF($D92="","",IFERROR(INDEX(WBS_CBS!$N$5:$N$16,MATCH($D92,WBS_CBS!$A$5:$A$16,0)),"Yes"))</f>
        <v/>
      </c>
      <c r="W92" s="150">
        <f>IF($D92="","",IFERROR(INDEX(WBS_CBS!$K$5:$K$16,MATCH($D92,WBS_CBS!$A$5:$A$16,0)),""))</f>
        <v/>
      </c>
      <c r="X92" s="150">
        <f>IF($D92="","",IFERROR(INDEX(WBS_CBS!$F$5:$F$16,MATCH($D92,WBS_CBS!$A$5:$A$16,0)),""))</f>
        <v/>
      </c>
      <c r="Y92" s="149" t="n"/>
      <c r="Z92" s="149" t="n"/>
      <c r="AA92" s="150">
        <f>IF($D92="","",IFERROR(INDEX(WBS_CBS!$L$5:$L$16,MATCH($D92,WBS_CBS!$A$5:$A$16,0)),""))</f>
        <v/>
      </c>
      <c r="AB92" s="149" t="n"/>
    </row>
    <row r="93">
      <c r="A93" s="149" t="n"/>
      <c r="B93" s="149" t="n"/>
      <c r="C93" s="150">
        <f>IF($D93="","",IFERROR(INDEX(WBS_CBS!$E$5:$E$16,MATCH($D93,WBS_CBS!$A$5:$A$16,0)),""))</f>
        <v/>
      </c>
      <c r="D93" s="149" t="n"/>
      <c r="E93" s="150">
        <f>IF($D93="","",IFERROR(INDEX(WBS_CBS!$C$5:$C$16,MATCH($D93,WBS_CBS!$A$5:$A$16,0)),""))</f>
        <v/>
      </c>
      <c r="F93" s="150">
        <f>IF($D93="","",IFERROR(INDEX(WBS_CBS!$J$5:$J$16,MATCH($D93,WBS_CBS!$A$5:$A$16,0)),""))</f>
        <v/>
      </c>
      <c r="G93" s="149" t="n"/>
      <c r="H93" s="151" t="n"/>
      <c r="I93" s="149" t="n"/>
      <c r="J93" s="152" t="n"/>
      <c r="K93" s="149" t="n"/>
      <c r="L93" s="153">
        <f>IF($K93="","",IFERROR(INDEX(FX_Rates!$B$5:$B$14,MATCH($K93,FX_Rates!$A$5:$A$14,0)),""))</f>
        <v/>
      </c>
      <c r="M93" s="153">
        <f>IF(OR($H93="",$J93=""),"",$H93*$J93)</f>
        <v/>
      </c>
      <c r="N93" s="153">
        <f>IF(OR($M93="",$L93=""),"",$M93*$L93)</f>
        <v/>
      </c>
      <c r="O93" s="149" t="n"/>
      <c r="P93" s="154">
        <f>IF($O93="","",IFERROR(INDEX(Basis_of_Estimate!$C$5:$C$9,MATCH($O93,Basis_of_Estimate!$A$5:$A$9,0)),""))</f>
        <v/>
      </c>
      <c r="Q93" s="154">
        <f>IF($O93="","",IFERROR(INDEX(Basis_of_Estimate!$D$5:$D$9,MATCH($O93,Basis_of_Estimate!$A$5:$A$9,0)),""))</f>
        <v/>
      </c>
      <c r="R93" s="153">
        <f>IF($N93="","",$N93*(1+$P93))</f>
        <v/>
      </c>
      <c r="S93" s="153">
        <f>IF($N93="","",$N93)</f>
        <v/>
      </c>
      <c r="T93" s="153">
        <f>IF($N93="","",$N93*(1+$Q93))</f>
        <v/>
      </c>
      <c r="U93" s="150">
        <f>IF($D93="","",IFERROR(INDEX(WBS_CBS!$M$5:$M$16,MATCH($D93,WBS_CBS!$A$5:$A$16,0)),"Yes"))</f>
        <v/>
      </c>
      <c r="V93" s="150">
        <f>IF($D93="","",IFERROR(INDEX(WBS_CBS!$N$5:$N$16,MATCH($D93,WBS_CBS!$A$5:$A$16,0)),"Yes"))</f>
        <v/>
      </c>
      <c r="W93" s="150">
        <f>IF($D93="","",IFERROR(INDEX(WBS_CBS!$K$5:$K$16,MATCH($D93,WBS_CBS!$A$5:$A$16,0)),""))</f>
        <v/>
      </c>
      <c r="X93" s="150">
        <f>IF($D93="","",IFERROR(INDEX(WBS_CBS!$F$5:$F$16,MATCH($D93,WBS_CBS!$A$5:$A$16,0)),""))</f>
        <v/>
      </c>
      <c r="Y93" s="149" t="n"/>
      <c r="Z93" s="149" t="n"/>
      <c r="AA93" s="150">
        <f>IF($D93="","",IFERROR(INDEX(WBS_CBS!$L$5:$L$16,MATCH($D93,WBS_CBS!$A$5:$A$16,0)),""))</f>
        <v/>
      </c>
      <c r="AB93" s="149" t="n"/>
    </row>
    <row r="94">
      <c r="A94" s="149" t="n"/>
      <c r="B94" s="149" t="n"/>
      <c r="C94" s="150">
        <f>IF($D94="","",IFERROR(INDEX(WBS_CBS!$E$5:$E$16,MATCH($D94,WBS_CBS!$A$5:$A$16,0)),""))</f>
        <v/>
      </c>
      <c r="D94" s="149" t="n"/>
      <c r="E94" s="150">
        <f>IF($D94="","",IFERROR(INDEX(WBS_CBS!$C$5:$C$16,MATCH($D94,WBS_CBS!$A$5:$A$16,0)),""))</f>
        <v/>
      </c>
      <c r="F94" s="150">
        <f>IF($D94="","",IFERROR(INDEX(WBS_CBS!$J$5:$J$16,MATCH($D94,WBS_CBS!$A$5:$A$16,0)),""))</f>
        <v/>
      </c>
      <c r="G94" s="149" t="n"/>
      <c r="H94" s="151" t="n"/>
      <c r="I94" s="149" t="n"/>
      <c r="J94" s="152" t="n"/>
      <c r="K94" s="149" t="n"/>
      <c r="L94" s="153">
        <f>IF($K94="","",IFERROR(INDEX(FX_Rates!$B$5:$B$14,MATCH($K94,FX_Rates!$A$5:$A$14,0)),""))</f>
        <v/>
      </c>
      <c r="M94" s="153">
        <f>IF(OR($H94="",$J94=""),"",$H94*$J94)</f>
        <v/>
      </c>
      <c r="N94" s="153">
        <f>IF(OR($M94="",$L94=""),"",$M94*$L94)</f>
        <v/>
      </c>
      <c r="O94" s="149" t="n"/>
      <c r="P94" s="154">
        <f>IF($O94="","",IFERROR(INDEX(Basis_of_Estimate!$C$5:$C$9,MATCH($O94,Basis_of_Estimate!$A$5:$A$9,0)),""))</f>
        <v/>
      </c>
      <c r="Q94" s="154">
        <f>IF($O94="","",IFERROR(INDEX(Basis_of_Estimate!$D$5:$D$9,MATCH($O94,Basis_of_Estimate!$A$5:$A$9,0)),""))</f>
        <v/>
      </c>
      <c r="R94" s="153">
        <f>IF($N94="","",$N94*(1+$P94))</f>
        <v/>
      </c>
      <c r="S94" s="153">
        <f>IF($N94="","",$N94)</f>
        <v/>
      </c>
      <c r="T94" s="153">
        <f>IF($N94="","",$N94*(1+$Q94))</f>
        <v/>
      </c>
      <c r="U94" s="150">
        <f>IF($D94="","",IFERROR(INDEX(WBS_CBS!$M$5:$M$16,MATCH($D94,WBS_CBS!$A$5:$A$16,0)),"Yes"))</f>
        <v/>
      </c>
      <c r="V94" s="150">
        <f>IF($D94="","",IFERROR(INDEX(WBS_CBS!$N$5:$N$16,MATCH($D94,WBS_CBS!$A$5:$A$16,0)),"Yes"))</f>
        <v/>
      </c>
      <c r="W94" s="150">
        <f>IF($D94="","",IFERROR(INDEX(WBS_CBS!$K$5:$K$16,MATCH($D94,WBS_CBS!$A$5:$A$16,0)),""))</f>
        <v/>
      </c>
      <c r="X94" s="150">
        <f>IF($D94="","",IFERROR(INDEX(WBS_CBS!$F$5:$F$16,MATCH($D94,WBS_CBS!$A$5:$A$16,0)),""))</f>
        <v/>
      </c>
      <c r="Y94" s="149" t="n"/>
      <c r="Z94" s="149" t="n"/>
      <c r="AA94" s="150">
        <f>IF($D94="","",IFERROR(INDEX(WBS_CBS!$L$5:$L$16,MATCH($D94,WBS_CBS!$A$5:$A$16,0)),""))</f>
        <v/>
      </c>
      <c r="AB94" s="149" t="n"/>
    </row>
    <row r="95">
      <c r="A95" s="149" t="n"/>
      <c r="B95" s="149" t="n"/>
      <c r="C95" s="150">
        <f>IF($D95="","",IFERROR(INDEX(WBS_CBS!$E$5:$E$16,MATCH($D95,WBS_CBS!$A$5:$A$16,0)),""))</f>
        <v/>
      </c>
      <c r="D95" s="149" t="n"/>
      <c r="E95" s="150">
        <f>IF($D95="","",IFERROR(INDEX(WBS_CBS!$C$5:$C$16,MATCH($D95,WBS_CBS!$A$5:$A$16,0)),""))</f>
        <v/>
      </c>
      <c r="F95" s="150">
        <f>IF($D95="","",IFERROR(INDEX(WBS_CBS!$J$5:$J$16,MATCH($D95,WBS_CBS!$A$5:$A$16,0)),""))</f>
        <v/>
      </c>
      <c r="G95" s="149" t="n"/>
      <c r="H95" s="151" t="n"/>
      <c r="I95" s="149" t="n"/>
      <c r="J95" s="152" t="n"/>
      <c r="K95" s="149" t="n"/>
      <c r="L95" s="153">
        <f>IF($K95="","",IFERROR(INDEX(FX_Rates!$B$5:$B$14,MATCH($K95,FX_Rates!$A$5:$A$14,0)),""))</f>
        <v/>
      </c>
      <c r="M95" s="153">
        <f>IF(OR($H95="",$J95=""),"",$H95*$J95)</f>
        <v/>
      </c>
      <c r="N95" s="153">
        <f>IF(OR($M95="",$L95=""),"",$M95*$L95)</f>
        <v/>
      </c>
      <c r="O95" s="149" t="n"/>
      <c r="P95" s="154">
        <f>IF($O95="","",IFERROR(INDEX(Basis_of_Estimate!$C$5:$C$9,MATCH($O95,Basis_of_Estimate!$A$5:$A$9,0)),""))</f>
        <v/>
      </c>
      <c r="Q95" s="154">
        <f>IF($O95="","",IFERROR(INDEX(Basis_of_Estimate!$D$5:$D$9,MATCH($O95,Basis_of_Estimate!$A$5:$A$9,0)),""))</f>
        <v/>
      </c>
      <c r="R95" s="153">
        <f>IF($N95="","",$N95*(1+$P95))</f>
        <v/>
      </c>
      <c r="S95" s="153">
        <f>IF($N95="","",$N95)</f>
        <v/>
      </c>
      <c r="T95" s="153">
        <f>IF($N95="","",$N95*(1+$Q95))</f>
        <v/>
      </c>
      <c r="U95" s="150">
        <f>IF($D95="","",IFERROR(INDEX(WBS_CBS!$M$5:$M$16,MATCH($D95,WBS_CBS!$A$5:$A$16,0)),"Yes"))</f>
        <v/>
      </c>
      <c r="V95" s="150">
        <f>IF($D95="","",IFERROR(INDEX(WBS_CBS!$N$5:$N$16,MATCH($D95,WBS_CBS!$A$5:$A$16,0)),"Yes"))</f>
        <v/>
      </c>
      <c r="W95" s="150">
        <f>IF($D95="","",IFERROR(INDEX(WBS_CBS!$K$5:$K$16,MATCH($D95,WBS_CBS!$A$5:$A$16,0)),""))</f>
        <v/>
      </c>
      <c r="X95" s="150">
        <f>IF($D95="","",IFERROR(INDEX(WBS_CBS!$F$5:$F$16,MATCH($D95,WBS_CBS!$A$5:$A$16,0)),""))</f>
        <v/>
      </c>
      <c r="Y95" s="149" t="n"/>
      <c r="Z95" s="149" t="n"/>
      <c r="AA95" s="150">
        <f>IF($D95="","",IFERROR(INDEX(WBS_CBS!$L$5:$L$16,MATCH($D95,WBS_CBS!$A$5:$A$16,0)),""))</f>
        <v/>
      </c>
      <c r="AB95" s="149" t="n"/>
    </row>
    <row r="96">
      <c r="A96" s="149" t="n"/>
      <c r="B96" s="149" t="n"/>
      <c r="C96" s="150">
        <f>IF($D96="","",IFERROR(INDEX(WBS_CBS!$E$5:$E$16,MATCH($D96,WBS_CBS!$A$5:$A$16,0)),""))</f>
        <v/>
      </c>
      <c r="D96" s="149" t="n"/>
      <c r="E96" s="150">
        <f>IF($D96="","",IFERROR(INDEX(WBS_CBS!$C$5:$C$16,MATCH($D96,WBS_CBS!$A$5:$A$16,0)),""))</f>
        <v/>
      </c>
      <c r="F96" s="150">
        <f>IF($D96="","",IFERROR(INDEX(WBS_CBS!$J$5:$J$16,MATCH($D96,WBS_CBS!$A$5:$A$16,0)),""))</f>
        <v/>
      </c>
      <c r="G96" s="149" t="n"/>
      <c r="H96" s="151" t="n"/>
      <c r="I96" s="149" t="n"/>
      <c r="J96" s="152" t="n"/>
      <c r="K96" s="149" t="n"/>
      <c r="L96" s="153">
        <f>IF($K96="","",IFERROR(INDEX(FX_Rates!$B$5:$B$14,MATCH($K96,FX_Rates!$A$5:$A$14,0)),""))</f>
        <v/>
      </c>
      <c r="M96" s="153">
        <f>IF(OR($H96="",$J96=""),"",$H96*$J96)</f>
        <v/>
      </c>
      <c r="N96" s="153">
        <f>IF(OR($M96="",$L96=""),"",$M96*$L96)</f>
        <v/>
      </c>
      <c r="O96" s="149" t="n"/>
      <c r="P96" s="154">
        <f>IF($O96="","",IFERROR(INDEX(Basis_of_Estimate!$C$5:$C$9,MATCH($O96,Basis_of_Estimate!$A$5:$A$9,0)),""))</f>
        <v/>
      </c>
      <c r="Q96" s="154">
        <f>IF($O96="","",IFERROR(INDEX(Basis_of_Estimate!$D$5:$D$9,MATCH($O96,Basis_of_Estimate!$A$5:$A$9,0)),""))</f>
        <v/>
      </c>
      <c r="R96" s="153">
        <f>IF($N96="","",$N96*(1+$P96))</f>
        <v/>
      </c>
      <c r="S96" s="153">
        <f>IF($N96="","",$N96)</f>
        <v/>
      </c>
      <c r="T96" s="153">
        <f>IF($N96="","",$N96*(1+$Q96))</f>
        <v/>
      </c>
      <c r="U96" s="150">
        <f>IF($D96="","",IFERROR(INDEX(WBS_CBS!$M$5:$M$16,MATCH($D96,WBS_CBS!$A$5:$A$16,0)),"Yes"))</f>
        <v/>
      </c>
      <c r="V96" s="150">
        <f>IF($D96="","",IFERROR(INDEX(WBS_CBS!$N$5:$N$16,MATCH($D96,WBS_CBS!$A$5:$A$16,0)),"Yes"))</f>
        <v/>
      </c>
      <c r="W96" s="150">
        <f>IF($D96="","",IFERROR(INDEX(WBS_CBS!$K$5:$K$16,MATCH($D96,WBS_CBS!$A$5:$A$16,0)),""))</f>
        <v/>
      </c>
      <c r="X96" s="150">
        <f>IF($D96="","",IFERROR(INDEX(WBS_CBS!$F$5:$F$16,MATCH($D96,WBS_CBS!$A$5:$A$16,0)),""))</f>
        <v/>
      </c>
      <c r="Y96" s="149" t="n"/>
      <c r="Z96" s="149" t="n"/>
      <c r="AA96" s="150">
        <f>IF($D96="","",IFERROR(INDEX(WBS_CBS!$L$5:$L$16,MATCH($D96,WBS_CBS!$A$5:$A$16,0)),""))</f>
        <v/>
      </c>
      <c r="AB96" s="149" t="n"/>
    </row>
    <row r="97">
      <c r="A97" s="149" t="n"/>
      <c r="B97" s="149" t="n"/>
      <c r="C97" s="150">
        <f>IF($D97="","",IFERROR(INDEX(WBS_CBS!$E$5:$E$16,MATCH($D97,WBS_CBS!$A$5:$A$16,0)),""))</f>
        <v/>
      </c>
      <c r="D97" s="149" t="n"/>
      <c r="E97" s="150">
        <f>IF($D97="","",IFERROR(INDEX(WBS_CBS!$C$5:$C$16,MATCH($D97,WBS_CBS!$A$5:$A$16,0)),""))</f>
        <v/>
      </c>
      <c r="F97" s="150">
        <f>IF($D97="","",IFERROR(INDEX(WBS_CBS!$J$5:$J$16,MATCH($D97,WBS_CBS!$A$5:$A$16,0)),""))</f>
        <v/>
      </c>
      <c r="G97" s="149" t="n"/>
      <c r="H97" s="151" t="n"/>
      <c r="I97" s="149" t="n"/>
      <c r="J97" s="152" t="n"/>
      <c r="K97" s="149" t="n"/>
      <c r="L97" s="153">
        <f>IF($K97="","",IFERROR(INDEX(FX_Rates!$B$5:$B$14,MATCH($K97,FX_Rates!$A$5:$A$14,0)),""))</f>
        <v/>
      </c>
      <c r="M97" s="153">
        <f>IF(OR($H97="",$J97=""),"",$H97*$J97)</f>
        <v/>
      </c>
      <c r="N97" s="153">
        <f>IF(OR($M97="",$L97=""),"",$M97*$L97)</f>
        <v/>
      </c>
      <c r="O97" s="149" t="n"/>
      <c r="P97" s="154">
        <f>IF($O97="","",IFERROR(INDEX(Basis_of_Estimate!$C$5:$C$9,MATCH($O97,Basis_of_Estimate!$A$5:$A$9,0)),""))</f>
        <v/>
      </c>
      <c r="Q97" s="154">
        <f>IF($O97="","",IFERROR(INDEX(Basis_of_Estimate!$D$5:$D$9,MATCH($O97,Basis_of_Estimate!$A$5:$A$9,0)),""))</f>
        <v/>
      </c>
      <c r="R97" s="153">
        <f>IF($N97="","",$N97*(1+$P97))</f>
        <v/>
      </c>
      <c r="S97" s="153">
        <f>IF($N97="","",$N97)</f>
        <v/>
      </c>
      <c r="T97" s="153">
        <f>IF($N97="","",$N97*(1+$Q97))</f>
        <v/>
      </c>
      <c r="U97" s="150">
        <f>IF($D97="","",IFERROR(INDEX(WBS_CBS!$M$5:$M$16,MATCH($D97,WBS_CBS!$A$5:$A$16,0)),"Yes"))</f>
        <v/>
      </c>
      <c r="V97" s="150">
        <f>IF($D97="","",IFERROR(INDEX(WBS_CBS!$N$5:$N$16,MATCH($D97,WBS_CBS!$A$5:$A$16,0)),"Yes"))</f>
        <v/>
      </c>
      <c r="W97" s="150">
        <f>IF($D97="","",IFERROR(INDEX(WBS_CBS!$K$5:$K$16,MATCH($D97,WBS_CBS!$A$5:$A$16,0)),""))</f>
        <v/>
      </c>
      <c r="X97" s="150">
        <f>IF($D97="","",IFERROR(INDEX(WBS_CBS!$F$5:$F$16,MATCH($D97,WBS_CBS!$A$5:$A$16,0)),""))</f>
        <v/>
      </c>
      <c r="Y97" s="149" t="n"/>
      <c r="Z97" s="149" t="n"/>
      <c r="AA97" s="150">
        <f>IF($D97="","",IFERROR(INDEX(WBS_CBS!$L$5:$L$16,MATCH($D97,WBS_CBS!$A$5:$A$16,0)),""))</f>
        <v/>
      </c>
      <c r="AB97" s="149" t="n"/>
    </row>
    <row r="98">
      <c r="A98" s="149" t="n"/>
      <c r="B98" s="149" t="n"/>
      <c r="C98" s="150">
        <f>IF($D98="","",IFERROR(INDEX(WBS_CBS!$E$5:$E$16,MATCH($D98,WBS_CBS!$A$5:$A$16,0)),""))</f>
        <v/>
      </c>
      <c r="D98" s="149" t="n"/>
      <c r="E98" s="150">
        <f>IF($D98="","",IFERROR(INDEX(WBS_CBS!$C$5:$C$16,MATCH($D98,WBS_CBS!$A$5:$A$16,0)),""))</f>
        <v/>
      </c>
      <c r="F98" s="150">
        <f>IF($D98="","",IFERROR(INDEX(WBS_CBS!$J$5:$J$16,MATCH($D98,WBS_CBS!$A$5:$A$16,0)),""))</f>
        <v/>
      </c>
      <c r="G98" s="149" t="n"/>
      <c r="H98" s="151" t="n"/>
      <c r="I98" s="149" t="n"/>
      <c r="J98" s="152" t="n"/>
      <c r="K98" s="149" t="n"/>
      <c r="L98" s="153">
        <f>IF($K98="","",IFERROR(INDEX(FX_Rates!$B$5:$B$14,MATCH($K98,FX_Rates!$A$5:$A$14,0)),""))</f>
        <v/>
      </c>
      <c r="M98" s="153">
        <f>IF(OR($H98="",$J98=""),"",$H98*$J98)</f>
        <v/>
      </c>
      <c r="N98" s="153">
        <f>IF(OR($M98="",$L98=""),"",$M98*$L98)</f>
        <v/>
      </c>
      <c r="O98" s="149" t="n"/>
      <c r="P98" s="154">
        <f>IF($O98="","",IFERROR(INDEX(Basis_of_Estimate!$C$5:$C$9,MATCH($O98,Basis_of_Estimate!$A$5:$A$9,0)),""))</f>
        <v/>
      </c>
      <c r="Q98" s="154">
        <f>IF($O98="","",IFERROR(INDEX(Basis_of_Estimate!$D$5:$D$9,MATCH($O98,Basis_of_Estimate!$A$5:$A$9,0)),""))</f>
        <v/>
      </c>
      <c r="R98" s="153">
        <f>IF($N98="","",$N98*(1+$P98))</f>
        <v/>
      </c>
      <c r="S98" s="153">
        <f>IF($N98="","",$N98)</f>
        <v/>
      </c>
      <c r="T98" s="153">
        <f>IF($N98="","",$N98*(1+$Q98))</f>
        <v/>
      </c>
      <c r="U98" s="150">
        <f>IF($D98="","",IFERROR(INDEX(WBS_CBS!$M$5:$M$16,MATCH($D98,WBS_CBS!$A$5:$A$16,0)),"Yes"))</f>
        <v/>
      </c>
      <c r="V98" s="150">
        <f>IF($D98="","",IFERROR(INDEX(WBS_CBS!$N$5:$N$16,MATCH($D98,WBS_CBS!$A$5:$A$16,0)),"Yes"))</f>
        <v/>
      </c>
      <c r="W98" s="150">
        <f>IF($D98="","",IFERROR(INDEX(WBS_CBS!$K$5:$K$16,MATCH($D98,WBS_CBS!$A$5:$A$16,0)),""))</f>
        <v/>
      </c>
      <c r="X98" s="150">
        <f>IF($D98="","",IFERROR(INDEX(WBS_CBS!$F$5:$F$16,MATCH($D98,WBS_CBS!$A$5:$A$16,0)),""))</f>
        <v/>
      </c>
      <c r="Y98" s="149" t="n"/>
      <c r="Z98" s="149" t="n"/>
      <c r="AA98" s="150">
        <f>IF($D98="","",IFERROR(INDEX(WBS_CBS!$L$5:$L$16,MATCH($D98,WBS_CBS!$A$5:$A$16,0)),""))</f>
        <v/>
      </c>
      <c r="AB98" s="149" t="n"/>
    </row>
    <row r="99">
      <c r="A99" s="149" t="n"/>
      <c r="B99" s="149" t="n"/>
      <c r="C99" s="150">
        <f>IF($D99="","",IFERROR(INDEX(WBS_CBS!$E$5:$E$16,MATCH($D99,WBS_CBS!$A$5:$A$16,0)),""))</f>
        <v/>
      </c>
      <c r="D99" s="149" t="n"/>
      <c r="E99" s="150">
        <f>IF($D99="","",IFERROR(INDEX(WBS_CBS!$C$5:$C$16,MATCH($D99,WBS_CBS!$A$5:$A$16,0)),""))</f>
        <v/>
      </c>
      <c r="F99" s="150">
        <f>IF($D99="","",IFERROR(INDEX(WBS_CBS!$J$5:$J$16,MATCH($D99,WBS_CBS!$A$5:$A$16,0)),""))</f>
        <v/>
      </c>
      <c r="G99" s="149" t="n"/>
      <c r="H99" s="151" t="n"/>
      <c r="I99" s="149" t="n"/>
      <c r="J99" s="152" t="n"/>
      <c r="K99" s="149" t="n"/>
      <c r="L99" s="153">
        <f>IF($K99="","",IFERROR(INDEX(FX_Rates!$B$5:$B$14,MATCH($K99,FX_Rates!$A$5:$A$14,0)),""))</f>
        <v/>
      </c>
      <c r="M99" s="153">
        <f>IF(OR($H99="",$J99=""),"",$H99*$J99)</f>
        <v/>
      </c>
      <c r="N99" s="153">
        <f>IF(OR($M99="",$L99=""),"",$M99*$L99)</f>
        <v/>
      </c>
      <c r="O99" s="149" t="n"/>
      <c r="P99" s="154">
        <f>IF($O99="","",IFERROR(INDEX(Basis_of_Estimate!$C$5:$C$9,MATCH($O99,Basis_of_Estimate!$A$5:$A$9,0)),""))</f>
        <v/>
      </c>
      <c r="Q99" s="154">
        <f>IF($O99="","",IFERROR(INDEX(Basis_of_Estimate!$D$5:$D$9,MATCH($O99,Basis_of_Estimate!$A$5:$A$9,0)),""))</f>
        <v/>
      </c>
      <c r="R99" s="153">
        <f>IF($N99="","",$N99*(1+$P99))</f>
        <v/>
      </c>
      <c r="S99" s="153">
        <f>IF($N99="","",$N99)</f>
        <v/>
      </c>
      <c r="T99" s="153">
        <f>IF($N99="","",$N99*(1+$Q99))</f>
        <v/>
      </c>
      <c r="U99" s="150">
        <f>IF($D99="","",IFERROR(INDEX(WBS_CBS!$M$5:$M$16,MATCH($D99,WBS_CBS!$A$5:$A$16,0)),"Yes"))</f>
        <v/>
      </c>
      <c r="V99" s="150">
        <f>IF($D99="","",IFERROR(INDEX(WBS_CBS!$N$5:$N$16,MATCH($D99,WBS_CBS!$A$5:$A$16,0)),"Yes"))</f>
        <v/>
      </c>
      <c r="W99" s="150">
        <f>IF($D99="","",IFERROR(INDEX(WBS_CBS!$K$5:$K$16,MATCH($D99,WBS_CBS!$A$5:$A$16,0)),""))</f>
        <v/>
      </c>
      <c r="X99" s="150">
        <f>IF($D99="","",IFERROR(INDEX(WBS_CBS!$F$5:$F$16,MATCH($D99,WBS_CBS!$A$5:$A$16,0)),""))</f>
        <v/>
      </c>
      <c r="Y99" s="149" t="n"/>
      <c r="Z99" s="149" t="n"/>
      <c r="AA99" s="150">
        <f>IF($D99="","",IFERROR(INDEX(WBS_CBS!$L$5:$L$16,MATCH($D99,WBS_CBS!$A$5:$A$16,0)),""))</f>
        <v/>
      </c>
      <c r="AB99" s="149" t="n"/>
    </row>
    <row r="100">
      <c r="A100" s="149" t="n"/>
      <c r="B100" s="149" t="n"/>
      <c r="C100" s="150">
        <f>IF($D100="","",IFERROR(INDEX(WBS_CBS!$E$5:$E$16,MATCH($D100,WBS_CBS!$A$5:$A$16,0)),""))</f>
        <v/>
      </c>
      <c r="D100" s="149" t="n"/>
      <c r="E100" s="150">
        <f>IF($D100="","",IFERROR(INDEX(WBS_CBS!$C$5:$C$16,MATCH($D100,WBS_CBS!$A$5:$A$16,0)),""))</f>
        <v/>
      </c>
      <c r="F100" s="150">
        <f>IF($D100="","",IFERROR(INDEX(WBS_CBS!$J$5:$J$16,MATCH($D100,WBS_CBS!$A$5:$A$16,0)),""))</f>
        <v/>
      </c>
      <c r="G100" s="149" t="n"/>
      <c r="H100" s="151" t="n"/>
      <c r="I100" s="149" t="n"/>
      <c r="J100" s="152" t="n"/>
      <c r="K100" s="149" t="n"/>
      <c r="L100" s="153">
        <f>IF($K100="","",IFERROR(INDEX(FX_Rates!$B$5:$B$14,MATCH($K100,FX_Rates!$A$5:$A$14,0)),""))</f>
        <v/>
      </c>
      <c r="M100" s="153">
        <f>IF(OR($H100="",$J100=""),"",$H100*$J100)</f>
        <v/>
      </c>
      <c r="N100" s="153">
        <f>IF(OR($M100="",$L100=""),"",$M100*$L100)</f>
        <v/>
      </c>
      <c r="O100" s="149" t="n"/>
      <c r="P100" s="154">
        <f>IF($O100="","",IFERROR(INDEX(Basis_of_Estimate!$C$5:$C$9,MATCH($O100,Basis_of_Estimate!$A$5:$A$9,0)),""))</f>
        <v/>
      </c>
      <c r="Q100" s="154">
        <f>IF($O100="","",IFERROR(INDEX(Basis_of_Estimate!$D$5:$D$9,MATCH($O100,Basis_of_Estimate!$A$5:$A$9,0)),""))</f>
        <v/>
      </c>
      <c r="R100" s="153">
        <f>IF($N100="","",$N100*(1+$P100))</f>
        <v/>
      </c>
      <c r="S100" s="153">
        <f>IF($N100="","",$N100)</f>
        <v/>
      </c>
      <c r="T100" s="153">
        <f>IF($N100="","",$N100*(1+$Q100))</f>
        <v/>
      </c>
      <c r="U100" s="150">
        <f>IF($D100="","",IFERROR(INDEX(WBS_CBS!$M$5:$M$16,MATCH($D100,WBS_CBS!$A$5:$A$16,0)),"Yes"))</f>
        <v/>
      </c>
      <c r="V100" s="150">
        <f>IF($D100="","",IFERROR(INDEX(WBS_CBS!$N$5:$N$16,MATCH($D100,WBS_CBS!$A$5:$A$16,0)),"Yes"))</f>
        <v/>
      </c>
      <c r="W100" s="150">
        <f>IF($D100="","",IFERROR(INDEX(WBS_CBS!$K$5:$K$16,MATCH($D100,WBS_CBS!$A$5:$A$16,0)),""))</f>
        <v/>
      </c>
      <c r="X100" s="150">
        <f>IF($D100="","",IFERROR(INDEX(WBS_CBS!$F$5:$F$16,MATCH($D100,WBS_CBS!$A$5:$A$16,0)),""))</f>
        <v/>
      </c>
      <c r="Y100" s="149" t="n"/>
      <c r="Z100" s="149" t="n"/>
      <c r="AA100" s="150">
        <f>IF($D100="","",IFERROR(INDEX(WBS_CBS!$L$5:$L$16,MATCH($D100,WBS_CBS!$A$5:$A$16,0)),""))</f>
        <v/>
      </c>
      <c r="AB100" s="149" t="n"/>
    </row>
    <row r="101">
      <c r="A101" s="149" t="n"/>
      <c r="B101" s="149" t="n"/>
      <c r="C101" s="150">
        <f>IF($D101="","",IFERROR(INDEX(WBS_CBS!$E$5:$E$16,MATCH($D101,WBS_CBS!$A$5:$A$16,0)),""))</f>
        <v/>
      </c>
      <c r="D101" s="149" t="n"/>
      <c r="E101" s="150">
        <f>IF($D101="","",IFERROR(INDEX(WBS_CBS!$C$5:$C$16,MATCH($D101,WBS_CBS!$A$5:$A$16,0)),""))</f>
        <v/>
      </c>
      <c r="F101" s="150">
        <f>IF($D101="","",IFERROR(INDEX(WBS_CBS!$J$5:$J$16,MATCH($D101,WBS_CBS!$A$5:$A$16,0)),""))</f>
        <v/>
      </c>
      <c r="G101" s="149" t="n"/>
      <c r="H101" s="151" t="n"/>
      <c r="I101" s="149" t="n"/>
      <c r="J101" s="152" t="n"/>
      <c r="K101" s="149" t="n"/>
      <c r="L101" s="153">
        <f>IF($K101="","",IFERROR(INDEX(FX_Rates!$B$5:$B$14,MATCH($K101,FX_Rates!$A$5:$A$14,0)),""))</f>
        <v/>
      </c>
      <c r="M101" s="153">
        <f>IF(OR($H101="",$J101=""),"",$H101*$J101)</f>
        <v/>
      </c>
      <c r="N101" s="153">
        <f>IF(OR($M101="",$L101=""),"",$M101*$L101)</f>
        <v/>
      </c>
      <c r="O101" s="149" t="n"/>
      <c r="P101" s="154">
        <f>IF($O101="","",IFERROR(INDEX(Basis_of_Estimate!$C$5:$C$9,MATCH($O101,Basis_of_Estimate!$A$5:$A$9,0)),""))</f>
        <v/>
      </c>
      <c r="Q101" s="154">
        <f>IF($O101="","",IFERROR(INDEX(Basis_of_Estimate!$D$5:$D$9,MATCH($O101,Basis_of_Estimate!$A$5:$A$9,0)),""))</f>
        <v/>
      </c>
      <c r="R101" s="153">
        <f>IF($N101="","",$N101*(1+$P101))</f>
        <v/>
      </c>
      <c r="S101" s="153">
        <f>IF($N101="","",$N101)</f>
        <v/>
      </c>
      <c r="T101" s="153">
        <f>IF($N101="","",$N101*(1+$Q101))</f>
        <v/>
      </c>
      <c r="U101" s="150">
        <f>IF($D101="","",IFERROR(INDEX(WBS_CBS!$M$5:$M$16,MATCH($D101,WBS_CBS!$A$5:$A$16,0)),"Yes"))</f>
        <v/>
      </c>
      <c r="V101" s="150">
        <f>IF($D101="","",IFERROR(INDEX(WBS_CBS!$N$5:$N$16,MATCH($D101,WBS_CBS!$A$5:$A$16,0)),"Yes"))</f>
        <v/>
      </c>
      <c r="W101" s="150">
        <f>IF($D101="","",IFERROR(INDEX(WBS_CBS!$K$5:$K$16,MATCH($D101,WBS_CBS!$A$5:$A$16,0)),""))</f>
        <v/>
      </c>
      <c r="X101" s="150">
        <f>IF($D101="","",IFERROR(INDEX(WBS_CBS!$F$5:$F$16,MATCH($D101,WBS_CBS!$A$5:$A$16,0)),""))</f>
        <v/>
      </c>
      <c r="Y101" s="149" t="n"/>
      <c r="Z101" s="149" t="n"/>
      <c r="AA101" s="150">
        <f>IF($D101="","",IFERROR(INDEX(WBS_CBS!$L$5:$L$16,MATCH($D101,WBS_CBS!$A$5:$A$16,0)),""))</f>
        <v/>
      </c>
      <c r="AB101" s="149" t="n"/>
    </row>
    <row r="102">
      <c r="A102" s="149" t="n"/>
      <c r="B102" s="149" t="n"/>
      <c r="C102" s="150">
        <f>IF($D102="","",IFERROR(INDEX(WBS_CBS!$E$5:$E$16,MATCH($D102,WBS_CBS!$A$5:$A$16,0)),""))</f>
        <v/>
      </c>
      <c r="D102" s="149" t="n"/>
      <c r="E102" s="150">
        <f>IF($D102="","",IFERROR(INDEX(WBS_CBS!$C$5:$C$16,MATCH($D102,WBS_CBS!$A$5:$A$16,0)),""))</f>
        <v/>
      </c>
      <c r="F102" s="150">
        <f>IF($D102="","",IFERROR(INDEX(WBS_CBS!$J$5:$J$16,MATCH($D102,WBS_CBS!$A$5:$A$16,0)),""))</f>
        <v/>
      </c>
      <c r="G102" s="149" t="n"/>
      <c r="H102" s="151" t="n"/>
      <c r="I102" s="149" t="n"/>
      <c r="J102" s="152" t="n"/>
      <c r="K102" s="149" t="n"/>
      <c r="L102" s="153">
        <f>IF($K102="","",IFERROR(INDEX(FX_Rates!$B$5:$B$14,MATCH($K102,FX_Rates!$A$5:$A$14,0)),""))</f>
        <v/>
      </c>
      <c r="M102" s="153">
        <f>IF(OR($H102="",$J102=""),"",$H102*$J102)</f>
        <v/>
      </c>
      <c r="N102" s="153">
        <f>IF(OR($M102="",$L102=""),"",$M102*$L102)</f>
        <v/>
      </c>
      <c r="O102" s="149" t="n"/>
      <c r="P102" s="154">
        <f>IF($O102="","",IFERROR(INDEX(Basis_of_Estimate!$C$5:$C$9,MATCH($O102,Basis_of_Estimate!$A$5:$A$9,0)),""))</f>
        <v/>
      </c>
      <c r="Q102" s="154">
        <f>IF($O102="","",IFERROR(INDEX(Basis_of_Estimate!$D$5:$D$9,MATCH($O102,Basis_of_Estimate!$A$5:$A$9,0)),""))</f>
        <v/>
      </c>
      <c r="R102" s="153">
        <f>IF($N102="","",$N102*(1+$P102))</f>
        <v/>
      </c>
      <c r="S102" s="153">
        <f>IF($N102="","",$N102)</f>
        <v/>
      </c>
      <c r="T102" s="153">
        <f>IF($N102="","",$N102*(1+$Q102))</f>
        <v/>
      </c>
      <c r="U102" s="150">
        <f>IF($D102="","",IFERROR(INDEX(WBS_CBS!$M$5:$M$16,MATCH($D102,WBS_CBS!$A$5:$A$16,0)),"Yes"))</f>
        <v/>
      </c>
      <c r="V102" s="150">
        <f>IF($D102="","",IFERROR(INDEX(WBS_CBS!$N$5:$N$16,MATCH($D102,WBS_CBS!$A$5:$A$16,0)),"Yes"))</f>
        <v/>
      </c>
      <c r="W102" s="150">
        <f>IF($D102="","",IFERROR(INDEX(WBS_CBS!$K$5:$K$16,MATCH($D102,WBS_CBS!$A$5:$A$16,0)),""))</f>
        <v/>
      </c>
      <c r="X102" s="150">
        <f>IF($D102="","",IFERROR(INDEX(WBS_CBS!$F$5:$F$16,MATCH($D102,WBS_CBS!$A$5:$A$16,0)),""))</f>
        <v/>
      </c>
      <c r="Y102" s="149" t="n"/>
      <c r="Z102" s="149" t="n"/>
      <c r="AA102" s="150">
        <f>IF($D102="","",IFERROR(INDEX(WBS_CBS!$L$5:$L$16,MATCH($D102,WBS_CBS!$A$5:$A$16,0)),""))</f>
        <v/>
      </c>
      <c r="AB102" s="149" t="n"/>
    </row>
    <row r="103">
      <c r="A103" s="149" t="n"/>
      <c r="B103" s="149" t="n"/>
      <c r="C103" s="150">
        <f>IF($D103="","",IFERROR(INDEX(WBS_CBS!$E$5:$E$16,MATCH($D103,WBS_CBS!$A$5:$A$16,0)),""))</f>
        <v/>
      </c>
      <c r="D103" s="149" t="n"/>
      <c r="E103" s="150">
        <f>IF($D103="","",IFERROR(INDEX(WBS_CBS!$C$5:$C$16,MATCH($D103,WBS_CBS!$A$5:$A$16,0)),""))</f>
        <v/>
      </c>
      <c r="F103" s="150">
        <f>IF($D103="","",IFERROR(INDEX(WBS_CBS!$J$5:$J$16,MATCH($D103,WBS_CBS!$A$5:$A$16,0)),""))</f>
        <v/>
      </c>
      <c r="G103" s="149" t="n"/>
      <c r="H103" s="151" t="n"/>
      <c r="I103" s="149" t="n"/>
      <c r="J103" s="152" t="n"/>
      <c r="K103" s="149" t="n"/>
      <c r="L103" s="153">
        <f>IF($K103="","",IFERROR(INDEX(FX_Rates!$B$5:$B$14,MATCH($K103,FX_Rates!$A$5:$A$14,0)),""))</f>
        <v/>
      </c>
      <c r="M103" s="153">
        <f>IF(OR($H103="",$J103=""),"",$H103*$J103)</f>
        <v/>
      </c>
      <c r="N103" s="153">
        <f>IF(OR($M103="",$L103=""),"",$M103*$L103)</f>
        <v/>
      </c>
      <c r="O103" s="149" t="n"/>
      <c r="P103" s="154">
        <f>IF($O103="","",IFERROR(INDEX(Basis_of_Estimate!$C$5:$C$9,MATCH($O103,Basis_of_Estimate!$A$5:$A$9,0)),""))</f>
        <v/>
      </c>
      <c r="Q103" s="154">
        <f>IF($O103="","",IFERROR(INDEX(Basis_of_Estimate!$D$5:$D$9,MATCH($O103,Basis_of_Estimate!$A$5:$A$9,0)),""))</f>
        <v/>
      </c>
      <c r="R103" s="153">
        <f>IF($N103="","",$N103*(1+$P103))</f>
        <v/>
      </c>
      <c r="S103" s="153">
        <f>IF($N103="","",$N103)</f>
        <v/>
      </c>
      <c r="T103" s="153">
        <f>IF($N103="","",$N103*(1+$Q103))</f>
        <v/>
      </c>
      <c r="U103" s="150">
        <f>IF($D103="","",IFERROR(INDEX(WBS_CBS!$M$5:$M$16,MATCH($D103,WBS_CBS!$A$5:$A$16,0)),"Yes"))</f>
        <v/>
      </c>
      <c r="V103" s="150">
        <f>IF($D103="","",IFERROR(INDEX(WBS_CBS!$N$5:$N$16,MATCH($D103,WBS_CBS!$A$5:$A$16,0)),"Yes"))</f>
        <v/>
      </c>
      <c r="W103" s="150">
        <f>IF($D103="","",IFERROR(INDEX(WBS_CBS!$K$5:$K$16,MATCH($D103,WBS_CBS!$A$5:$A$16,0)),""))</f>
        <v/>
      </c>
      <c r="X103" s="150">
        <f>IF($D103="","",IFERROR(INDEX(WBS_CBS!$F$5:$F$16,MATCH($D103,WBS_CBS!$A$5:$A$16,0)),""))</f>
        <v/>
      </c>
      <c r="Y103" s="149" t="n"/>
      <c r="Z103" s="149" t="n"/>
      <c r="AA103" s="150">
        <f>IF($D103="","",IFERROR(INDEX(WBS_CBS!$L$5:$L$16,MATCH($D103,WBS_CBS!$A$5:$A$16,0)),""))</f>
        <v/>
      </c>
      <c r="AB103" s="149" t="n"/>
    </row>
    <row r="104">
      <c r="A104" s="149" t="n"/>
      <c r="B104" s="149" t="n"/>
      <c r="C104" s="150">
        <f>IF($D104="","",IFERROR(INDEX(WBS_CBS!$E$5:$E$16,MATCH($D104,WBS_CBS!$A$5:$A$16,0)),""))</f>
        <v/>
      </c>
      <c r="D104" s="149" t="n"/>
      <c r="E104" s="150">
        <f>IF($D104="","",IFERROR(INDEX(WBS_CBS!$C$5:$C$16,MATCH($D104,WBS_CBS!$A$5:$A$16,0)),""))</f>
        <v/>
      </c>
      <c r="F104" s="150">
        <f>IF($D104="","",IFERROR(INDEX(WBS_CBS!$J$5:$J$16,MATCH($D104,WBS_CBS!$A$5:$A$16,0)),""))</f>
        <v/>
      </c>
      <c r="G104" s="149" t="n"/>
      <c r="H104" s="151" t="n"/>
      <c r="I104" s="149" t="n"/>
      <c r="J104" s="152" t="n"/>
      <c r="K104" s="149" t="n"/>
      <c r="L104" s="153">
        <f>IF($K104="","",IFERROR(INDEX(FX_Rates!$B$5:$B$14,MATCH($K104,FX_Rates!$A$5:$A$14,0)),""))</f>
        <v/>
      </c>
      <c r="M104" s="153">
        <f>IF(OR($H104="",$J104=""),"",$H104*$J104)</f>
        <v/>
      </c>
      <c r="N104" s="153">
        <f>IF(OR($M104="",$L104=""),"",$M104*$L104)</f>
        <v/>
      </c>
      <c r="O104" s="149" t="n"/>
      <c r="P104" s="154">
        <f>IF($O104="","",IFERROR(INDEX(Basis_of_Estimate!$C$5:$C$9,MATCH($O104,Basis_of_Estimate!$A$5:$A$9,0)),""))</f>
        <v/>
      </c>
      <c r="Q104" s="154">
        <f>IF($O104="","",IFERROR(INDEX(Basis_of_Estimate!$D$5:$D$9,MATCH($O104,Basis_of_Estimate!$A$5:$A$9,0)),""))</f>
        <v/>
      </c>
      <c r="R104" s="153">
        <f>IF($N104="","",$N104*(1+$P104))</f>
        <v/>
      </c>
      <c r="S104" s="153">
        <f>IF($N104="","",$N104)</f>
        <v/>
      </c>
      <c r="T104" s="153">
        <f>IF($N104="","",$N104*(1+$Q104))</f>
        <v/>
      </c>
      <c r="U104" s="150">
        <f>IF($D104="","",IFERROR(INDEX(WBS_CBS!$M$5:$M$16,MATCH($D104,WBS_CBS!$A$5:$A$16,0)),"Yes"))</f>
        <v/>
      </c>
      <c r="V104" s="150">
        <f>IF($D104="","",IFERROR(INDEX(WBS_CBS!$N$5:$N$16,MATCH($D104,WBS_CBS!$A$5:$A$16,0)),"Yes"))</f>
        <v/>
      </c>
      <c r="W104" s="150">
        <f>IF($D104="","",IFERROR(INDEX(WBS_CBS!$K$5:$K$16,MATCH($D104,WBS_CBS!$A$5:$A$16,0)),""))</f>
        <v/>
      </c>
      <c r="X104" s="150">
        <f>IF($D104="","",IFERROR(INDEX(WBS_CBS!$F$5:$F$16,MATCH($D104,WBS_CBS!$A$5:$A$16,0)),""))</f>
        <v/>
      </c>
      <c r="Y104" s="149" t="n"/>
      <c r="Z104" s="149" t="n"/>
      <c r="AA104" s="150">
        <f>IF($D104="","",IFERROR(INDEX(WBS_CBS!$L$5:$L$16,MATCH($D104,WBS_CBS!$A$5:$A$16,0)),""))</f>
        <v/>
      </c>
      <c r="AB104" s="149" t="n"/>
    </row>
  </sheetData>
  <mergeCells count="2">
    <mergeCell ref="A2:AB2"/>
    <mergeCell ref="A1:AB1"/>
  </mergeCells>
  <dataValidations count="19">
    <dataValidation sqref="C5:C104" showDropDown="0" showInputMessage="0" showErrorMessage="0" allowBlank="0" type="list">
      <formula1>"Process,Mechanical,Piping,Civil,Electrical,Instrumentation,Automation,Construction,Project Management,Procurement,HSE,Commissioning,Owner,Other"</formula1>
    </dataValidation>
    <dataValidation sqref="D5:D104" showDropDown="0" showInputMessage="0" showErrorMessage="0" allowBlank="0" type="list">
      <formula1>"1.0,2.0,3.0,4.0,5.0,6.0,7.0,8.0,9.0,10.0,11.0,12.0"</formula1>
    </dataValidation>
    <dataValidation sqref="E5:E104" showDropDown="0" showInputMessage="0" showErrorMessage="0" allowBlank="0" type="list">
      <formula1>"PM,ENG,PROC,EQP,BULK,CIV,ELE,I&amp;A,CON,COM,OWN,OTH"</formula1>
    </dataValidation>
    <dataValidation sqref="F5:F104" showDropDown="0" showInputMessage="0" showErrorMessage="0" allowBlank="0" type="list">
      <formula1>"Direct Cost,Indirect Cost,Owner Cost,Manpower Cost,Other Cost"</formula1>
    </dataValidation>
    <dataValidation sqref="G5:G104" showDropDown="0" showInputMessage="0" showErrorMessage="0" allowBlank="0" type="list">
      <formula1>"Equipment,Bulk Material,Construction,Engineering,EPCM,Owner,Labour,Freight,Spares,Other"</formula1>
    </dataValidation>
    <dataValidation sqref="I5:I104" showDropDown="0" showInputMessage="0" showErrorMessage="0" allowBlank="0" type="list">
      <formula1>"lot,each,m,m2,m3,kg,ton,h,month,FTE-month"</formula1>
    </dataValidation>
    <dataValidation sqref="K5:K104" showDropDown="0" showInputMessage="0" showErrorMessage="0" allowBlank="0" type="list">
      <formula1>"EUR,USD,GBP,CHF,DKK,SEK,NOK,PLN,TRY,MAD"</formula1>
    </dataValidation>
    <dataValidation sqref="O5:O104" showDropDown="0" showInputMessage="0" showErrorMessage="0" allowBlank="0" type="list">
      <formula1>"Class 5,Class 4,Class 3,Class 2,Class 1"</formula1>
    </dataValidation>
    <dataValidation sqref="U5:V104" showDropDown="0" showInputMessage="0" showErrorMessage="0" allowBlank="0" type="list">
      <formula1>"Yes,No"</formula1>
    </dataValidation>
    <dataValidation sqref="W5:X104" showDropDown="0" showInputMessage="0" showErrorMessage="0" allowBlank="0" type="list">
      <formula1>"Engineering,Procurement,Construction,Commissioning,Other"</formula1>
    </dataValidation>
    <dataValidation sqref="AA5:AA104" showDropDown="0" showInputMessage="0" showErrorMessage="0" allowBlank="0" type="list">
      <formula1>"Linear,Front Loaded,Back Loaded,Bell Curve,Manual"</formula1>
    </dataValidation>
    <dataValidation sqref="D5:D104" showDropDown="0" showInputMessage="0" showErrorMessage="0" allowBlank="1" errorTitle="Invalid selection" error="Select a value from the list." type="list">
      <formula1>WBS_CBS!$A$5:$A$16</formula1>
    </dataValidation>
    <dataValidation sqref="K5:K104" showDropDown="0" showInputMessage="0" showErrorMessage="0" allowBlank="1" errorTitle="Invalid selection" error="Select a value from the list." type="list">
      <formula1>FX_Rates!$A$5:$A$14</formula1>
    </dataValidation>
    <dataValidation sqref="O5:O104" showDropDown="0" showInputMessage="0" showErrorMessage="0" allowBlank="1" errorTitle="Invalid selection" error="Select a value from the list." type="list">
      <formula1>Basis_of_Estimate!$A$5:$A$9</formula1>
    </dataValidation>
    <dataValidation sqref="U5:U104" showDropDown="0" showInputMessage="0" showErrorMessage="0" allowBlank="1" errorTitle="Invalid selection" error="Select a value from the list." type="list">
      <formula1>Lists_Config!$E$5:$E$6</formula1>
    </dataValidation>
    <dataValidation sqref="V5:V104" showDropDown="0" showInputMessage="0" showErrorMessage="0" allowBlank="1" errorTitle="Invalid selection" error="Select a value from the list." type="list">
      <formula1>Lists_Config!$E$5:$E$6</formula1>
    </dataValidation>
    <dataValidation sqref="AA5:AA104" showDropDown="0" showInputMessage="0" showErrorMessage="0" allowBlank="1" errorTitle="Invalid selection" error="Select a value from the list." type="list">
      <formula1>Lists_Config!$I$5:$I$8</formula1>
    </dataValidation>
    <dataValidation sqref="I5:I104" showDropDown="0" showInputMessage="0" showErrorMessage="0" allowBlank="1" errorTitle="Invalid selection" error="Select a value from the list." type="list">
      <formula1>Lists_Config!$J$5:$J$14</formula1>
    </dataValidation>
    <dataValidation sqref="G5:G104" showDropDown="0" showInputMessage="0" showErrorMessage="0" allowBlank="1" errorTitle="Invalid selection" error="Select a value from the list." type="list">
      <formula1>Lists_Config!$C$5:$C$13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tabColor rgb="005B9BD5"/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4.25"/>
  <cols>
    <col width="24" customWidth="1" style="70" min="1" max="1"/>
    <col width="12" customWidth="1" style="70" min="2" max="2"/>
    <col width="14" customWidth="1" style="70" min="3" max="3"/>
    <col width="38" customWidth="1" style="70" min="4" max="4"/>
    <col width="18" customWidth="1" style="70" min="5" max="9"/>
    <col width="12" customWidth="1" style="70" min="10" max="13"/>
    <col width="16" customWidth="1" style="70" min="14" max="22"/>
    <col width="18" customWidth="1" style="70" min="23" max="30"/>
  </cols>
  <sheetData>
    <row r="1" ht="27.95000076293945" customHeight="1" s="70">
      <c r="A1" s="66" t="inlineStr">
        <is>
          <t>Cost Register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</row>
    <row r="2" ht="21.95000076293945" customHeight="1" s="70">
      <c r="A2" s="67" t="inlineStr">
        <is>
          <t>Normalized single source of truth. Populated by BuildCostRegister; demo rows pre-loaded.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</row>
    <row r="4" ht="24" customHeight="1" s="70">
      <c r="A4" s="71" t="inlineStr">
        <is>
          <t>Source Sheet</t>
        </is>
      </c>
      <c r="B4" s="71" t="inlineStr">
        <is>
          <t>Source Row</t>
        </is>
      </c>
      <c r="C4" s="71" t="inlineStr">
        <is>
          <t>Item ID</t>
        </is>
      </c>
      <c r="D4" s="71" t="inlineStr">
        <is>
          <t>Description</t>
        </is>
      </c>
      <c r="E4" s="71" t="inlineStr">
        <is>
          <t>Discipline</t>
        </is>
      </c>
      <c r="F4" s="71" t="inlineStr">
        <is>
          <t>WBS</t>
        </is>
      </c>
      <c r="G4" s="71" t="inlineStr">
        <is>
          <t>CBS</t>
        </is>
      </c>
      <c r="H4" s="71" t="inlineStr">
        <is>
          <t>Cost Category</t>
        </is>
      </c>
      <c r="I4" s="71" t="inlineStr">
        <is>
          <t>Cost Type</t>
        </is>
      </c>
      <c r="J4" s="71" t="inlineStr">
        <is>
          <t>Quantity</t>
        </is>
      </c>
      <c r="K4" s="71" t="inlineStr">
        <is>
          <t>Unit</t>
        </is>
      </c>
      <c r="L4" s="71" t="inlineStr">
        <is>
          <t>Unit Rate</t>
        </is>
      </c>
      <c r="M4" s="71" t="inlineStr">
        <is>
          <t>Currency</t>
        </is>
      </c>
      <c r="N4" s="71" t="inlineStr">
        <is>
          <t>FX Rate</t>
        </is>
      </c>
      <c r="O4" s="71" t="inlineStr">
        <is>
          <t>Base Cost</t>
        </is>
      </c>
      <c r="P4" s="71" t="inlineStr">
        <is>
          <t>Base Cost EUR</t>
        </is>
      </c>
      <c r="Q4" s="71" t="inlineStr">
        <is>
          <t>Estimate Basis</t>
        </is>
      </c>
      <c r="R4" s="71" t="inlineStr">
        <is>
          <t>Accuracy Low %</t>
        </is>
      </c>
      <c r="S4" s="71" t="inlineStr">
        <is>
          <t>Accuracy High %</t>
        </is>
      </c>
      <c r="T4" s="71" t="inlineStr">
        <is>
          <t>Low Cost</t>
        </is>
      </c>
      <c r="U4" s="71" t="inlineStr">
        <is>
          <t>Most Likely Cost</t>
        </is>
      </c>
      <c r="V4" s="71" t="inlineStr">
        <is>
          <t>High Cost</t>
        </is>
      </c>
      <c r="W4" s="71" t="inlineStr">
        <is>
          <t>Contingency Eligible</t>
        </is>
      </c>
      <c r="X4" s="71" t="inlineStr">
        <is>
          <t>Escalation Eligible</t>
        </is>
      </c>
      <c r="Y4" s="71" t="inlineStr">
        <is>
          <t>Spend Category</t>
        </is>
      </c>
      <c r="Z4" s="71" t="inlineStr">
        <is>
          <t>Phase</t>
        </is>
      </c>
      <c r="AA4" s="71" t="inlineStr">
        <is>
          <t>Start Month</t>
        </is>
      </c>
      <c r="AB4" s="71" t="inlineStr">
        <is>
          <t>End Month</t>
        </is>
      </c>
      <c r="AC4" s="71" t="inlineStr">
        <is>
          <t>Spend Curve</t>
        </is>
      </c>
      <c r="AD4" s="71" t="inlineStr">
        <is>
          <t>Notes</t>
        </is>
      </c>
    </row>
    <row r="5">
      <c r="A5" t="inlineStr">
        <is>
          <t>Equipment_Estimate</t>
        </is>
      </c>
      <c r="B5" t="n">
        <v>2</v>
      </c>
      <c r="C5" t="inlineStr">
        <is>
          <t>EQ-001</t>
        </is>
      </c>
      <c r="D5" t="inlineStr">
        <is>
          <t>Process mixer package</t>
        </is>
      </c>
      <c r="E5" t="inlineStr">
        <is>
          <t>Mechanical</t>
        </is>
      </c>
      <c r="F5" t="inlineStr">
        <is>
          <t>4.0</t>
        </is>
      </c>
      <c r="G5" t="inlineStr">
        <is>
          <t>EQP</t>
        </is>
      </c>
      <c r="H5" t="inlineStr">
        <is>
          <t>Direct Cost</t>
        </is>
      </c>
      <c r="I5" t="inlineStr">
        <is>
          <t>Equipment</t>
        </is>
      </c>
      <c r="J5" t="n">
        <v>1</v>
      </c>
      <c r="K5" t="inlineStr">
        <is>
          <t>lot</t>
        </is>
      </c>
      <c r="L5" t="n">
        <v>2800000</v>
      </c>
      <c r="M5" t="inlineStr">
        <is>
          <t>EUR</t>
        </is>
      </c>
      <c r="N5" s="134" t="n">
        <v>1</v>
      </c>
      <c r="O5" s="134" t="n">
        <v>2800000</v>
      </c>
      <c r="P5" s="134" t="n">
        <v>2800000</v>
      </c>
      <c r="Q5" s="116" t="inlineStr">
        <is>
          <t>Class 3</t>
        </is>
      </c>
      <c r="R5" s="116" t="n">
        <v>-0.2</v>
      </c>
      <c r="S5" s="134" t="n">
        <v>0.3</v>
      </c>
      <c r="T5" s="134" t="n">
        <v>2240000</v>
      </c>
      <c r="U5" s="134" t="n">
        <v>2800000</v>
      </c>
      <c r="V5" t="n">
        <v>3640000</v>
      </c>
      <c r="W5" t="inlineStr">
        <is>
          <t>Yes</t>
        </is>
      </c>
      <c r="X5" t="inlineStr">
        <is>
          <t>Yes</t>
        </is>
      </c>
      <c r="Y5" t="inlineStr">
        <is>
          <t>Procurement</t>
        </is>
      </c>
      <c r="Z5" t="inlineStr">
        <is>
          <t>Procurement</t>
        </is>
      </c>
      <c r="AA5" s="115" t="n">
        <v>8</v>
      </c>
      <c r="AB5" s="115" t="n">
        <v>18</v>
      </c>
      <c r="AC5" t="inlineStr">
        <is>
          <t>Back Loaded</t>
        </is>
      </c>
    </row>
    <row r="6">
      <c r="A6" t="inlineStr">
        <is>
          <t>Equipment_Estimate</t>
        </is>
      </c>
      <c r="B6" t="n">
        <v>3</v>
      </c>
      <c r="C6" t="inlineStr">
        <is>
          <t>EQ-002</t>
        </is>
      </c>
      <c r="D6" t="inlineStr">
        <is>
          <t>Process vessels and tanks</t>
        </is>
      </c>
      <c r="E6" t="inlineStr">
        <is>
          <t>Mechanical</t>
        </is>
      </c>
      <c r="F6" t="inlineStr">
        <is>
          <t>4.0</t>
        </is>
      </c>
      <c r="G6" t="inlineStr">
        <is>
          <t>EQP</t>
        </is>
      </c>
      <c r="H6" t="inlineStr">
        <is>
          <t>Direct Cost</t>
        </is>
      </c>
      <c r="I6" t="inlineStr">
        <is>
          <t>Equipment</t>
        </is>
      </c>
      <c r="J6" t="n">
        <v>1</v>
      </c>
      <c r="K6" t="inlineStr">
        <is>
          <t>lot</t>
        </is>
      </c>
      <c r="L6" t="n">
        <v>3200000</v>
      </c>
      <c r="M6" t="inlineStr">
        <is>
          <t>EUR</t>
        </is>
      </c>
      <c r="N6" s="134" t="n">
        <v>1</v>
      </c>
      <c r="O6" s="134" t="n">
        <v>3200000</v>
      </c>
      <c r="P6" s="134" t="n">
        <v>3200000</v>
      </c>
      <c r="Q6" s="116" t="inlineStr">
        <is>
          <t>Class 3</t>
        </is>
      </c>
      <c r="R6" s="116" t="n">
        <v>-0.2</v>
      </c>
      <c r="S6" s="134" t="n">
        <v>0.3</v>
      </c>
      <c r="T6" s="134" t="n">
        <v>2560000</v>
      </c>
      <c r="U6" s="134" t="n">
        <v>3200000</v>
      </c>
      <c r="V6" t="n">
        <v>4160000</v>
      </c>
      <c r="W6" t="inlineStr">
        <is>
          <t>Yes</t>
        </is>
      </c>
      <c r="X6" t="inlineStr">
        <is>
          <t>Yes</t>
        </is>
      </c>
      <c r="Y6" t="inlineStr">
        <is>
          <t>Procurement</t>
        </is>
      </c>
      <c r="Z6" t="inlineStr">
        <is>
          <t>Procurement</t>
        </is>
      </c>
      <c r="AA6" s="115" t="n">
        <v>6</v>
      </c>
      <c r="AB6" s="115" t="n">
        <v>18</v>
      </c>
      <c r="AC6" t="inlineStr">
        <is>
          <t>Linear</t>
        </is>
      </c>
    </row>
    <row r="7">
      <c r="A7" t="inlineStr">
        <is>
          <t>Equipment_Estimate</t>
        </is>
      </c>
      <c r="B7" t="n">
        <v>4</v>
      </c>
      <c r="C7" t="inlineStr">
        <is>
          <t>EQ-003</t>
        </is>
      </c>
      <c r="D7" t="inlineStr">
        <is>
          <t>Pumping and transfer skids</t>
        </is>
      </c>
      <c r="E7" t="inlineStr">
        <is>
          <t>Mechanical</t>
        </is>
      </c>
      <c r="F7" t="inlineStr">
        <is>
          <t>4.0</t>
        </is>
      </c>
      <c r="G7" t="inlineStr">
        <is>
          <t>EQP</t>
        </is>
      </c>
      <c r="H7" t="inlineStr">
        <is>
          <t>Direct Cost</t>
        </is>
      </c>
      <c r="I7" t="inlineStr">
        <is>
          <t>Equipment</t>
        </is>
      </c>
      <c r="J7" t="n">
        <v>1</v>
      </c>
      <c r="K7" t="inlineStr">
        <is>
          <t>lot</t>
        </is>
      </c>
      <c r="L7" t="n">
        <v>2000000</v>
      </c>
      <c r="M7" t="inlineStr">
        <is>
          <t>EUR</t>
        </is>
      </c>
      <c r="N7" s="134" t="n">
        <v>1</v>
      </c>
      <c r="O7" s="134" t="n">
        <v>2000000</v>
      </c>
      <c r="P7" s="134" t="n">
        <v>2000000</v>
      </c>
      <c r="Q7" s="116" t="inlineStr">
        <is>
          <t>Class 3</t>
        </is>
      </c>
      <c r="R7" s="116" t="n">
        <v>-0.2</v>
      </c>
      <c r="S7" s="134" t="n">
        <v>0.3</v>
      </c>
      <c r="T7" s="134" t="n">
        <v>1600000</v>
      </c>
      <c r="U7" s="134" t="n">
        <v>2000000</v>
      </c>
      <c r="V7" t="n">
        <v>2600000</v>
      </c>
      <c r="W7" t="inlineStr">
        <is>
          <t>Yes</t>
        </is>
      </c>
      <c r="X7" t="inlineStr">
        <is>
          <t>Yes</t>
        </is>
      </c>
      <c r="Y7" t="inlineStr">
        <is>
          <t>Procurement</t>
        </is>
      </c>
      <c r="Z7" t="inlineStr">
        <is>
          <t>Procurement</t>
        </is>
      </c>
      <c r="AA7" s="115" t="n">
        <v>10</v>
      </c>
      <c r="AB7" s="115" t="n">
        <v>20</v>
      </c>
      <c r="AC7" t="inlineStr">
        <is>
          <t>Back Loaded</t>
        </is>
      </c>
    </row>
    <row r="8">
      <c r="A8" t="inlineStr">
        <is>
          <t>Equipment_Estimate</t>
        </is>
      </c>
      <c r="B8" t="n">
        <v>5</v>
      </c>
      <c r="C8" t="inlineStr">
        <is>
          <t>EQ-004</t>
        </is>
      </c>
      <c r="D8" t="inlineStr">
        <is>
          <t>Heat exchangers and utility skids</t>
        </is>
      </c>
      <c r="E8" t="inlineStr">
        <is>
          <t>Mechanical</t>
        </is>
      </c>
      <c r="F8" t="inlineStr">
        <is>
          <t>4.0</t>
        </is>
      </c>
      <c r="G8" t="inlineStr">
        <is>
          <t>EQP</t>
        </is>
      </c>
      <c r="H8" t="inlineStr">
        <is>
          <t>Direct Cost</t>
        </is>
      </c>
      <c r="I8" t="inlineStr">
        <is>
          <t>Equipment</t>
        </is>
      </c>
      <c r="J8" t="n">
        <v>1</v>
      </c>
      <c r="K8" t="inlineStr">
        <is>
          <t>lot</t>
        </is>
      </c>
      <c r="L8" t="n">
        <v>2400000</v>
      </c>
      <c r="M8" t="inlineStr">
        <is>
          <t>EUR</t>
        </is>
      </c>
      <c r="N8" s="134" t="n">
        <v>1</v>
      </c>
      <c r="O8" s="134" t="n">
        <v>2400000</v>
      </c>
      <c r="P8" s="134" t="n">
        <v>2400000</v>
      </c>
      <c r="Q8" s="116" t="inlineStr">
        <is>
          <t>Class 3</t>
        </is>
      </c>
      <c r="R8" s="116" t="n">
        <v>-0.2</v>
      </c>
      <c r="S8" s="134" t="n">
        <v>0.3</v>
      </c>
      <c r="T8" s="134" t="n">
        <v>1920000</v>
      </c>
      <c r="U8" s="134" t="n">
        <v>2400000</v>
      </c>
      <c r="V8" t="n">
        <v>3120000</v>
      </c>
      <c r="W8" t="inlineStr">
        <is>
          <t>Yes</t>
        </is>
      </c>
      <c r="X8" t="inlineStr">
        <is>
          <t>Yes</t>
        </is>
      </c>
      <c r="Y8" t="inlineStr">
        <is>
          <t>Procurement</t>
        </is>
      </c>
      <c r="Z8" t="inlineStr">
        <is>
          <t>Procurement</t>
        </is>
      </c>
      <c r="AA8" s="115" t="n">
        <v>9</v>
      </c>
      <c r="AB8" s="115" t="n">
        <v>21</v>
      </c>
      <c r="AC8" t="inlineStr">
        <is>
          <t>Back Loaded</t>
        </is>
      </c>
    </row>
    <row r="9">
      <c r="A9" t="inlineStr">
        <is>
          <t>Equipment_Estimate</t>
        </is>
      </c>
      <c r="B9" t="n">
        <v>6</v>
      </c>
      <c r="C9" t="inlineStr">
        <is>
          <t>EQ-005</t>
        </is>
      </c>
      <c r="D9" t="inlineStr">
        <is>
          <t>Equipment installation auxiliaries</t>
        </is>
      </c>
      <c r="E9" t="inlineStr">
        <is>
          <t>Mechanical</t>
        </is>
      </c>
      <c r="F9" t="inlineStr">
        <is>
          <t>4.0</t>
        </is>
      </c>
      <c r="G9" t="inlineStr">
        <is>
          <t>EQP</t>
        </is>
      </c>
      <c r="H9" t="inlineStr">
        <is>
          <t>Direct Cost</t>
        </is>
      </c>
      <c r="I9" t="inlineStr">
        <is>
          <t>Equipment</t>
        </is>
      </c>
      <c r="J9" t="n">
        <v>1</v>
      </c>
      <c r="K9" t="inlineStr">
        <is>
          <t>lot</t>
        </is>
      </c>
      <c r="L9" t="n">
        <v>1600000</v>
      </c>
      <c r="M9" t="inlineStr">
        <is>
          <t>EUR</t>
        </is>
      </c>
      <c r="N9" s="134" t="n">
        <v>1</v>
      </c>
      <c r="O9" s="134" t="n">
        <v>1600000</v>
      </c>
      <c r="P9" s="134" t="n">
        <v>1600000</v>
      </c>
      <c r="Q9" s="116" t="inlineStr">
        <is>
          <t>Class 3</t>
        </is>
      </c>
      <c r="R9" s="116" t="n">
        <v>-0.2</v>
      </c>
      <c r="S9" s="134" t="n">
        <v>0.3</v>
      </c>
      <c r="T9" s="134" t="n">
        <v>1280000</v>
      </c>
      <c r="U9" s="134" t="n">
        <v>1600000</v>
      </c>
      <c r="V9" t="n">
        <v>2080000</v>
      </c>
      <c r="W9" t="inlineStr">
        <is>
          <t>Yes</t>
        </is>
      </c>
      <c r="X9" t="inlineStr">
        <is>
          <t>Yes</t>
        </is>
      </c>
      <c r="Y9" t="inlineStr">
        <is>
          <t>Construction</t>
        </is>
      </c>
      <c r="Z9" t="inlineStr">
        <is>
          <t>Construction</t>
        </is>
      </c>
      <c r="AA9" s="115" t="n">
        <v>14</v>
      </c>
      <c r="AB9" s="115" t="n">
        <v>27</v>
      </c>
      <c r="AC9" t="inlineStr">
        <is>
          <t>Bell Curve</t>
        </is>
      </c>
    </row>
    <row r="10">
      <c r="A10" t="inlineStr">
        <is>
          <t>Electrical_Estimate</t>
        </is>
      </c>
      <c r="B10" t="n">
        <v>2</v>
      </c>
      <c r="C10" t="inlineStr">
        <is>
          <t>EL-001</t>
        </is>
      </c>
      <c r="D10" t="inlineStr">
        <is>
          <t>MV/LV substation package</t>
        </is>
      </c>
      <c r="E10" t="inlineStr">
        <is>
          <t>Electrical</t>
        </is>
      </c>
      <c r="F10" t="inlineStr">
        <is>
          <t>7.0</t>
        </is>
      </c>
      <c r="G10" t="inlineStr">
        <is>
          <t>ELE</t>
        </is>
      </c>
      <c r="H10" t="inlineStr">
        <is>
          <t>Direct Cost</t>
        </is>
      </c>
      <c r="I10" t="inlineStr">
        <is>
          <t>Equipment</t>
        </is>
      </c>
      <c r="J10" t="n">
        <v>1</v>
      </c>
      <c r="K10" t="inlineStr">
        <is>
          <t>lot</t>
        </is>
      </c>
      <c r="L10" t="n">
        <v>1400000</v>
      </c>
      <c r="M10" t="inlineStr">
        <is>
          <t>EUR</t>
        </is>
      </c>
      <c r="N10" s="134" t="n">
        <v>1</v>
      </c>
      <c r="O10" s="134" t="n">
        <v>1400000</v>
      </c>
      <c r="P10" s="134" t="n">
        <v>1400000</v>
      </c>
      <c r="Q10" s="116" t="inlineStr">
        <is>
          <t>Class 3</t>
        </is>
      </c>
      <c r="R10" s="116" t="n">
        <v>-0.2</v>
      </c>
      <c r="S10" s="134" t="n">
        <v>0.3</v>
      </c>
      <c r="T10" s="134" t="n">
        <v>1120000</v>
      </c>
      <c r="U10" s="134" t="n">
        <v>1400000</v>
      </c>
      <c r="V10" t="n">
        <v>1820000</v>
      </c>
      <c r="W10" t="inlineStr">
        <is>
          <t>Yes</t>
        </is>
      </c>
      <c r="X10" t="inlineStr">
        <is>
          <t>Yes</t>
        </is>
      </c>
      <c r="Y10" t="inlineStr">
        <is>
          <t>Procurement</t>
        </is>
      </c>
      <c r="Z10" t="inlineStr">
        <is>
          <t>Procurement</t>
        </is>
      </c>
      <c r="AA10" s="115" t="n">
        <v>8</v>
      </c>
      <c r="AB10" s="115" t="n">
        <v>18</v>
      </c>
      <c r="AC10" t="inlineStr">
        <is>
          <t>Back Loaded</t>
        </is>
      </c>
    </row>
    <row r="11">
      <c r="A11" t="inlineStr">
        <is>
          <t>Electrical_Estimate</t>
        </is>
      </c>
      <c r="B11" t="n">
        <v>3</v>
      </c>
      <c r="C11" t="inlineStr">
        <is>
          <t>EL-002</t>
        </is>
      </c>
      <c r="D11" t="inlineStr">
        <is>
          <t>MCC and distribution boards</t>
        </is>
      </c>
      <c r="E11" t="inlineStr">
        <is>
          <t>Electrical</t>
        </is>
      </c>
      <c r="F11" t="inlineStr">
        <is>
          <t>7.0</t>
        </is>
      </c>
      <c r="G11" t="inlineStr">
        <is>
          <t>ELE</t>
        </is>
      </c>
      <c r="H11" t="inlineStr">
        <is>
          <t>Direct Cost</t>
        </is>
      </c>
      <c r="I11" t="inlineStr">
        <is>
          <t>Equipment</t>
        </is>
      </c>
      <c r="J11" t="n">
        <v>1</v>
      </c>
      <c r="K11" t="inlineStr">
        <is>
          <t>lot</t>
        </is>
      </c>
      <c r="L11" t="n">
        <v>1200000</v>
      </c>
      <c r="M11" t="inlineStr">
        <is>
          <t>EUR</t>
        </is>
      </c>
      <c r="N11" s="134" t="n">
        <v>1</v>
      </c>
      <c r="O11" s="134" t="n">
        <v>1200000</v>
      </c>
      <c r="P11" s="134" t="n">
        <v>1200000</v>
      </c>
      <c r="Q11" s="116" t="inlineStr">
        <is>
          <t>Class 3</t>
        </is>
      </c>
      <c r="R11" s="116" t="n">
        <v>-0.2</v>
      </c>
      <c r="S11" s="134" t="n">
        <v>0.3</v>
      </c>
      <c r="T11" s="134" t="n">
        <v>960000</v>
      </c>
      <c r="U11" s="134" t="n">
        <v>1200000</v>
      </c>
      <c r="V11" t="n">
        <v>1560000</v>
      </c>
      <c r="W11" t="inlineStr">
        <is>
          <t>Yes</t>
        </is>
      </c>
      <c r="X11" t="inlineStr">
        <is>
          <t>Yes</t>
        </is>
      </c>
      <c r="Y11" t="inlineStr">
        <is>
          <t>Procurement</t>
        </is>
      </c>
      <c r="Z11" t="inlineStr">
        <is>
          <t>Procurement</t>
        </is>
      </c>
      <c r="AA11" s="115" t="n">
        <v>9</v>
      </c>
      <c r="AB11" s="115" t="n">
        <v>20</v>
      </c>
      <c r="AC11" t="inlineStr">
        <is>
          <t>Back Loaded</t>
        </is>
      </c>
    </row>
    <row r="12">
      <c r="A12" t="inlineStr">
        <is>
          <t>Electrical_Estimate</t>
        </is>
      </c>
      <c r="B12" t="n">
        <v>4</v>
      </c>
      <c r="C12" t="inlineStr">
        <is>
          <t>EL-003</t>
        </is>
      </c>
      <c r="D12" t="inlineStr">
        <is>
          <t>Cable trays, cabling and termination</t>
        </is>
      </c>
      <c r="E12" t="inlineStr">
        <is>
          <t>Electrical</t>
        </is>
      </c>
      <c r="F12" t="inlineStr">
        <is>
          <t>7.0</t>
        </is>
      </c>
      <c r="G12" t="inlineStr">
        <is>
          <t>ELE</t>
        </is>
      </c>
      <c r="H12" t="inlineStr">
        <is>
          <t>Direct Cost</t>
        </is>
      </c>
      <c r="I12" t="inlineStr">
        <is>
          <t>Bulk Material</t>
        </is>
      </c>
      <c r="J12" t="n">
        <v>1</v>
      </c>
      <c r="K12" t="inlineStr">
        <is>
          <t>lot</t>
        </is>
      </c>
      <c r="L12" t="n">
        <v>1600000</v>
      </c>
      <c r="M12" t="inlineStr">
        <is>
          <t>EUR</t>
        </is>
      </c>
      <c r="N12" s="134" t="n">
        <v>1</v>
      </c>
      <c r="O12" s="134" t="n">
        <v>1600000</v>
      </c>
      <c r="P12" s="134" t="n">
        <v>1600000</v>
      </c>
      <c r="Q12" s="116" t="inlineStr">
        <is>
          <t>Class 3</t>
        </is>
      </c>
      <c r="R12" s="116" t="n">
        <v>-0.2</v>
      </c>
      <c r="S12" s="134" t="n">
        <v>0.3</v>
      </c>
      <c r="T12" s="134" t="n">
        <v>1280000</v>
      </c>
      <c r="U12" s="134" t="n">
        <v>1600000</v>
      </c>
      <c r="V12" t="n">
        <v>2080000</v>
      </c>
      <c r="W12" t="inlineStr">
        <is>
          <t>Yes</t>
        </is>
      </c>
      <c r="X12" t="inlineStr">
        <is>
          <t>Yes</t>
        </is>
      </c>
      <c r="Y12" t="inlineStr">
        <is>
          <t>Construction</t>
        </is>
      </c>
      <c r="Z12" t="inlineStr">
        <is>
          <t>Construction</t>
        </is>
      </c>
      <c r="AA12" s="115" t="n">
        <v>15</v>
      </c>
      <c r="AB12" s="115" t="n">
        <v>30</v>
      </c>
      <c r="AC12" t="inlineStr">
        <is>
          <t>Linear</t>
        </is>
      </c>
    </row>
    <row r="13">
      <c r="A13" t="inlineStr">
        <is>
          <t>Electrical_Estimate</t>
        </is>
      </c>
      <c r="B13" t="n">
        <v>5</v>
      </c>
      <c r="C13" t="inlineStr">
        <is>
          <t>EL-004</t>
        </is>
      </c>
      <c r="D13" t="inlineStr">
        <is>
          <t>Lighting, earthing and small power</t>
        </is>
      </c>
      <c r="E13" t="inlineStr">
        <is>
          <t>Electrical</t>
        </is>
      </c>
      <c r="F13" t="inlineStr">
        <is>
          <t>7.0</t>
        </is>
      </c>
      <c r="G13" t="inlineStr">
        <is>
          <t>ELE</t>
        </is>
      </c>
      <c r="H13" t="inlineStr">
        <is>
          <t>Direct Cost</t>
        </is>
      </c>
      <c r="I13" t="inlineStr">
        <is>
          <t>Construction</t>
        </is>
      </c>
      <c r="J13" t="n">
        <v>1</v>
      </c>
      <c r="K13" t="inlineStr">
        <is>
          <t>lot</t>
        </is>
      </c>
      <c r="L13" t="n">
        <v>800000</v>
      </c>
      <c r="M13" t="inlineStr">
        <is>
          <t>EUR</t>
        </is>
      </c>
      <c r="N13" s="134" t="n">
        <v>1</v>
      </c>
      <c r="O13" s="134" t="n">
        <v>800000</v>
      </c>
      <c r="P13" s="134" t="n">
        <v>800000</v>
      </c>
      <c r="Q13" s="116" t="inlineStr">
        <is>
          <t>Class 3</t>
        </is>
      </c>
      <c r="R13" s="116" t="n">
        <v>-0.2</v>
      </c>
      <c r="S13" s="134" t="n">
        <v>0.3</v>
      </c>
      <c r="T13" s="134" t="n">
        <v>640000</v>
      </c>
      <c r="U13" s="134" t="n">
        <v>800000</v>
      </c>
      <c r="V13" t="n">
        <v>1040000</v>
      </c>
      <c r="W13" t="inlineStr">
        <is>
          <t>Yes</t>
        </is>
      </c>
      <c r="X13" t="inlineStr">
        <is>
          <t>Yes</t>
        </is>
      </c>
      <c r="Y13" t="inlineStr">
        <is>
          <t>Construction</t>
        </is>
      </c>
      <c r="Z13" t="inlineStr">
        <is>
          <t>Construction</t>
        </is>
      </c>
      <c r="AA13" s="115" t="n">
        <v>18</v>
      </c>
      <c r="AB13" s="115" t="n">
        <v>31</v>
      </c>
      <c r="AC13" t="inlineStr">
        <is>
          <t>Linear</t>
        </is>
      </c>
    </row>
    <row r="14">
      <c r="A14" t="inlineStr">
        <is>
          <t>Instrumentation_Automation</t>
        </is>
      </c>
      <c r="B14" t="n">
        <v>2</v>
      </c>
      <c r="C14" t="inlineStr">
        <is>
          <t>IA-001</t>
        </is>
      </c>
      <c r="D14" t="inlineStr">
        <is>
          <t>PLC/DCS hardware and software</t>
        </is>
      </c>
      <c r="E14" t="inlineStr">
        <is>
          <t>Automation</t>
        </is>
      </c>
      <c r="F14" t="inlineStr">
        <is>
          <t>8.0</t>
        </is>
      </c>
      <c r="G14" t="inlineStr">
        <is>
          <t>I&amp;A</t>
        </is>
      </c>
      <c r="H14" t="inlineStr">
        <is>
          <t>Direct Cost</t>
        </is>
      </c>
      <c r="I14" t="inlineStr">
        <is>
          <t>Equipment</t>
        </is>
      </c>
      <c r="J14" t="n">
        <v>1</v>
      </c>
      <c r="K14" t="inlineStr">
        <is>
          <t>lot</t>
        </is>
      </c>
      <c r="L14" t="n">
        <v>1200000</v>
      </c>
      <c r="M14" t="inlineStr">
        <is>
          <t>EUR</t>
        </is>
      </c>
      <c r="N14" s="134" t="n">
        <v>1</v>
      </c>
      <c r="O14" s="134" t="n">
        <v>1200000</v>
      </c>
      <c r="P14" s="134" t="n">
        <v>1200000</v>
      </c>
      <c r="Q14" s="116" t="inlineStr">
        <is>
          <t>Class 3</t>
        </is>
      </c>
      <c r="R14" s="116" t="n">
        <v>-0.2</v>
      </c>
      <c r="S14" s="134" t="n">
        <v>0.3</v>
      </c>
      <c r="T14" s="134" t="n">
        <v>960000</v>
      </c>
      <c r="U14" s="134" t="n">
        <v>1200000</v>
      </c>
      <c r="V14" t="n">
        <v>1560000</v>
      </c>
      <c r="W14" t="inlineStr">
        <is>
          <t>Yes</t>
        </is>
      </c>
      <c r="X14" t="inlineStr">
        <is>
          <t>Yes</t>
        </is>
      </c>
      <c r="Y14" t="inlineStr">
        <is>
          <t>Procurement</t>
        </is>
      </c>
      <c r="Z14" t="inlineStr">
        <is>
          <t>Procurement</t>
        </is>
      </c>
      <c r="AA14" s="115" t="n">
        <v>8</v>
      </c>
      <c r="AB14" s="115" t="n">
        <v>22</v>
      </c>
      <c r="AC14" t="inlineStr">
        <is>
          <t>Back Loaded</t>
        </is>
      </c>
    </row>
    <row r="15">
      <c r="A15" t="inlineStr">
        <is>
          <t>Instrumentation_Automation</t>
        </is>
      </c>
      <c r="B15" t="n">
        <v>3</v>
      </c>
      <c r="C15" t="inlineStr">
        <is>
          <t>IA-002</t>
        </is>
      </c>
      <c r="D15" t="inlineStr">
        <is>
          <t>Field instrumentation and valves</t>
        </is>
      </c>
      <c r="E15" t="inlineStr">
        <is>
          <t>Instrumentation</t>
        </is>
      </c>
      <c r="F15" t="inlineStr">
        <is>
          <t>8.0</t>
        </is>
      </c>
      <c r="G15" t="inlineStr">
        <is>
          <t>I&amp;A</t>
        </is>
      </c>
      <c r="H15" t="inlineStr">
        <is>
          <t>Direct Cost</t>
        </is>
      </c>
      <c r="I15" t="inlineStr">
        <is>
          <t>Equipment</t>
        </is>
      </c>
      <c r="J15" t="n">
        <v>1</v>
      </c>
      <c r="K15" t="inlineStr">
        <is>
          <t>lot</t>
        </is>
      </c>
      <c r="L15" t="n">
        <v>1000000</v>
      </c>
      <c r="M15" t="inlineStr">
        <is>
          <t>EUR</t>
        </is>
      </c>
      <c r="N15" s="134" t="n">
        <v>1</v>
      </c>
      <c r="O15" s="134" t="n">
        <v>1000000</v>
      </c>
      <c r="P15" s="134" t="n">
        <v>1000000</v>
      </c>
      <c r="Q15" s="116" t="inlineStr">
        <is>
          <t>Class 3</t>
        </is>
      </c>
      <c r="R15" s="116" t="n">
        <v>-0.2</v>
      </c>
      <c r="S15" s="134" t="n">
        <v>0.3</v>
      </c>
      <c r="T15" s="134" t="n">
        <v>800000</v>
      </c>
      <c r="U15" s="134" t="n">
        <v>1000000</v>
      </c>
      <c r="V15" t="n">
        <v>1300000</v>
      </c>
      <c r="W15" t="inlineStr">
        <is>
          <t>Yes</t>
        </is>
      </c>
      <c r="X15" t="inlineStr">
        <is>
          <t>Yes</t>
        </is>
      </c>
      <c r="Y15" t="inlineStr">
        <is>
          <t>Procurement</t>
        </is>
      </c>
      <c r="Z15" t="inlineStr">
        <is>
          <t>Procurement</t>
        </is>
      </c>
      <c r="AA15" s="115" t="n">
        <v>10</v>
      </c>
      <c r="AB15" s="115" t="n">
        <v>25</v>
      </c>
      <c r="AC15" t="inlineStr">
        <is>
          <t>Linear</t>
        </is>
      </c>
    </row>
    <row r="16">
      <c r="A16" t="inlineStr">
        <is>
          <t>Instrumentation_Automation</t>
        </is>
      </c>
      <c r="B16" t="n">
        <v>4</v>
      </c>
      <c r="C16" t="inlineStr">
        <is>
          <t>IA-003</t>
        </is>
      </c>
      <c r="D16" t="inlineStr">
        <is>
          <t>Automation engineering and commissioning</t>
        </is>
      </c>
      <c r="E16" t="inlineStr">
        <is>
          <t>Automation</t>
        </is>
      </c>
      <c r="F16" t="inlineStr">
        <is>
          <t>8.0</t>
        </is>
      </c>
      <c r="G16" t="inlineStr">
        <is>
          <t>I&amp;A</t>
        </is>
      </c>
      <c r="H16" t="inlineStr">
        <is>
          <t>Direct Cost</t>
        </is>
      </c>
      <c r="I16" t="inlineStr">
        <is>
          <t>Engineering</t>
        </is>
      </c>
      <c r="J16" t="n">
        <v>1</v>
      </c>
      <c r="K16" t="inlineStr">
        <is>
          <t>lot</t>
        </is>
      </c>
      <c r="L16" t="n">
        <v>800000</v>
      </c>
      <c r="M16" t="inlineStr">
        <is>
          <t>EUR</t>
        </is>
      </c>
      <c r="N16" s="134" t="n">
        <v>1</v>
      </c>
      <c r="O16" s="134" t="n">
        <v>800000</v>
      </c>
      <c r="P16" s="134" t="n">
        <v>800000</v>
      </c>
      <c r="Q16" s="116" t="inlineStr">
        <is>
          <t>Class 3</t>
        </is>
      </c>
      <c r="R16" s="116" t="n">
        <v>-0.2</v>
      </c>
      <c r="S16" s="134" t="n">
        <v>0.3</v>
      </c>
      <c r="T16" s="134" t="n">
        <v>640000</v>
      </c>
      <c r="U16" s="134" t="n">
        <v>800000</v>
      </c>
      <c r="V16" t="n">
        <v>1040000</v>
      </c>
      <c r="W16" t="inlineStr">
        <is>
          <t>Yes</t>
        </is>
      </c>
      <c r="X16" t="inlineStr">
        <is>
          <t>Yes</t>
        </is>
      </c>
      <c r="Y16" t="inlineStr">
        <is>
          <t>Engineering</t>
        </is>
      </c>
      <c r="Z16" t="inlineStr">
        <is>
          <t>Engineering</t>
        </is>
      </c>
      <c r="AA16" s="115" t="n">
        <v>4</v>
      </c>
      <c r="AB16" s="115" t="n">
        <v>35</v>
      </c>
      <c r="AC16" t="inlineStr">
        <is>
          <t>Bell Curve</t>
        </is>
      </c>
    </row>
    <row r="17">
      <c r="A17" t="inlineStr">
        <is>
          <t>Bulk_Materials_QTO</t>
        </is>
      </c>
      <c r="B17" t="n">
        <v>2</v>
      </c>
      <c r="C17" t="inlineStr">
        <is>
          <t>BM-001</t>
        </is>
      </c>
      <c r="D17" t="inlineStr">
        <is>
          <t>Process piping supply</t>
        </is>
      </c>
      <c r="E17" t="inlineStr">
        <is>
          <t>Piping</t>
        </is>
      </c>
      <c r="F17" t="inlineStr">
        <is>
          <t>5.0</t>
        </is>
      </c>
      <c r="G17" t="inlineStr">
        <is>
          <t>BULK</t>
        </is>
      </c>
      <c r="H17" t="inlineStr">
        <is>
          <t>Direct Cost</t>
        </is>
      </c>
      <c r="I17" t="inlineStr">
        <is>
          <t>Bulk Material</t>
        </is>
      </c>
      <c r="J17" t="n">
        <v>1</v>
      </c>
      <c r="K17" t="inlineStr">
        <is>
          <t>lot</t>
        </is>
      </c>
      <c r="L17" t="n">
        <v>2100000</v>
      </c>
      <c r="M17" t="inlineStr">
        <is>
          <t>EUR</t>
        </is>
      </c>
      <c r="N17" s="134" t="n">
        <v>1</v>
      </c>
      <c r="O17" s="134" t="n">
        <v>2100000</v>
      </c>
      <c r="P17" s="134" t="n">
        <v>2100000</v>
      </c>
      <c r="Q17" s="116" t="inlineStr">
        <is>
          <t>Class 3</t>
        </is>
      </c>
      <c r="R17" s="116" t="n">
        <v>-0.2</v>
      </c>
      <c r="S17" s="134" t="n">
        <v>0.3</v>
      </c>
      <c r="T17" s="134" t="n">
        <v>1680000</v>
      </c>
      <c r="U17" s="134" t="n">
        <v>2100000</v>
      </c>
      <c r="V17" t="n">
        <v>2730000</v>
      </c>
      <c r="W17" t="inlineStr">
        <is>
          <t>Yes</t>
        </is>
      </c>
      <c r="X17" t="inlineStr">
        <is>
          <t>Yes</t>
        </is>
      </c>
      <c r="Y17" t="inlineStr">
        <is>
          <t>Procurement</t>
        </is>
      </c>
      <c r="Z17" t="inlineStr">
        <is>
          <t>Procurement</t>
        </is>
      </c>
      <c r="AA17" s="115" t="n">
        <v>10</v>
      </c>
      <c r="AB17" s="115" t="n">
        <v>25</v>
      </c>
      <c r="AC17" t="inlineStr">
        <is>
          <t>Linear</t>
        </is>
      </c>
    </row>
    <row r="18">
      <c r="A18" t="inlineStr">
        <is>
          <t>Bulk_Materials_QTO</t>
        </is>
      </c>
      <c r="B18" t="n">
        <v>3</v>
      </c>
      <c r="C18" t="inlineStr">
        <is>
          <t>BM-002</t>
        </is>
      </c>
      <c r="D18" t="inlineStr">
        <is>
          <t>Manual and control valves</t>
        </is>
      </c>
      <c r="E18" t="inlineStr">
        <is>
          <t>Piping</t>
        </is>
      </c>
      <c r="F18" t="inlineStr">
        <is>
          <t>5.0</t>
        </is>
      </c>
      <c r="G18" t="inlineStr">
        <is>
          <t>BULK</t>
        </is>
      </c>
      <c r="H18" t="inlineStr">
        <is>
          <t>Direct Cost</t>
        </is>
      </c>
      <c r="I18" t="inlineStr">
        <is>
          <t>Bulk Material</t>
        </is>
      </c>
      <c r="J18" t="n">
        <v>1</v>
      </c>
      <c r="K18" t="inlineStr">
        <is>
          <t>lot</t>
        </is>
      </c>
      <c r="L18" t="n">
        <v>1100000</v>
      </c>
      <c r="M18" t="inlineStr">
        <is>
          <t>EUR</t>
        </is>
      </c>
      <c r="N18" s="134" t="n">
        <v>1</v>
      </c>
      <c r="O18" s="134" t="n">
        <v>1100000</v>
      </c>
      <c r="P18" s="134" t="n">
        <v>1100000</v>
      </c>
      <c r="Q18" s="116" t="inlineStr">
        <is>
          <t>Class 3</t>
        </is>
      </c>
      <c r="R18" s="116" t="n">
        <v>-0.2</v>
      </c>
      <c r="S18" s="134" t="n">
        <v>0.3</v>
      </c>
      <c r="T18" s="134" t="n">
        <v>880000</v>
      </c>
      <c r="U18" s="134" t="n">
        <v>1100000</v>
      </c>
      <c r="V18" t="n">
        <v>1430000</v>
      </c>
      <c r="W18" t="inlineStr">
        <is>
          <t>Yes</t>
        </is>
      </c>
      <c r="X18" t="inlineStr">
        <is>
          <t>Yes</t>
        </is>
      </c>
      <c r="Y18" t="inlineStr">
        <is>
          <t>Procurement</t>
        </is>
      </c>
      <c r="Z18" t="inlineStr">
        <is>
          <t>Procurement</t>
        </is>
      </c>
      <c r="AA18" s="115" t="n">
        <v>9</v>
      </c>
      <c r="AB18" s="115" t="n">
        <v>24</v>
      </c>
      <c r="AC18" t="inlineStr">
        <is>
          <t>Back Loaded</t>
        </is>
      </c>
    </row>
    <row r="19">
      <c r="A19" t="inlineStr">
        <is>
          <t>Bulk_Materials_QTO</t>
        </is>
      </c>
      <c r="B19" t="n">
        <v>4</v>
      </c>
      <c r="C19" t="inlineStr">
        <is>
          <t>BM-003</t>
        </is>
      </c>
      <c r="D19" t="inlineStr">
        <is>
          <t>Insulation, painting and tracing</t>
        </is>
      </c>
      <c r="E19" t="inlineStr">
        <is>
          <t>Piping</t>
        </is>
      </c>
      <c r="F19" t="inlineStr">
        <is>
          <t>5.0</t>
        </is>
      </c>
      <c r="G19" t="inlineStr">
        <is>
          <t>BULK</t>
        </is>
      </c>
      <c r="H19" t="inlineStr">
        <is>
          <t>Direct Cost</t>
        </is>
      </c>
      <c r="I19" t="inlineStr">
        <is>
          <t>Bulk Material</t>
        </is>
      </c>
      <c r="J19" t="n">
        <v>1</v>
      </c>
      <c r="K19" t="inlineStr">
        <is>
          <t>lot</t>
        </is>
      </c>
      <c r="L19" t="n">
        <v>800000</v>
      </c>
      <c r="M19" t="inlineStr">
        <is>
          <t>EUR</t>
        </is>
      </c>
      <c r="N19" s="134" t="n">
        <v>1</v>
      </c>
      <c r="O19" s="134" t="n">
        <v>800000</v>
      </c>
      <c r="P19" s="134" t="n">
        <v>800000</v>
      </c>
      <c r="Q19" s="116" t="inlineStr">
        <is>
          <t>Class 3</t>
        </is>
      </c>
      <c r="R19" s="116" t="n">
        <v>-0.2</v>
      </c>
      <c r="S19" s="134" t="n">
        <v>0.3</v>
      </c>
      <c r="T19" s="134" t="n">
        <v>640000</v>
      </c>
      <c r="U19" s="134" t="n">
        <v>800000</v>
      </c>
      <c r="V19" t="n">
        <v>1040000</v>
      </c>
      <c r="W19" t="inlineStr">
        <is>
          <t>Yes</t>
        </is>
      </c>
      <c r="X19" t="inlineStr">
        <is>
          <t>Yes</t>
        </is>
      </c>
      <c r="Y19" t="inlineStr">
        <is>
          <t>Construction</t>
        </is>
      </c>
      <c r="Z19" t="inlineStr">
        <is>
          <t>Construction</t>
        </is>
      </c>
      <c r="AA19" s="115" t="n">
        <v>18</v>
      </c>
      <c r="AB19" s="115" t="n">
        <v>33</v>
      </c>
      <c r="AC19" t="inlineStr">
        <is>
          <t>Linear</t>
        </is>
      </c>
    </row>
    <row r="20">
      <c r="A20" t="inlineStr">
        <is>
          <t>Construction_Estimate</t>
        </is>
      </c>
      <c r="B20" t="n">
        <v>2</v>
      </c>
      <c r="C20" t="inlineStr">
        <is>
          <t>CN-001</t>
        </is>
      </c>
      <c r="D20" t="inlineStr">
        <is>
          <t>Civil works and foundations</t>
        </is>
      </c>
      <c r="E20" t="inlineStr">
        <is>
          <t>Civil</t>
        </is>
      </c>
      <c r="F20" t="inlineStr">
        <is>
          <t>6.0</t>
        </is>
      </c>
      <c r="G20" t="inlineStr">
        <is>
          <t>CIV</t>
        </is>
      </c>
      <c r="H20" t="inlineStr">
        <is>
          <t>Direct Cost</t>
        </is>
      </c>
      <c r="I20" t="inlineStr">
        <is>
          <t>Construction</t>
        </is>
      </c>
      <c r="J20" t="n">
        <v>1</v>
      </c>
      <c r="K20" t="inlineStr">
        <is>
          <t>lot</t>
        </is>
      </c>
      <c r="L20" t="n">
        <v>2000000</v>
      </c>
      <c r="M20" t="inlineStr">
        <is>
          <t>EUR</t>
        </is>
      </c>
      <c r="N20" s="134" t="n">
        <v>1</v>
      </c>
      <c r="O20" s="134" t="n">
        <v>2000000</v>
      </c>
      <c r="P20" s="134" t="n">
        <v>2000000</v>
      </c>
      <c r="Q20" s="116" t="inlineStr">
        <is>
          <t>Class 3</t>
        </is>
      </c>
      <c r="R20" s="116" t="n">
        <v>-0.2</v>
      </c>
      <c r="S20" s="134" t="n">
        <v>0.3</v>
      </c>
      <c r="T20" s="134" t="n">
        <v>1600000</v>
      </c>
      <c r="U20" s="134" t="n">
        <v>2000000</v>
      </c>
      <c r="V20" t="n">
        <v>2600000</v>
      </c>
      <c r="W20" t="inlineStr">
        <is>
          <t>Yes</t>
        </is>
      </c>
      <c r="X20" t="inlineStr">
        <is>
          <t>Yes</t>
        </is>
      </c>
      <c r="Y20" t="inlineStr">
        <is>
          <t>Construction</t>
        </is>
      </c>
      <c r="Z20" t="inlineStr">
        <is>
          <t>Construction</t>
        </is>
      </c>
      <c r="AA20" s="115" t="n">
        <v>12</v>
      </c>
      <c r="AB20" s="115" t="n">
        <v>26</v>
      </c>
      <c r="AC20" t="inlineStr">
        <is>
          <t>Front Loaded</t>
        </is>
      </c>
    </row>
    <row r="21">
      <c r="A21" t="inlineStr">
        <is>
          <t>Construction_Estimate</t>
        </is>
      </c>
      <c r="B21" t="n">
        <v>3</v>
      </c>
      <c r="C21" t="inlineStr">
        <is>
          <t>CN-002</t>
        </is>
      </c>
      <c r="D21" t="inlineStr">
        <is>
          <t>Mechanical installation works</t>
        </is>
      </c>
      <c r="E21" t="inlineStr">
        <is>
          <t>Construction</t>
        </is>
      </c>
      <c r="F21" t="inlineStr">
        <is>
          <t>9.0</t>
        </is>
      </c>
      <c r="G21" t="inlineStr">
        <is>
          <t>CON</t>
        </is>
      </c>
      <c r="H21" t="inlineStr">
        <is>
          <t>Direct Cost</t>
        </is>
      </c>
      <c r="I21" t="inlineStr">
        <is>
          <t>Construction</t>
        </is>
      </c>
      <c r="J21" t="n">
        <v>1</v>
      </c>
      <c r="K21" t="inlineStr">
        <is>
          <t>lot</t>
        </is>
      </c>
      <c r="L21" t="n">
        <v>2300000</v>
      </c>
      <c r="M21" t="inlineStr">
        <is>
          <t>EUR</t>
        </is>
      </c>
      <c r="N21" s="134" t="n">
        <v>1</v>
      </c>
      <c r="O21" s="134" t="n">
        <v>2300000</v>
      </c>
      <c r="P21" s="134" t="n">
        <v>2300000</v>
      </c>
      <c r="Q21" s="116" t="inlineStr">
        <is>
          <t>Class 3</t>
        </is>
      </c>
      <c r="R21" s="116" t="n">
        <v>-0.2</v>
      </c>
      <c r="S21" s="134" t="n">
        <v>0.3</v>
      </c>
      <c r="T21" s="134" t="n">
        <v>1840000</v>
      </c>
      <c r="U21" s="134" t="n">
        <v>2300000</v>
      </c>
      <c r="V21" t="n">
        <v>2990000</v>
      </c>
      <c r="W21" t="inlineStr">
        <is>
          <t>Yes</t>
        </is>
      </c>
      <c r="X21" t="inlineStr">
        <is>
          <t>Yes</t>
        </is>
      </c>
      <c r="Y21" t="inlineStr">
        <is>
          <t>Construction</t>
        </is>
      </c>
      <c r="Z21" t="inlineStr">
        <is>
          <t>Construction</t>
        </is>
      </c>
      <c r="AA21" s="115" t="n">
        <v>18</v>
      </c>
      <c r="AB21" s="115" t="n">
        <v>31</v>
      </c>
      <c r="AC21" t="inlineStr">
        <is>
          <t>Bell Curve</t>
        </is>
      </c>
    </row>
    <row r="22">
      <c r="A22" t="inlineStr">
        <is>
          <t>Construction_Estimate</t>
        </is>
      </c>
      <c r="B22" t="n">
        <v>4</v>
      </c>
      <c r="C22" t="inlineStr">
        <is>
          <t>CN-003</t>
        </is>
      </c>
      <c r="D22" t="inlineStr">
        <is>
          <t>Electrical installation works</t>
        </is>
      </c>
      <c r="E22" t="inlineStr">
        <is>
          <t>Construction</t>
        </is>
      </c>
      <c r="F22" t="inlineStr">
        <is>
          <t>9.0</t>
        </is>
      </c>
      <c r="G22" t="inlineStr">
        <is>
          <t>CON</t>
        </is>
      </c>
      <c r="H22" t="inlineStr">
        <is>
          <t>Direct Cost</t>
        </is>
      </c>
      <c r="I22" t="inlineStr">
        <is>
          <t>Construction</t>
        </is>
      </c>
      <c r="J22" t="n">
        <v>1</v>
      </c>
      <c r="K22" t="inlineStr">
        <is>
          <t>lot</t>
        </is>
      </c>
      <c r="L22" t="n">
        <v>1200000</v>
      </c>
      <c r="M22" t="inlineStr">
        <is>
          <t>EUR</t>
        </is>
      </c>
      <c r="N22" s="134" t="n">
        <v>1</v>
      </c>
      <c r="O22" s="134" t="n">
        <v>1200000</v>
      </c>
      <c r="P22" s="134" t="n">
        <v>1200000</v>
      </c>
      <c r="Q22" s="116" t="inlineStr">
        <is>
          <t>Class 3</t>
        </is>
      </c>
      <c r="R22" s="116" t="n">
        <v>-0.2</v>
      </c>
      <c r="S22" s="134" t="n">
        <v>0.3</v>
      </c>
      <c r="T22" s="134" t="n">
        <v>960000</v>
      </c>
      <c r="U22" s="134" t="n">
        <v>1200000</v>
      </c>
      <c r="V22" t="n">
        <v>1560000</v>
      </c>
      <c r="W22" t="inlineStr">
        <is>
          <t>Yes</t>
        </is>
      </c>
      <c r="X22" t="inlineStr">
        <is>
          <t>Yes</t>
        </is>
      </c>
      <c r="Y22" t="inlineStr">
        <is>
          <t>Construction</t>
        </is>
      </c>
      <c r="Z22" t="inlineStr">
        <is>
          <t>Construction</t>
        </is>
      </c>
      <c r="AA22" s="115" t="n">
        <v>18</v>
      </c>
      <c r="AB22" s="115" t="n">
        <v>32</v>
      </c>
      <c r="AC22" t="inlineStr">
        <is>
          <t>Bell Curve</t>
        </is>
      </c>
    </row>
    <row r="23">
      <c r="A23" t="inlineStr">
        <is>
          <t>Construction_Estimate</t>
        </is>
      </c>
      <c r="B23" t="n">
        <v>5</v>
      </c>
      <c r="C23" t="inlineStr">
        <is>
          <t>CN-004</t>
        </is>
      </c>
      <c r="D23" t="inlineStr">
        <is>
          <t>Pre-commissioning and start-up support</t>
        </is>
      </c>
      <c r="E23" t="inlineStr">
        <is>
          <t>Commissioning</t>
        </is>
      </c>
      <c r="F23" t="inlineStr">
        <is>
          <t>10.0</t>
        </is>
      </c>
      <c r="G23" t="inlineStr">
        <is>
          <t>COM</t>
        </is>
      </c>
      <c r="H23" t="inlineStr">
        <is>
          <t>Direct Cost</t>
        </is>
      </c>
      <c r="I23" t="inlineStr">
        <is>
          <t>Construction</t>
        </is>
      </c>
      <c r="J23" t="n">
        <v>1</v>
      </c>
      <c r="K23" t="inlineStr">
        <is>
          <t>lot</t>
        </is>
      </c>
      <c r="L23" t="n">
        <v>1500000</v>
      </c>
      <c r="M23" t="inlineStr">
        <is>
          <t>EUR</t>
        </is>
      </c>
      <c r="N23" s="134" t="n">
        <v>1</v>
      </c>
      <c r="O23" s="134" t="n">
        <v>1500000</v>
      </c>
      <c r="P23" s="134" t="n">
        <v>1500000</v>
      </c>
      <c r="Q23" s="116" t="inlineStr">
        <is>
          <t>Class 3</t>
        </is>
      </c>
      <c r="R23" s="116" t="n">
        <v>-0.2</v>
      </c>
      <c r="S23" s="134" t="n">
        <v>0.3</v>
      </c>
      <c r="T23" s="134" t="n">
        <v>1200000</v>
      </c>
      <c r="U23" s="134" t="n">
        <v>1500000</v>
      </c>
      <c r="V23" t="n">
        <v>1950000</v>
      </c>
      <c r="W23" t="inlineStr">
        <is>
          <t>Yes</t>
        </is>
      </c>
      <c r="X23" t="inlineStr">
        <is>
          <t>Yes</t>
        </is>
      </c>
      <c r="Y23" t="inlineStr">
        <is>
          <t>Commissioning</t>
        </is>
      </c>
      <c r="Z23" t="inlineStr">
        <is>
          <t>Commissioning</t>
        </is>
      </c>
      <c r="AA23" s="115" t="n">
        <v>30</v>
      </c>
      <c r="AB23" s="115" t="n">
        <v>36</v>
      </c>
      <c r="AC23" t="inlineStr">
        <is>
          <t>Back Loaded</t>
        </is>
      </c>
    </row>
    <row r="24">
      <c r="A24" t="inlineStr">
        <is>
          <t>Indirect_Owner_Costs</t>
        </is>
      </c>
      <c r="B24" t="n">
        <v>2</v>
      </c>
      <c r="C24" t="inlineStr">
        <is>
          <t>IO-001</t>
        </is>
      </c>
      <c r="D24" t="inlineStr">
        <is>
          <t>EPCM engineering services</t>
        </is>
      </c>
      <c r="E24" t="inlineStr">
        <is>
          <t>Project Management</t>
        </is>
      </c>
      <c r="F24" t="inlineStr">
        <is>
          <t>2.0</t>
        </is>
      </c>
      <c r="G24" t="inlineStr">
        <is>
          <t>ENG</t>
        </is>
      </c>
      <c r="H24" t="inlineStr">
        <is>
          <t>Indirect Cost</t>
        </is>
      </c>
      <c r="I24" t="inlineStr">
        <is>
          <t>EPCM</t>
        </is>
      </c>
      <c r="J24" t="n">
        <v>1</v>
      </c>
      <c r="K24" t="inlineStr">
        <is>
          <t>lot</t>
        </is>
      </c>
      <c r="L24" t="n">
        <v>2200000</v>
      </c>
      <c r="M24" t="inlineStr">
        <is>
          <t>EUR</t>
        </is>
      </c>
      <c r="N24" s="134" t="n">
        <v>1</v>
      </c>
      <c r="O24" s="134" t="n">
        <v>2200000</v>
      </c>
      <c r="P24" s="134" t="n">
        <v>2200000</v>
      </c>
      <c r="Q24" s="116" t="inlineStr">
        <is>
          <t>Class 3</t>
        </is>
      </c>
      <c r="R24" s="116" t="n">
        <v>-0.2</v>
      </c>
      <c r="S24" s="134" t="n">
        <v>0.3</v>
      </c>
      <c r="T24" s="134" t="n">
        <v>1760000</v>
      </c>
      <c r="U24" s="134" t="n">
        <v>2200000</v>
      </c>
      <c r="V24" t="n">
        <v>2860000</v>
      </c>
      <c r="W24" t="inlineStr">
        <is>
          <t>Yes</t>
        </is>
      </c>
      <c r="X24" t="inlineStr">
        <is>
          <t>Yes</t>
        </is>
      </c>
      <c r="Y24" t="inlineStr">
        <is>
          <t>Engineering</t>
        </is>
      </c>
      <c r="Z24" t="inlineStr">
        <is>
          <t>Engineering</t>
        </is>
      </c>
      <c r="AA24" s="115" t="n">
        <v>1</v>
      </c>
      <c r="AB24" s="115" t="n">
        <v>24</v>
      </c>
      <c r="AC24" t="inlineStr">
        <is>
          <t>Bell Curve</t>
        </is>
      </c>
    </row>
    <row r="25">
      <c r="A25" t="inlineStr">
        <is>
          <t>Indirect_Owner_Costs</t>
        </is>
      </c>
      <c r="B25" t="n">
        <v>3</v>
      </c>
      <c r="C25" t="inlineStr">
        <is>
          <t>IO-002</t>
        </is>
      </c>
      <c r="D25" t="inlineStr">
        <is>
          <t>Construction management and supervision</t>
        </is>
      </c>
      <c r="E25" t="inlineStr">
        <is>
          <t>Construction</t>
        </is>
      </c>
      <c r="F25" t="inlineStr">
        <is>
          <t>9.0</t>
        </is>
      </c>
      <c r="G25" t="inlineStr">
        <is>
          <t>CON</t>
        </is>
      </c>
      <c r="H25" t="inlineStr">
        <is>
          <t>Indirect Cost</t>
        </is>
      </c>
      <c r="I25" t="inlineStr">
        <is>
          <t>EPCM</t>
        </is>
      </c>
      <c r="J25" t="n">
        <v>1</v>
      </c>
      <c r="K25" t="inlineStr">
        <is>
          <t>lot</t>
        </is>
      </c>
      <c r="L25" t="n">
        <v>800000</v>
      </c>
      <c r="M25" t="inlineStr">
        <is>
          <t>EUR</t>
        </is>
      </c>
      <c r="N25" s="134" t="n">
        <v>1</v>
      </c>
      <c r="O25" s="134" t="n">
        <v>800000</v>
      </c>
      <c r="P25" s="134" t="n">
        <v>800000</v>
      </c>
      <c r="Q25" s="116" t="inlineStr">
        <is>
          <t>Class 3</t>
        </is>
      </c>
      <c r="R25" s="116" t="n">
        <v>-0.2</v>
      </c>
      <c r="S25" s="134" t="n">
        <v>0.3</v>
      </c>
      <c r="T25" s="134" t="n">
        <v>640000</v>
      </c>
      <c r="U25" s="134" t="n">
        <v>800000</v>
      </c>
      <c r="V25" t="n">
        <v>1040000</v>
      </c>
      <c r="W25" t="inlineStr">
        <is>
          <t>Yes</t>
        </is>
      </c>
      <c r="X25" t="inlineStr">
        <is>
          <t>Yes</t>
        </is>
      </c>
      <c r="Y25" t="inlineStr">
        <is>
          <t>Construction</t>
        </is>
      </c>
      <c r="Z25" t="inlineStr">
        <is>
          <t>Construction</t>
        </is>
      </c>
      <c r="AA25" s="115" t="n">
        <v>14</v>
      </c>
      <c r="AB25" s="115" t="n">
        <v>34</v>
      </c>
      <c r="AC25" t="inlineStr">
        <is>
          <t>Linear</t>
        </is>
      </c>
    </row>
    <row r="26">
      <c r="A26" t="inlineStr">
        <is>
          <t>Indirect_Owner_Costs</t>
        </is>
      </c>
      <c r="B26" t="n">
        <v>4</v>
      </c>
      <c r="C26" t="inlineStr">
        <is>
          <t>IO-003</t>
        </is>
      </c>
      <c r="D26" t="inlineStr">
        <is>
          <t>Permits, studies and owner reviews</t>
        </is>
      </c>
      <c r="E26" t="inlineStr">
        <is>
          <t>Owner</t>
        </is>
      </c>
      <c r="F26" t="inlineStr">
        <is>
          <t>11.0</t>
        </is>
      </c>
      <c r="G26" t="inlineStr">
        <is>
          <t>OWN</t>
        </is>
      </c>
      <c r="H26" t="inlineStr">
        <is>
          <t>Owner Cost</t>
        </is>
      </c>
      <c r="I26" t="inlineStr">
        <is>
          <t>Owner</t>
        </is>
      </c>
      <c r="J26" t="n">
        <v>1</v>
      </c>
      <c r="K26" t="inlineStr">
        <is>
          <t>lot</t>
        </is>
      </c>
      <c r="L26" t="n">
        <v>600000</v>
      </c>
      <c r="M26" t="inlineStr">
        <is>
          <t>EUR</t>
        </is>
      </c>
      <c r="N26" s="134" t="n">
        <v>1</v>
      </c>
      <c r="O26" s="134" t="n">
        <v>600000</v>
      </c>
      <c r="P26" s="134" t="n">
        <v>600000</v>
      </c>
      <c r="Q26" s="116" t="inlineStr">
        <is>
          <t>Class 3</t>
        </is>
      </c>
      <c r="R26" s="116" t="n">
        <v>-0.2</v>
      </c>
      <c r="S26" s="134" t="n">
        <v>0.3</v>
      </c>
      <c r="T26" s="134" t="n">
        <v>480000</v>
      </c>
      <c r="U26" s="134" t="n">
        <v>600000</v>
      </c>
      <c r="V26" t="n">
        <v>780000</v>
      </c>
      <c r="W26" t="inlineStr">
        <is>
          <t>Yes</t>
        </is>
      </c>
      <c r="X26" t="inlineStr">
        <is>
          <t>Yes</t>
        </is>
      </c>
      <c r="Y26" t="inlineStr">
        <is>
          <t>Other</t>
        </is>
      </c>
      <c r="Z26" t="inlineStr">
        <is>
          <t>Other</t>
        </is>
      </c>
      <c r="AA26" s="115" t="n">
        <v>1</v>
      </c>
      <c r="AB26" s="115" t="n">
        <v>18</v>
      </c>
      <c r="AC26" t="inlineStr">
        <is>
          <t>Front Loaded</t>
        </is>
      </c>
    </row>
    <row r="27">
      <c r="A27" t="inlineStr">
        <is>
          <t>Indirect_Owner_Costs</t>
        </is>
      </c>
      <c r="B27" t="n">
        <v>5</v>
      </c>
      <c r="C27" t="inlineStr">
        <is>
          <t>IO-004</t>
        </is>
      </c>
      <c r="D27" t="inlineStr">
        <is>
          <t>Freight, logistics and temporary facilities</t>
        </is>
      </c>
      <c r="E27" t="inlineStr">
        <is>
          <t>Procurement</t>
        </is>
      </c>
      <c r="F27" t="inlineStr">
        <is>
          <t>3.0</t>
        </is>
      </c>
      <c r="G27" t="inlineStr">
        <is>
          <t>PROC</t>
        </is>
      </c>
      <c r="H27" t="inlineStr">
        <is>
          <t>Indirect Cost</t>
        </is>
      </c>
      <c r="I27" t="inlineStr">
        <is>
          <t>Freight</t>
        </is>
      </c>
      <c r="J27" t="n">
        <v>1</v>
      </c>
      <c r="K27" t="inlineStr">
        <is>
          <t>lot</t>
        </is>
      </c>
      <c r="L27" t="n">
        <v>400000</v>
      </c>
      <c r="M27" t="inlineStr">
        <is>
          <t>EUR</t>
        </is>
      </c>
      <c r="N27" s="134" t="n">
        <v>1</v>
      </c>
      <c r="O27" s="134" t="n">
        <v>400000</v>
      </c>
      <c r="P27" s="134" t="n">
        <v>400000</v>
      </c>
      <c r="Q27" s="116" t="inlineStr">
        <is>
          <t>Class 3</t>
        </is>
      </c>
      <c r="R27" s="116" t="n">
        <v>-0.2</v>
      </c>
      <c r="S27" s="134" t="n">
        <v>0.3</v>
      </c>
      <c r="T27" s="134" t="n">
        <v>320000</v>
      </c>
      <c r="U27" s="134" t="n">
        <v>400000</v>
      </c>
      <c r="V27" t="n">
        <v>520000</v>
      </c>
      <c r="W27" t="inlineStr">
        <is>
          <t>Yes</t>
        </is>
      </c>
      <c r="X27" t="inlineStr">
        <is>
          <t>Yes</t>
        </is>
      </c>
      <c r="Y27" t="inlineStr">
        <is>
          <t>Procurement</t>
        </is>
      </c>
      <c r="Z27" t="inlineStr">
        <is>
          <t>Procurement</t>
        </is>
      </c>
      <c r="AA27" s="115" t="n">
        <v>8</v>
      </c>
      <c r="AB27" s="115" t="n">
        <v>28</v>
      </c>
      <c r="AC27" t="inlineStr">
        <is>
          <t>Linear</t>
        </is>
      </c>
    </row>
    <row r="28">
      <c r="A28" t="inlineStr">
        <is>
          <t>Other_Costs</t>
        </is>
      </c>
      <c r="B28" t="n">
        <v>2</v>
      </c>
      <c r="C28" t="inlineStr">
        <is>
          <t>OT-001</t>
        </is>
      </c>
      <c r="D28" t="inlineStr">
        <is>
          <t>Capital spares initial holding</t>
        </is>
      </c>
      <c r="E28" t="inlineStr">
        <is>
          <t>Other</t>
        </is>
      </c>
      <c r="F28" t="inlineStr">
        <is>
          <t>12.0</t>
        </is>
      </c>
      <c r="G28" t="inlineStr">
        <is>
          <t>OTH</t>
        </is>
      </c>
      <c r="H28" t="inlineStr">
        <is>
          <t>Other Cost</t>
        </is>
      </c>
      <c r="I28" t="inlineStr">
        <is>
          <t>Spares</t>
        </is>
      </c>
      <c r="J28" t="n">
        <v>1</v>
      </c>
      <c r="K28" t="inlineStr">
        <is>
          <t>lot</t>
        </is>
      </c>
      <c r="L28" t="n">
        <v>400000</v>
      </c>
      <c r="M28" t="inlineStr">
        <is>
          <t>EUR</t>
        </is>
      </c>
      <c r="N28" s="134" t="n">
        <v>1</v>
      </c>
      <c r="O28" s="134" t="n">
        <v>400000</v>
      </c>
      <c r="P28" s="134" t="n">
        <v>400000</v>
      </c>
      <c r="Q28" s="116" t="inlineStr">
        <is>
          <t>Class 3</t>
        </is>
      </c>
      <c r="R28" s="116" t="n">
        <v>-0.2</v>
      </c>
      <c r="S28" s="134" t="n">
        <v>0.3</v>
      </c>
      <c r="T28" s="134" t="n">
        <v>320000</v>
      </c>
      <c r="U28" s="134" t="n">
        <v>400000</v>
      </c>
      <c r="V28" t="n">
        <v>520000</v>
      </c>
      <c r="W28" t="inlineStr">
        <is>
          <t>Yes</t>
        </is>
      </c>
      <c r="X28" t="inlineStr">
        <is>
          <t>Yes</t>
        </is>
      </c>
      <c r="Y28" t="inlineStr">
        <is>
          <t>Other</t>
        </is>
      </c>
      <c r="Z28" t="inlineStr">
        <is>
          <t>Other</t>
        </is>
      </c>
      <c r="AA28" s="115" t="n">
        <v>25</v>
      </c>
      <c r="AB28" s="115" t="n">
        <v>34</v>
      </c>
      <c r="AC28" t="inlineStr">
        <is>
          <t>Back Loaded</t>
        </is>
      </c>
    </row>
    <row r="29">
      <c r="A29" t="inlineStr">
        <is>
          <t>Other_Costs</t>
        </is>
      </c>
      <c r="B29" t="n">
        <v>3</v>
      </c>
      <c r="C29" t="inlineStr">
        <is>
          <t>OT-002</t>
        </is>
      </c>
      <c r="D29" t="inlineStr">
        <is>
          <t>Training and operational readiness</t>
        </is>
      </c>
      <c r="E29" t="inlineStr">
        <is>
          <t>Owner</t>
        </is>
      </c>
      <c r="F29" t="inlineStr">
        <is>
          <t>10.0</t>
        </is>
      </c>
      <c r="G29" t="inlineStr">
        <is>
          <t>COM</t>
        </is>
      </c>
      <c r="H29" t="inlineStr">
        <is>
          <t>Other Cost</t>
        </is>
      </c>
      <c r="I29" t="inlineStr">
        <is>
          <t>Other</t>
        </is>
      </c>
      <c r="J29" t="n">
        <v>1</v>
      </c>
      <c r="K29" t="inlineStr">
        <is>
          <t>lot</t>
        </is>
      </c>
      <c r="L29" t="n">
        <v>200000</v>
      </c>
      <c r="M29" t="inlineStr">
        <is>
          <t>EUR</t>
        </is>
      </c>
      <c r="N29" s="134" t="n">
        <v>1</v>
      </c>
      <c r="O29" s="134" t="n">
        <v>200000</v>
      </c>
      <c r="P29" s="134" t="n">
        <v>200000</v>
      </c>
      <c r="Q29" s="116" t="inlineStr">
        <is>
          <t>Class 3</t>
        </is>
      </c>
      <c r="R29" s="116" t="n">
        <v>-0.2</v>
      </c>
      <c r="S29" s="134" t="n">
        <v>0.3</v>
      </c>
      <c r="T29" s="134" t="n">
        <v>160000</v>
      </c>
      <c r="U29" s="134" t="n">
        <v>200000</v>
      </c>
      <c r="V29" t="n">
        <v>260000</v>
      </c>
      <c r="W29" t="inlineStr">
        <is>
          <t>Yes</t>
        </is>
      </c>
      <c r="X29" t="inlineStr">
        <is>
          <t>Yes</t>
        </is>
      </c>
      <c r="Y29" t="inlineStr">
        <is>
          <t>Commissioning</t>
        </is>
      </c>
      <c r="Z29" t="inlineStr">
        <is>
          <t>Commissioning</t>
        </is>
      </c>
      <c r="AA29" s="115" t="n">
        <v>28</v>
      </c>
      <c r="AB29" s="115" t="n">
        <v>36</v>
      </c>
      <c r="AC29" t="inlineStr">
        <is>
          <t>Linear</t>
        </is>
      </c>
    </row>
    <row r="30">
      <c r="A30" t="inlineStr">
        <is>
          <t>Other_Costs</t>
        </is>
      </c>
      <c r="B30" t="n">
        <v>4</v>
      </c>
      <c r="C30" t="inlineStr">
        <is>
          <t>OT-003</t>
        </is>
      </c>
      <c r="D30" t="inlineStr">
        <is>
          <t>Start-up consumables and temporary support</t>
        </is>
      </c>
      <c r="E30" t="inlineStr">
        <is>
          <t>Owner</t>
        </is>
      </c>
      <c r="F30" t="inlineStr">
        <is>
          <t>10.0</t>
        </is>
      </c>
      <c r="G30" t="inlineStr">
        <is>
          <t>COM</t>
        </is>
      </c>
      <c r="H30" t="inlineStr">
        <is>
          <t>Other Cost</t>
        </is>
      </c>
      <c r="I30" t="inlineStr">
        <is>
          <t>Other</t>
        </is>
      </c>
      <c r="J30" t="n">
        <v>1</v>
      </c>
      <c r="K30" t="inlineStr">
        <is>
          <t>lot</t>
        </is>
      </c>
      <c r="L30" t="n">
        <v>400000</v>
      </c>
      <c r="M30" t="inlineStr">
        <is>
          <t>EUR</t>
        </is>
      </c>
      <c r="N30" s="134" t="n">
        <v>1</v>
      </c>
      <c r="O30" s="134" t="n">
        <v>400000</v>
      </c>
      <c r="P30" s="134" t="n">
        <v>400000</v>
      </c>
      <c r="Q30" s="116" t="inlineStr">
        <is>
          <t>Class 3</t>
        </is>
      </c>
      <c r="R30" s="116" t="n">
        <v>-0.2</v>
      </c>
      <c r="S30" s="134" t="n">
        <v>0.3</v>
      </c>
      <c r="T30" s="134" t="n">
        <v>320000</v>
      </c>
      <c r="U30" s="134" t="n">
        <v>400000</v>
      </c>
      <c r="V30" t="n">
        <v>520000</v>
      </c>
      <c r="W30" t="inlineStr">
        <is>
          <t>Yes</t>
        </is>
      </c>
      <c r="X30" t="inlineStr">
        <is>
          <t>Yes</t>
        </is>
      </c>
      <c r="Y30" t="inlineStr">
        <is>
          <t>Commissioning</t>
        </is>
      </c>
      <c r="Z30" t="inlineStr">
        <is>
          <t>Commissioning</t>
        </is>
      </c>
      <c r="AA30" s="115" t="n">
        <v>31</v>
      </c>
      <c r="AB30" s="115" t="n">
        <v>36</v>
      </c>
      <c r="AC30" t="inlineStr">
        <is>
          <t>Back Loaded</t>
        </is>
      </c>
    </row>
    <row r="31">
      <c r="A31" t="inlineStr">
        <is>
          <t>Manpower_Plan</t>
        </is>
      </c>
      <c r="B31" t="n">
        <v>2</v>
      </c>
      <c r="C31" t="inlineStr">
        <is>
          <t>MP-001</t>
        </is>
      </c>
      <c r="D31" t="inlineStr">
        <is>
          <t>Project Manager</t>
        </is>
      </c>
      <c r="E31" t="inlineStr">
        <is>
          <t>Project Management</t>
        </is>
      </c>
      <c r="F31" t="inlineStr">
        <is>
          <t>1.0</t>
        </is>
      </c>
      <c r="G31" t="inlineStr">
        <is>
          <t>ENG</t>
        </is>
      </c>
      <c r="H31" t="inlineStr">
        <is>
          <t>Manpower Cost</t>
        </is>
      </c>
      <c r="I31" t="inlineStr">
        <is>
          <t>Labour</t>
        </is>
      </c>
      <c r="J31" t="n">
        <v>1</v>
      </c>
      <c r="K31" t="inlineStr">
        <is>
          <t>lot</t>
        </is>
      </c>
      <c r="L31" t="n">
        <v>645962.7329192547</v>
      </c>
      <c r="M31" t="inlineStr">
        <is>
          <t>EUR</t>
        </is>
      </c>
      <c r="N31" s="134" t="n">
        <v>1</v>
      </c>
      <c r="O31" s="134" t="n">
        <v>645962.7329192547</v>
      </c>
      <c r="P31" s="134" t="n">
        <v>645962.7329192547</v>
      </c>
      <c r="Q31" s="116" t="inlineStr">
        <is>
          <t>Class 3</t>
        </is>
      </c>
      <c r="R31" s="116" t="n">
        <v>-0.2</v>
      </c>
      <c r="S31" s="134" t="n">
        <v>0.3</v>
      </c>
      <c r="T31" s="134" t="n">
        <v>516770.1863354038</v>
      </c>
      <c r="U31" s="134" t="n">
        <v>645962.7329192547</v>
      </c>
      <c r="V31" t="n">
        <v>839751.5527950311</v>
      </c>
      <c r="W31" t="inlineStr">
        <is>
          <t>Yes</t>
        </is>
      </c>
      <c r="X31" t="inlineStr">
        <is>
          <t>Yes</t>
        </is>
      </c>
      <c r="Y31" t="inlineStr">
        <is>
          <t>Engineering</t>
        </is>
      </c>
      <c r="Z31" t="inlineStr">
        <is>
          <t>Engineering</t>
        </is>
      </c>
      <c r="AA31" s="115" t="n">
        <v>1</v>
      </c>
      <c r="AB31" s="115" t="n">
        <v>36</v>
      </c>
      <c r="AC31" t="inlineStr">
        <is>
          <t>Bell Curve</t>
        </is>
      </c>
      <c r="AD31" t="inlineStr">
        <is>
          <t>Generated from Resource_Rates and Manpower_Plan profile. FTE scaled to fit 40M demo.</t>
        </is>
      </c>
    </row>
    <row r="32">
      <c r="A32" t="inlineStr">
        <is>
          <t>Manpower_Plan</t>
        </is>
      </c>
      <c r="B32" t="n">
        <v>3</v>
      </c>
      <c r="C32" t="inlineStr">
        <is>
          <t>MP-002</t>
        </is>
      </c>
      <c r="D32" t="inlineStr">
        <is>
          <t>Engineering Manager</t>
        </is>
      </c>
      <c r="E32" t="inlineStr">
        <is>
          <t>Project Management</t>
        </is>
      </c>
      <c r="F32" t="inlineStr">
        <is>
          <t>1.0</t>
        </is>
      </c>
      <c r="G32" t="inlineStr">
        <is>
          <t>ENG</t>
        </is>
      </c>
      <c r="H32" t="inlineStr">
        <is>
          <t>Manpower Cost</t>
        </is>
      </c>
      <c r="I32" t="inlineStr">
        <is>
          <t>Labour</t>
        </is>
      </c>
      <c r="J32" t="n">
        <v>1</v>
      </c>
      <c r="K32" t="inlineStr">
        <is>
          <t>lot</t>
        </is>
      </c>
      <c r="L32" t="n">
        <v>417391.3043478261</v>
      </c>
      <c r="M32" t="inlineStr">
        <is>
          <t>EUR</t>
        </is>
      </c>
      <c r="N32" s="134" t="n">
        <v>1</v>
      </c>
      <c r="O32" s="134" t="n">
        <v>417391.3043478261</v>
      </c>
      <c r="P32" s="134" t="n">
        <v>417391.3043478261</v>
      </c>
      <c r="Q32" s="116" t="inlineStr">
        <is>
          <t>Class 3</t>
        </is>
      </c>
      <c r="R32" s="116" t="n">
        <v>-0.2</v>
      </c>
      <c r="S32" s="134" t="n">
        <v>0.3</v>
      </c>
      <c r="T32" s="134" t="n">
        <v>333913.0434782609</v>
      </c>
      <c r="U32" s="134" t="n">
        <v>417391.3043478261</v>
      </c>
      <c r="V32" t="n">
        <v>542608.6956521739</v>
      </c>
      <c r="W32" t="inlineStr">
        <is>
          <t>Yes</t>
        </is>
      </c>
      <c r="X32" t="inlineStr">
        <is>
          <t>Yes</t>
        </is>
      </c>
      <c r="Y32" t="inlineStr">
        <is>
          <t>Engineering</t>
        </is>
      </c>
      <c r="Z32" t="inlineStr">
        <is>
          <t>Engineering</t>
        </is>
      </c>
      <c r="AA32" s="115" t="n">
        <v>1</v>
      </c>
      <c r="AB32" s="115" t="n">
        <v>36</v>
      </c>
      <c r="AC32" t="inlineStr">
        <is>
          <t>Bell Curve</t>
        </is>
      </c>
      <c r="AD32" t="inlineStr">
        <is>
          <t>Generated from Resource_Rates and Manpower_Plan profile. FTE scaled to fit 40M demo.</t>
        </is>
      </c>
    </row>
    <row r="33">
      <c r="A33" t="inlineStr">
        <is>
          <t>Manpower_Plan</t>
        </is>
      </c>
      <c r="B33" t="n">
        <v>4</v>
      </c>
      <c r="C33" t="inlineStr">
        <is>
          <t>MP-003</t>
        </is>
      </c>
      <c r="D33" t="inlineStr">
        <is>
          <t>Project Controls Lead</t>
        </is>
      </c>
      <c r="E33" t="inlineStr">
        <is>
          <t>Project Management</t>
        </is>
      </c>
      <c r="F33" t="inlineStr">
        <is>
          <t>2.0</t>
        </is>
      </c>
      <c r="G33" t="inlineStr">
        <is>
          <t>ENG</t>
        </is>
      </c>
      <c r="H33" t="inlineStr">
        <is>
          <t>Manpower Cost</t>
        </is>
      </c>
      <c r="I33" t="inlineStr">
        <is>
          <t>Labour</t>
        </is>
      </c>
      <c r="J33" t="n">
        <v>1</v>
      </c>
      <c r="K33" t="inlineStr">
        <is>
          <t>lot</t>
        </is>
      </c>
      <c r="L33" t="n">
        <v>472049.6894409938</v>
      </c>
      <c r="M33" t="inlineStr">
        <is>
          <t>EUR</t>
        </is>
      </c>
      <c r="N33" s="134" t="n">
        <v>1</v>
      </c>
      <c r="O33" s="134" t="n">
        <v>472049.6894409938</v>
      </c>
      <c r="P33" s="134" t="n">
        <v>472049.6894409938</v>
      </c>
      <c r="Q33" s="116" t="inlineStr">
        <is>
          <t>Class 3</t>
        </is>
      </c>
      <c r="R33" s="116" t="n">
        <v>-0.2</v>
      </c>
      <c r="S33" s="134" t="n">
        <v>0.3</v>
      </c>
      <c r="T33" s="134" t="n">
        <v>377639.7515527951</v>
      </c>
      <c r="U33" s="134" t="n">
        <v>472049.6894409938</v>
      </c>
      <c r="V33" t="n">
        <v>613664.596273292</v>
      </c>
      <c r="W33" t="inlineStr">
        <is>
          <t>Yes</t>
        </is>
      </c>
      <c r="X33" t="inlineStr">
        <is>
          <t>Yes</t>
        </is>
      </c>
      <c r="Y33" t="inlineStr">
        <is>
          <t>Engineering</t>
        </is>
      </c>
      <c r="Z33" t="inlineStr">
        <is>
          <t>Engineering</t>
        </is>
      </c>
      <c r="AA33" s="115" t="n">
        <v>1</v>
      </c>
      <c r="AB33" s="115" t="n">
        <v>36</v>
      </c>
      <c r="AC33" t="inlineStr">
        <is>
          <t>Bell Curve</t>
        </is>
      </c>
      <c r="AD33" t="inlineStr">
        <is>
          <t>Generated from Resource_Rates and Manpower_Plan profile. FTE scaled to fit 40M demo.</t>
        </is>
      </c>
    </row>
    <row r="34">
      <c r="A34" t="inlineStr">
        <is>
          <t>Manpower_Plan</t>
        </is>
      </c>
      <c r="B34" t="n">
        <v>5</v>
      </c>
      <c r="C34" t="inlineStr">
        <is>
          <t>MP-004</t>
        </is>
      </c>
      <c r="D34" t="inlineStr">
        <is>
          <t>Cost Estimator</t>
        </is>
      </c>
      <c r="E34" t="inlineStr">
        <is>
          <t>Project Management</t>
        </is>
      </c>
      <c r="F34" t="inlineStr">
        <is>
          <t>2.0</t>
        </is>
      </c>
      <c r="G34" t="inlineStr">
        <is>
          <t>ENG</t>
        </is>
      </c>
      <c r="H34" t="inlineStr">
        <is>
          <t>Manpower Cost</t>
        </is>
      </c>
      <c r="I34" t="inlineStr">
        <is>
          <t>Labour</t>
        </is>
      </c>
      <c r="J34" t="n">
        <v>1</v>
      </c>
      <c r="K34" t="inlineStr">
        <is>
          <t>lot</t>
        </is>
      </c>
      <c r="L34" t="n">
        <v>173913.0434782609</v>
      </c>
      <c r="M34" t="inlineStr">
        <is>
          <t>EUR</t>
        </is>
      </c>
      <c r="N34" s="134" t="n">
        <v>1</v>
      </c>
      <c r="O34" s="134" t="n">
        <v>173913.0434782609</v>
      </c>
      <c r="P34" s="134" t="n">
        <v>173913.0434782609</v>
      </c>
      <c r="Q34" s="116" t="inlineStr">
        <is>
          <t>Class 3</t>
        </is>
      </c>
      <c r="R34" s="116" t="n">
        <v>-0.2</v>
      </c>
      <c r="S34" s="134" t="n">
        <v>0.3</v>
      </c>
      <c r="T34" s="134" t="n">
        <v>139130.4347826087</v>
      </c>
      <c r="U34" s="134" t="n">
        <v>173913.0434782609</v>
      </c>
      <c r="V34" t="n">
        <v>226086.9565217391</v>
      </c>
      <c r="W34" t="inlineStr">
        <is>
          <t>Yes</t>
        </is>
      </c>
      <c r="X34" t="inlineStr">
        <is>
          <t>Yes</t>
        </is>
      </c>
      <c r="Y34" t="inlineStr">
        <is>
          <t>Engineering</t>
        </is>
      </c>
      <c r="Z34" t="inlineStr">
        <is>
          <t>Engineering</t>
        </is>
      </c>
      <c r="AA34" s="115" t="n">
        <v>1</v>
      </c>
      <c r="AB34" s="115" t="n">
        <v>36</v>
      </c>
      <c r="AC34" t="inlineStr">
        <is>
          <t>Bell Curve</t>
        </is>
      </c>
      <c r="AD34" t="inlineStr">
        <is>
          <t>Generated from Resource_Rates and Manpower_Plan profile. FTE scaled to fit 40M demo.</t>
        </is>
      </c>
    </row>
    <row r="35">
      <c r="A35" t="inlineStr">
        <is>
          <t>Manpower_Plan</t>
        </is>
      </c>
      <c r="B35" t="n">
        <v>6</v>
      </c>
      <c r="C35" t="inlineStr">
        <is>
          <t>MP-005</t>
        </is>
      </c>
      <c r="D35" t="inlineStr">
        <is>
          <t>Planner / Scheduler</t>
        </is>
      </c>
      <c r="E35" t="inlineStr">
        <is>
          <t>Project Management</t>
        </is>
      </c>
      <c r="F35" t="inlineStr">
        <is>
          <t>2.0</t>
        </is>
      </c>
      <c r="G35" t="inlineStr">
        <is>
          <t>ENG</t>
        </is>
      </c>
      <c r="H35" t="inlineStr">
        <is>
          <t>Manpower Cost</t>
        </is>
      </c>
      <c r="I35" t="inlineStr">
        <is>
          <t>Labour</t>
        </is>
      </c>
      <c r="J35" t="n">
        <v>1</v>
      </c>
      <c r="K35" t="inlineStr">
        <is>
          <t>lot</t>
        </is>
      </c>
      <c r="L35" t="n">
        <v>337888.198757764</v>
      </c>
      <c r="M35" t="inlineStr">
        <is>
          <t>EUR</t>
        </is>
      </c>
      <c r="N35" s="134" t="n">
        <v>1</v>
      </c>
      <c r="O35" s="134" t="n">
        <v>337888.198757764</v>
      </c>
      <c r="P35" s="134" t="n">
        <v>337888.198757764</v>
      </c>
      <c r="Q35" s="116" t="inlineStr">
        <is>
          <t>Class 3</t>
        </is>
      </c>
      <c r="R35" s="116" t="n">
        <v>-0.2</v>
      </c>
      <c r="S35" s="134" t="n">
        <v>0.3</v>
      </c>
      <c r="T35" s="134" t="n">
        <v>270310.5590062112</v>
      </c>
      <c r="U35" s="134" t="n">
        <v>337888.198757764</v>
      </c>
      <c r="V35" t="n">
        <v>439254.6583850932</v>
      </c>
      <c r="W35" t="inlineStr">
        <is>
          <t>Yes</t>
        </is>
      </c>
      <c r="X35" t="inlineStr">
        <is>
          <t>Yes</t>
        </is>
      </c>
      <c r="Y35" t="inlineStr">
        <is>
          <t>Engineering</t>
        </is>
      </c>
      <c r="Z35" t="inlineStr">
        <is>
          <t>Engineering</t>
        </is>
      </c>
      <c r="AA35" s="115" t="n">
        <v>1</v>
      </c>
      <c r="AB35" s="115" t="n">
        <v>36</v>
      </c>
      <c r="AC35" t="inlineStr">
        <is>
          <t>Bell Curve</t>
        </is>
      </c>
      <c r="AD35" t="inlineStr">
        <is>
          <t>Generated from Resource_Rates and Manpower_Plan profile. FTE scaled to fit 40M demo.</t>
        </is>
      </c>
    </row>
    <row r="36">
      <c r="A36" t="inlineStr">
        <is>
          <t>Manpower_Plan</t>
        </is>
      </c>
      <c r="B36" t="n">
        <v>7</v>
      </c>
      <c r="C36" t="inlineStr">
        <is>
          <t>MP-006</t>
        </is>
      </c>
      <c r="D36" t="inlineStr">
        <is>
          <t>Process Engineer</t>
        </is>
      </c>
      <c r="E36" t="inlineStr">
        <is>
          <t>Process</t>
        </is>
      </c>
      <c r="F36" t="inlineStr">
        <is>
          <t>2.0</t>
        </is>
      </c>
      <c r="G36" t="inlineStr">
        <is>
          <t>ENG</t>
        </is>
      </c>
      <c r="H36" t="inlineStr">
        <is>
          <t>Manpower Cost</t>
        </is>
      </c>
      <c r="I36" t="inlineStr">
        <is>
          <t>Labour</t>
        </is>
      </c>
      <c r="J36" t="n">
        <v>1</v>
      </c>
      <c r="K36" t="inlineStr">
        <is>
          <t>lot</t>
        </is>
      </c>
      <c r="L36" t="n">
        <v>782608.6956521739</v>
      </c>
      <c r="M36" t="inlineStr">
        <is>
          <t>EUR</t>
        </is>
      </c>
      <c r="N36" s="134" t="n">
        <v>1</v>
      </c>
      <c r="O36" s="134" t="n">
        <v>782608.6956521739</v>
      </c>
      <c r="P36" s="134" t="n">
        <v>782608.6956521739</v>
      </c>
      <c r="Q36" s="116" t="inlineStr">
        <is>
          <t>Class 3</t>
        </is>
      </c>
      <c r="R36" s="116" t="n">
        <v>-0.2</v>
      </c>
      <c r="S36" s="134" t="n">
        <v>0.3</v>
      </c>
      <c r="T36" s="134" t="n">
        <v>626086.9565217391</v>
      </c>
      <c r="U36" s="134" t="n">
        <v>782608.6956521739</v>
      </c>
      <c r="V36" t="n">
        <v>1017391.304347826</v>
      </c>
      <c r="W36" t="inlineStr">
        <is>
          <t>Yes</t>
        </is>
      </c>
      <c r="X36" t="inlineStr">
        <is>
          <t>Yes</t>
        </is>
      </c>
      <c r="Y36" t="inlineStr">
        <is>
          <t>Engineering</t>
        </is>
      </c>
      <c r="Z36" t="inlineStr">
        <is>
          <t>Engineering</t>
        </is>
      </c>
      <c r="AA36" s="115" t="n">
        <v>1</v>
      </c>
      <c r="AB36" s="115" t="n">
        <v>36</v>
      </c>
      <c r="AC36" t="inlineStr">
        <is>
          <t>Bell Curve</t>
        </is>
      </c>
      <c r="AD36" t="inlineStr">
        <is>
          <t>Generated from Resource_Rates and Manpower_Plan profile. FTE scaled to fit 40M demo.</t>
        </is>
      </c>
    </row>
    <row r="37">
      <c r="A37" t="inlineStr">
        <is>
          <t>Manpower_Plan</t>
        </is>
      </c>
      <c r="B37" t="n">
        <v>8</v>
      </c>
      <c r="C37" t="inlineStr">
        <is>
          <t>MP-007</t>
        </is>
      </c>
      <c r="D37" t="inlineStr">
        <is>
          <t>Procurement Lead</t>
        </is>
      </c>
      <c r="E37" t="inlineStr">
        <is>
          <t>Procurement</t>
        </is>
      </c>
      <c r="F37" t="inlineStr">
        <is>
          <t>2.0</t>
        </is>
      </c>
      <c r="G37" t="inlineStr">
        <is>
          <t>ENG</t>
        </is>
      </c>
      <c r="H37" t="inlineStr">
        <is>
          <t>Manpower Cost</t>
        </is>
      </c>
      <c r="I37" t="inlineStr">
        <is>
          <t>Labour</t>
        </is>
      </c>
      <c r="J37" t="n">
        <v>1</v>
      </c>
      <c r="K37" t="inlineStr">
        <is>
          <t>lot</t>
        </is>
      </c>
      <c r="L37" t="n">
        <v>305590.0621118012</v>
      </c>
      <c r="M37" t="inlineStr">
        <is>
          <t>EUR</t>
        </is>
      </c>
      <c r="N37" s="134" t="n">
        <v>1</v>
      </c>
      <c r="O37" s="134" t="n">
        <v>305590.0621118012</v>
      </c>
      <c r="P37" s="134" t="n">
        <v>305590.0621118012</v>
      </c>
      <c r="Q37" s="116" t="inlineStr">
        <is>
          <t>Class 3</t>
        </is>
      </c>
      <c r="R37" s="116" t="n">
        <v>-0.2</v>
      </c>
      <c r="S37" s="134" t="n">
        <v>0.3</v>
      </c>
      <c r="T37" s="134" t="n">
        <v>244472.049689441</v>
      </c>
      <c r="U37" s="134" t="n">
        <v>305590.0621118012</v>
      </c>
      <c r="V37" t="n">
        <v>397267.0807453416</v>
      </c>
      <c r="W37" t="inlineStr">
        <is>
          <t>Yes</t>
        </is>
      </c>
      <c r="X37" t="inlineStr">
        <is>
          <t>Yes</t>
        </is>
      </c>
      <c r="Y37" t="inlineStr">
        <is>
          <t>Engineering</t>
        </is>
      </c>
      <c r="Z37" t="inlineStr">
        <is>
          <t>Engineering</t>
        </is>
      </c>
      <c r="AA37" s="115" t="n">
        <v>1</v>
      </c>
      <c r="AB37" s="115" t="n">
        <v>36</v>
      </c>
      <c r="AC37" t="inlineStr">
        <is>
          <t>Bell Curve</t>
        </is>
      </c>
      <c r="AD37" t="inlineStr">
        <is>
          <t>Generated from Resource_Rates and Manpower_Plan profile. FTE scaled to fit 40M demo.</t>
        </is>
      </c>
    </row>
    <row r="38">
      <c r="A38" t="inlineStr">
        <is>
          <t>Manpower_Plan</t>
        </is>
      </c>
      <c r="B38" t="n">
        <v>9</v>
      </c>
      <c r="C38" t="inlineStr">
        <is>
          <t>MP-008</t>
        </is>
      </c>
      <c r="D38" t="inlineStr">
        <is>
          <t>Construction Manager</t>
        </is>
      </c>
      <c r="E38" t="inlineStr">
        <is>
          <t>Construction</t>
        </is>
      </c>
      <c r="F38" t="inlineStr">
        <is>
          <t>9.0</t>
        </is>
      </c>
      <c r="G38" t="inlineStr">
        <is>
          <t>CON</t>
        </is>
      </c>
      <c r="H38" t="inlineStr">
        <is>
          <t>Manpower Cost</t>
        </is>
      </c>
      <c r="I38" t="inlineStr">
        <is>
          <t>Labour</t>
        </is>
      </c>
      <c r="J38" t="n">
        <v>1</v>
      </c>
      <c r="K38" t="inlineStr">
        <is>
          <t>lot</t>
        </is>
      </c>
      <c r="L38" t="n">
        <v>317460.3174603175</v>
      </c>
      <c r="M38" t="inlineStr">
        <is>
          <t>EUR</t>
        </is>
      </c>
      <c r="N38" s="134" t="n">
        <v>1</v>
      </c>
      <c r="O38" s="134" t="n">
        <v>317460.3174603175</v>
      </c>
      <c r="P38" s="134" t="n">
        <v>317460.3174603175</v>
      </c>
      <c r="Q38" s="116" t="inlineStr">
        <is>
          <t>Class 3</t>
        </is>
      </c>
      <c r="R38" s="116" t="n">
        <v>-0.2</v>
      </c>
      <c r="S38" s="134" t="n">
        <v>0.3</v>
      </c>
      <c r="T38" s="134" t="n">
        <v>253968.253968254</v>
      </c>
      <c r="U38" s="134" t="n">
        <v>317460.3174603175</v>
      </c>
      <c r="V38" t="n">
        <v>412698.4126984127</v>
      </c>
      <c r="W38" t="inlineStr">
        <is>
          <t>Yes</t>
        </is>
      </c>
      <c r="X38" t="inlineStr">
        <is>
          <t>Yes</t>
        </is>
      </c>
      <c r="Y38" t="inlineStr">
        <is>
          <t>Construction</t>
        </is>
      </c>
      <c r="Z38" t="inlineStr">
        <is>
          <t>Construction</t>
        </is>
      </c>
      <c r="AA38" s="115" t="n">
        <v>1</v>
      </c>
      <c r="AB38" s="115" t="n">
        <v>36</v>
      </c>
      <c r="AC38" t="inlineStr">
        <is>
          <t>Bell Curve</t>
        </is>
      </c>
      <c r="AD38" t="inlineStr">
        <is>
          <t>Generated from Resource_Rates and Manpower_Plan profile. FTE scaled to fit 40M demo.</t>
        </is>
      </c>
    </row>
    <row r="39">
      <c r="A39" t="inlineStr">
        <is>
          <t>Manpower_Plan</t>
        </is>
      </c>
      <c r="B39" t="n">
        <v>10</v>
      </c>
      <c r="C39" t="inlineStr">
        <is>
          <t>MP-009</t>
        </is>
      </c>
      <c r="D39" t="inlineStr">
        <is>
          <t>HSE Manager</t>
        </is>
      </c>
      <c r="E39" t="inlineStr">
        <is>
          <t>HSE</t>
        </is>
      </c>
      <c r="F39" t="inlineStr">
        <is>
          <t>9.0</t>
        </is>
      </c>
      <c r="G39" t="inlineStr">
        <is>
          <t>CON</t>
        </is>
      </c>
      <c r="H39" t="inlineStr">
        <is>
          <t>Manpower Cost</t>
        </is>
      </c>
      <c r="I39" t="inlineStr">
        <is>
          <t>Labour</t>
        </is>
      </c>
      <c r="J39" t="n">
        <v>1</v>
      </c>
      <c r="K39" t="inlineStr">
        <is>
          <t>lot</t>
        </is>
      </c>
      <c r="L39" t="n">
        <v>215873.0158730159</v>
      </c>
      <c r="M39" t="inlineStr">
        <is>
          <t>EUR</t>
        </is>
      </c>
      <c r="N39" s="134" t="n">
        <v>1</v>
      </c>
      <c r="O39" s="134" t="n">
        <v>215873.0158730159</v>
      </c>
      <c r="P39" s="134" t="n">
        <v>215873.0158730159</v>
      </c>
      <c r="Q39" s="116" t="inlineStr">
        <is>
          <t>Class 3</t>
        </is>
      </c>
      <c r="R39" s="116" t="n">
        <v>-0.2</v>
      </c>
      <c r="S39" s="134" t="n">
        <v>0.3</v>
      </c>
      <c r="T39" s="134" t="n">
        <v>172698.4126984127</v>
      </c>
      <c r="U39" s="134" t="n">
        <v>215873.0158730159</v>
      </c>
      <c r="V39" t="n">
        <v>280634.9206349207</v>
      </c>
      <c r="W39" t="inlineStr">
        <is>
          <t>Yes</t>
        </is>
      </c>
      <c r="X39" t="inlineStr">
        <is>
          <t>Yes</t>
        </is>
      </c>
      <c r="Y39" t="inlineStr">
        <is>
          <t>Construction</t>
        </is>
      </c>
      <c r="Z39" t="inlineStr">
        <is>
          <t>Construction</t>
        </is>
      </c>
      <c r="AA39" s="115" t="n">
        <v>1</v>
      </c>
      <c r="AB39" s="115" t="n">
        <v>36</v>
      </c>
      <c r="AC39" t="inlineStr">
        <is>
          <t>Bell Curve</t>
        </is>
      </c>
      <c r="AD39" t="inlineStr">
        <is>
          <t>Generated from Resource_Rates and Manpower_Plan profile. FTE scaled to fit 40M demo.</t>
        </is>
      </c>
    </row>
    <row r="40">
      <c r="A40" t="inlineStr">
        <is>
          <t>Manpower_Plan</t>
        </is>
      </c>
      <c r="B40" t="n">
        <v>11</v>
      </c>
      <c r="C40" t="inlineStr">
        <is>
          <t>MP-010</t>
        </is>
      </c>
      <c r="D40" t="inlineStr">
        <is>
          <t>Commissioning Lead</t>
        </is>
      </c>
      <c r="E40" t="inlineStr">
        <is>
          <t>Commissioning</t>
        </is>
      </c>
      <c r="F40" t="inlineStr">
        <is>
          <t>10.0</t>
        </is>
      </c>
      <c r="G40" t="inlineStr">
        <is>
          <t>COM</t>
        </is>
      </c>
      <c r="H40" t="inlineStr">
        <is>
          <t>Manpower Cost</t>
        </is>
      </c>
      <c r="I40" t="inlineStr">
        <is>
          <t>Labour</t>
        </is>
      </c>
      <c r="J40" t="n">
        <v>1</v>
      </c>
      <c r="K40" t="inlineStr">
        <is>
          <t>lot</t>
        </is>
      </c>
      <c r="L40" t="n">
        <v>182194.6169772257</v>
      </c>
      <c r="M40" t="inlineStr">
        <is>
          <t>EUR</t>
        </is>
      </c>
      <c r="N40" s="134" t="n">
        <v>1</v>
      </c>
      <c r="O40" s="134" t="n">
        <v>182194.6169772257</v>
      </c>
      <c r="P40" s="134" t="n">
        <v>182194.6169772257</v>
      </c>
      <c r="Q40" s="116" t="inlineStr">
        <is>
          <t>Class 3</t>
        </is>
      </c>
      <c r="R40" s="116" t="n">
        <v>-0.2</v>
      </c>
      <c r="S40" s="134" t="n">
        <v>0.3</v>
      </c>
      <c r="T40" s="134" t="n">
        <v>145755.6935817805</v>
      </c>
      <c r="U40" s="134" t="n">
        <v>182194.6169772257</v>
      </c>
      <c r="V40" t="n">
        <v>236853.0020703934</v>
      </c>
      <c r="W40" t="inlineStr">
        <is>
          <t>Yes</t>
        </is>
      </c>
      <c r="X40" t="inlineStr">
        <is>
          <t>Yes</t>
        </is>
      </c>
      <c r="Y40" t="inlineStr">
        <is>
          <t>Commissioning</t>
        </is>
      </c>
      <c r="Z40" t="inlineStr">
        <is>
          <t>Commissioning</t>
        </is>
      </c>
      <c r="AA40" s="115" t="n">
        <v>1</v>
      </c>
      <c r="AB40" s="115" t="n">
        <v>36</v>
      </c>
      <c r="AC40" t="inlineStr">
        <is>
          <t>Bell Curve</t>
        </is>
      </c>
      <c r="AD40" t="inlineStr">
        <is>
          <t>Generated from Resource_Rates and Manpower_Plan profile. FTE scaled to fit 40M demo.</t>
        </is>
      </c>
    </row>
    <row r="41">
      <c r="A41" t="inlineStr">
        <is>
          <t>Manpower_Plan</t>
        </is>
      </c>
      <c r="B41" t="n">
        <v>12</v>
      </c>
      <c r="C41" t="inlineStr">
        <is>
          <t>MP-011</t>
        </is>
      </c>
      <c r="D41" t="inlineStr">
        <is>
          <t>Document Controller</t>
        </is>
      </c>
      <c r="E41" t="inlineStr">
        <is>
          <t>Project Management</t>
        </is>
      </c>
      <c r="F41" t="inlineStr">
        <is>
          <t>2.0</t>
        </is>
      </c>
      <c r="G41" t="inlineStr">
        <is>
          <t>ENG</t>
        </is>
      </c>
      <c r="H41" t="inlineStr">
        <is>
          <t>Manpower Cost</t>
        </is>
      </c>
      <c r="I41" t="inlineStr">
        <is>
          <t>Labour</t>
        </is>
      </c>
      <c r="J41" t="n">
        <v>1</v>
      </c>
      <c r="K41" t="inlineStr">
        <is>
          <t>lot</t>
        </is>
      </c>
      <c r="L41" t="n">
        <v>149068.3229813665</v>
      </c>
      <c r="M41" t="inlineStr">
        <is>
          <t>EUR</t>
        </is>
      </c>
      <c r="N41" s="134" t="n">
        <v>1</v>
      </c>
      <c r="O41" s="134" t="n">
        <v>149068.3229813665</v>
      </c>
      <c r="P41" s="134" t="n">
        <v>149068.3229813665</v>
      </c>
      <c r="Q41" s="116" t="inlineStr">
        <is>
          <t>Class 3</t>
        </is>
      </c>
      <c r="R41" s="116" t="n">
        <v>-0.2</v>
      </c>
      <c r="S41" s="134" t="n">
        <v>0.3</v>
      </c>
      <c r="T41" s="134" t="n">
        <v>119254.6583850932</v>
      </c>
      <c r="U41" s="134" t="n">
        <v>149068.3229813665</v>
      </c>
      <c r="V41" t="n">
        <v>193788.8198757764</v>
      </c>
      <c r="W41" t="inlineStr">
        <is>
          <t>Yes</t>
        </is>
      </c>
      <c r="X41" t="inlineStr">
        <is>
          <t>Yes</t>
        </is>
      </c>
      <c r="Y41" t="inlineStr">
        <is>
          <t>Engineering</t>
        </is>
      </c>
      <c r="Z41" t="inlineStr">
        <is>
          <t>Engineering</t>
        </is>
      </c>
      <c r="AA41" s="115" t="n">
        <v>1</v>
      </c>
      <c r="AB41" s="115" t="n">
        <v>36</v>
      </c>
      <c r="AC41" t="inlineStr">
        <is>
          <t>Bell Curve</t>
        </is>
      </c>
      <c r="AD41" t="inlineStr">
        <is>
          <t>Generated from Resource_Rates and Manpower_Plan profile. FTE scaled to fit 40M demo.</t>
        </is>
      </c>
    </row>
  </sheetData>
  <mergeCells count="2">
    <mergeCell ref="A2:AD2"/>
    <mergeCell ref="A1:A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005B9BD5"/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4.25"/>
  <cols>
    <col width="22" customWidth="1" style="70" min="1" max="1"/>
    <col width="28" customWidth="1" style="70" min="2" max="2"/>
    <col width="16" customWidth="1" style="70" min="3" max="6"/>
    <col width="12" customWidth="1" style="70" min="7" max="7"/>
    <col width="36" customWidth="1" style="70" min="8" max="8"/>
  </cols>
  <sheetData>
    <row r="1" ht="27.95000076293945" customHeight="1" s="70">
      <c r="A1" s="66" t="inlineStr">
        <is>
          <t>Estimate BuildUp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Aggregations by category, discipline, WBS, phase and eligibility. Reconciles to Cost_Register.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</row>
    <row r="4" ht="24" customHeight="1" s="70">
      <c r="A4" s="71" t="inlineStr">
        <is>
          <t>Breakdown Type</t>
        </is>
      </c>
      <c r="B4" s="71" t="inlineStr">
        <is>
          <t>Breakdown</t>
        </is>
      </c>
      <c r="C4" s="71" t="inlineStr">
        <is>
          <t>Base Cost EUR</t>
        </is>
      </c>
      <c r="D4" s="71" t="inlineStr">
        <is>
          <t>Low Cost EUR</t>
        </is>
      </c>
      <c r="E4" s="71" t="inlineStr">
        <is>
          <t>Most Likely EUR</t>
        </is>
      </c>
      <c r="F4" s="71" t="inlineStr">
        <is>
          <t>High Cost EUR</t>
        </is>
      </c>
      <c r="G4" s="71" t="inlineStr">
        <is>
          <t>% of Base</t>
        </is>
      </c>
      <c r="H4" s="71" t="inlineStr">
        <is>
          <t>Notes</t>
        </is>
      </c>
    </row>
    <row r="5">
      <c r="A5" t="inlineStr">
        <is>
          <t>Cost Category</t>
        </is>
      </c>
      <c r="B5" t="inlineStr">
        <is>
          <t>Direct Cost</t>
        </is>
      </c>
      <c r="C5" s="134">
        <f>IF($A5="Cost Category",SUMIFS(Cost_Register!$P:$P,Cost_Register!$H:$H,$B5),IF($A5="Discipline",SUMIFS(Cost_Register!$P:$P,Cost_Register!$E:$E,$B5),IF($A5="WBS",SUMIFS(Cost_Register!$P:$P,Cost_Register!$F:$F,$B5),IF($A5="Phase",SUMIFS(Cost_Register!$P:$P,Cost_Register!$Z:$Z,$B5),IF($A5="Contingency Eligible",SUMIFS(Cost_Register!$P:$P,Cost_Register!$W:$W,$B5),IF($A5="Escalation Eligible",SUMIFS(Cost_Register!$P:$P,Cost_Register!$X:$X,$B5),0))))))</f>
        <v/>
      </c>
      <c r="D5" s="134">
        <f>IF($A5="Cost Category",SUMIFS(Cost_Register!$T:$T,Cost_Register!$H:$H,$B5),IF($A5="Discipline",SUMIFS(Cost_Register!$T:$T,Cost_Register!$E:$E,$B5),IF($A5="WBS",SUMIFS(Cost_Register!$T:$T,Cost_Register!$F:$F,$B5),IF($A5="Phase",SUMIFS(Cost_Register!$T:$T,Cost_Register!$Z:$Z,$B5),IF($A5="Contingency Eligible",SUMIFS(Cost_Register!$T:$T,Cost_Register!$W:$W,$B5),IF($A5="Escalation Eligible",SUMIFS(Cost_Register!$T:$T,Cost_Register!$X:$X,$B5),0))))))</f>
        <v/>
      </c>
      <c r="E5" s="134">
        <f>IF($A5="Cost Category",SUMIFS(Cost_Register!$U:$U,Cost_Register!$H:$H,$B5),IF($A5="Discipline",SUMIFS(Cost_Register!$U:$U,Cost_Register!$E:$E,$B5),IF($A5="WBS",SUMIFS(Cost_Register!$U:$U,Cost_Register!$F:$F,$B5),IF($A5="Phase",SUMIFS(Cost_Register!$U:$U,Cost_Register!$Z:$Z,$B5),IF($A5="Contingency Eligible",SUMIFS(Cost_Register!$U:$U,Cost_Register!$W:$W,$B5),IF($A5="Escalation Eligible",SUMIFS(Cost_Register!$U:$U,Cost_Register!$X:$X,$B5),0))))))</f>
        <v/>
      </c>
      <c r="F5" s="134">
        <f>IF($A5="Cost Category",SUMIFS(Cost_Register!$V:$V,Cost_Register!$H:$H,$B5),IF($A5="Discipline",SUMIFS(Cost_Register!$V:$V,Cost_Register!$E:$E,$B5),IF($A5="WBS",SUMIFS(Cost_Register!$V:$V,Cost_Register!$F:$F,$B5),IF($A5="Phase",SUMIFS(Cost_Register!$V:$V,Cost_Register!$Z:$Z,$B5),IF($A5="Contingency Eligible",SUMIFS(Cost_Register!$V:$V,Cost_Register!$W:$W,$B5),IF($A5="Escalation Eligible",SUMIFS(Cost_Register!$V:$V,Cost_Register!$X:$X,$B5),0))))))</f>
        <v/>
      </c>
      <c r="G5" s="94">
        <f>IFERROR(C5/SUM(Cost_Register!$P:$P),0)</f>
        <v/>
      </c>
      <c r="H5" t="inlineStr">
        <is>
          <t>Formula-driven aggregation</t>
        </is>
      </c>
    </row>
    <row r="6">
      <c r="A6" t="inlineStr">
        <is>
          <t>Cost Category</t>
        </is>
      </c>
      <c r="B6" t="inlineStr">
        <is>
          <t>Indirect Cost</t>
        </is>
      </c>
      <c r="C6" s="134">
        <f>IF($A6="Cost Category",SUMIFS(Cost_Register!$P:$P,Cost_Register!$H:$H,$B6),IF($A6="Discipline",SUMIFS(Cost_Register!$P:$P,Cost_Register!$E:$E,$B6),IF($A6="WBS",SUMIFS(Cost_Register!$P:$P,Cost_Register!$F:$F,$B6),IF($A6="Phase",SUMIFS(Cost_Register!$P:$P,Cost_Register!$Z:$Z,$B6),IF($A6="Contingency Eligible",SUMIFS(Cost_Register!$P:$P,Cost_Register!$W:$W,$B6),IF($A6="Escalation Eligible",SUMIFS(Cost_Register!$P:$P,Cost_Register!$X:$X,$B6),0))))))</f>
        <v/>
      </c>
      <c r="D6" s="134">
        <f>IF($A6="Cost Category",SUMIFS(Cost_Register!$T:$T,Cost_Register!$H:$H,$B6),IF($A6="Discipline",SUMIFS(Cost_Register!$T:$T,Cost_Register!$E:$E,$B6),IF($A6="WBS",SUMIFS(Cost_Register!$T:$T,Cost_Register!$F:$F,$B6),IF($A6="Phase",SUMIFS(Cost_Register!$T:$T,Cost_Register!$Z:$Z,$B6),IF($A6="Contingency Eligible",SUMIFS(Cost_Register!$T:$T,Cost_Register!$W:$W,$B6),IF($A6="Escalation Eligible",SUMIFS(Cost_Register!$T:$T,Cost_Register!$X:$X,$B6),0))))))</f>
        <v/>
      </c>
      <c r="E6" s="134">
        <f>IF($A6="Cost Category",SUMIFS(Cost_Register!$U:$U,Cost_Register!$H:$H,$B6),IF($A6="Discipline",SUMIFS(Cost_Register!$U:$U,Cost_Register!$E:$E,$B6),IF($A6="WBS",SUMIFS(Cost_Register!$U:$U,Cost_Register!$F:$F,$B6),IF($A6="Phase",SUMIFS(Cost_Register!$U:$U,Cost_Register!$Z:$Z,$B6),IF($A6="Contingency Eligible",SUMIFS(Cost_Register!$U:$U,Cost_Register!$W:$W,$B6),IF($A6="Escalation Eligible",SUMIFS(Cost_Register!$U:$U,Cost_Register!$X:$X,$B6),0))))))</f>
        <v/>
      </c>
      <c r="F6" s="134">
        <f>IF($A6="Cost Category",SUMIFS(Cost_Register!$V:$V,Cost_Register!$H:$H,$B6),IF($A6="Discipline",SUMIFS(Cost_Register!$V:$V,Cost_Register!$E:$E,$B6),IF($A6="WBS",SUMIFS(Cost_Register!$V:$V,Cost_Register!$F:$F,$B6),IF($A6="Phase",SUMIFS(Cost_Register!$V:$V,Cost_Register!$Z:$Z,$B6),IF($A6="Contingency Eligible",SUMIFS(Cost_Register!$V:$V,Cost_Register!$W:$W,$B6),IF($A6="Escalation Eligible",SUMIFS(Cost_Register!$V:$V,Cost_Register!$X:$X,$B6),0))))))</f>
        <v/>
      </c>
      <c r="G6" s="94">
        <f>IFERROR(C6/SUM(Cost_Register!$P:$P),0)</f>
        <v/>
      </c>
      <c r="H6" t="inlineStr">
        <is>
          <t>Formula-driven aggregation</t>
        </is>
      </c>
    </row>
    <row r="7">
      <c r="A7" t="inlineStr">
        <is>
          <t>Cost Category</t>
        </is>
      </c>
      <c r="B7" t="inlineStr">
        <is>
          <t>Owner Cost</t>
        </is>
      </c>
      <c r="C7" s="134">
        <f>IF($A7="Cost Category",SUMIFS(Cost_Register!$P:$P,Cost_Register!$H:$H,$B7),IF($A7="Discipline",SUMIFS(Cost_Register!$P:$P,Cost_Register!$E:$E,$B7),IF($A7="WBS",SUMIFS(Cost_Register!$P:$P,Cost_Register!$F:$F,$B7),IF($A7="Phase",SUMIFS(Cost_Register!$P:$P,Cost_Register!$Z:$Z,$B7),IF($A7="Contingency Eligible",SUMIFS(Cost_Register!$P:$P,Cost_Register!$W:$W,$B7),IF($A7="Escalation Eligible",SUMIFS(Cost_Register!$P:$P,Cost_Register!$X:$X,$B7),0))))))</f>
        <v/>
      </c>
      <c r="D7" s="134">
        <f>IF($A7="Cost Category",SUMIFS(Cost_Register!$T:$T,Cost_Register!$H:$H,$B7),IF($A7="Discipline",SUMIFS(Cost_Register!$T:$T,Cost_Register!$E:$E,$B7),IF($A7="WBS",SUMIFS(Cost_Register!$T:$T,Cost_Register!$F:$F,$B7),IF($A7="Phase",SUMIFS(Cost_Register!$T:$T,Cost_Register!$Z:$Z,$B7),IF($A7="Contingency Eligible",SUMIFS(Cost_Register!$T:$T,Cost_Register!$W:$W,$B7),IF($A7="Escalation Eligible",SUMIFS(Cost_Register!$T:$T,Cost_Register!$X:$X,$B7),0))))))</f>
        <v/>
      </c>
      <c r="E7" s="134">
        <f>IF($A7="Cost Category",SUMIFS(Cost_Register!$U:$U,Cost_Register!$H:$H,$B7),IF($A7="Discipline",SUMIFS(Cost_Register!$U:$U,Cost_Register!$E:$E,$B7),IF($A7="WBS",SUMIFS(Cost_Register!$U:$U,Cost_Register!$F:$F,$B7),IF($A7="Phase",SUMIFS(Cost_Register!$U:$U,Cost_Register!$Z:$Z,$B7),IF($A7="Contingency Eligible",SUMIFS(Cost_Register!$U:$U,Cost_Register!$W:$W,$B7),IF($A7="Escalation Eligible",SUMIFS(Cost_Register!$U:$U,Cost_Register!$X:$X,$B7),0))))))</f>
        <v/>
      </c>
      <c r="F7" s="134">
        <f>IF($A7="Cost Category",SUMIFS(Cost_Register!$V:$V,Cost_Register!$H:$H,$B7),IF($A7="Discipline",SUMIFS(Cost_Register!$V:$V,Cost_Register!$E:$E,$B7),IF($A7="WBS",SUMIFS(Cost_Register!$V:$V,Cost_Register!$F:$F,$B7),IF($A7="Phase",SUMIFS(Cost_Register!$V:$V,Cost_Register!$Z:$Z,$B7),IF($A7="Contingency Eligible",SUMIFS(Cost_Register!$V:$V,Cost_Register!$W:$W,$B7),IF($A7="Escalation Eligible",SUMIFS(Cost_Register!$V:$V,Cost_Register!$X:$X,$B7),0))))))</f>
        <v/>
      </c>
      <c r="G7" s="94">
        <f>IFERROR(C7/SUM(Cost_Register!$P:$P),0)</f>
        <v/>
      </c>
      <c r="H7" t="inlineStr">
        <is>
          <t>Formula-driven aggregation</t>
        </is>
      </c>
    </row>
    <row r="8">
      <c r="A8" t="inlineStr">
        <is>
          <t>Cost Category</t>
        </is>
      </c>
      <c r="B8" t="inlineStr">
        <is>
          <t>Manpower Cost</t>
        </is>
      </c>
      <c r="C8" s="134">
        <f>IF($A8="Cost Category",SUMIFS(Cost_Register!$P:$P,Cost_Register!$H:$H,$B8),IF($A8="Discipline",SUMIFS(Cost_Register!$P:$P,Cost_Register!$E:$E,$B8),IF($A8="WBS",SUMIFS(Cost_Register!$P:$P,Cost_Register!$F:$F,$B8),IF($A8="Phase",SUMIFS(Cost_Register!$P:$P,Cost_Register!$Z:$Z,$B8),IF($A8="Contingency Eligible",SUMIFS(Cost_Register!$P:$P,Cost_Register!$W:$W,$B8),IF($A8="Escalation Eligible",SUMIFS(Cost_Register!$P:$P,Cost_Register!$X:$X,$B8),0))))))</f>
        <v/>
      </c>
      <c r="D8" s="134">
        <f>IF($A8="Cost Category",SUMIFS(Cost_Register!$T:$T,Cost_Register!$H:$H,$B8),IF($A8="Discipline",SUMIFS(Cost_Register!$T:$T,Cost_Register!$E:$E,$B8),IF($A8="WBS",SUMIFS(Cost_Register!$T:$T,Cost_Register!$F:$F,$B8),IF($A8="Phase",SUMIFS(Cost_Register!$T:$T,Cost_Register!$Z:$Z,$B8),IF($A8="Contingency Eligible",SUMIFS(Cost_Register!$T:$T,Cost_Register!$W:$W,$B8),IF($A8="Escalation Eligible",SUMIFS(Cost_Register!$T:$T,Cost_Register!$X:$X,$B8),0))))))</f>
        <v/>
      </c>
      <c r="E8" s="134">
        <f>IF($A8="Cost Category",SUMIFS(Cost_Register!$U:$U,Cost_Register!$H:$H,$B8),IF($A8="Discipline",SUMIFS(Cost_Register!$U:$U,Cost_Register!$E:$E,$B8),IF($A8="WBS",SUMIFS(Cost_Register!$U:$U,Cost_Register!$F:$F,$B8),IF($A8="Phase",SUMIFS(Cost_Register!$U:$U,Cost_Register!$Z:$Z,$B8),IF($A8="Contingency Eligible",SUMIFS(Cost_Register!$U:$U,Cost_Register!$W:$W,$B8),IF($A8="Escalation Eligible",SUMIFS(Cost_Register!$U:$U,Cost_Register!$X:$X,$B8),0))))))</f>
        <v/>
      </c>
      <c r="F8" s="134">
        <f>IF($A8="Cost Category",SUMIFS(Cost_Register!$V:$V,Cost_Register!$H:$H,$B8),IF($A8="Discipline",SUMIFS(Cost_Register!$V:$V,Cost_Register!$E:$E,$B8),IF($A8="WBS",SUMIFS(Cost_Register!$V:$V,Cost_Register!$F:$F,$B8),IF($A8="Phase",SUMIFS(Cost_Register!$V:$V,Cost_Register!$Z:$Z,$B8),IF($A8="Contingency Eligible",SUMIFS(Cost_Register!$V:$V,Cost_Register!$W:$W,$B8),IF($A8="Escalation Eligible",SUMIFS(Cost_Register!$V:$V,Cost_Register!$X:$X,$B8),0))))))</f>
        <v/>
      </c>
      <c r="G8" s="94">
        <f>IFERROR(C8/SUM(Cost_Register!$P:$P),0)</f>
        <v/>
      </c>
      <c r="H8" t="inlineStr">
        <is>
          <t>Formula-driven aggregation</t>
        </is>
      </c>
    </row>
    <row r="9">
      <c r="A9" t="inlineStr">
        <is>
          <t>Cost Category</t>
        </is>
      </c>
      <c r="B9" t="inlineStr">
        <is>
          <t>Other Cost</t>
        </is>
      </c>
      <c r="C9" s="134">
        <f>IF($A9="Cost Category",SUMIFS(Cost_Register!$P:$P,Cost_Register!$H:$H,$B9),IF($A9="Discipline",SUMIFS(Cost_Register!$P:$P,Cost_Register!$E:$E,$B9),IF($A9="WBS",SUMIFS(Cost_Register!$P:$P,Cost_Register!$F:$F,$B9),IF($A9="Phase",SUMIFS(Cost_Register!$P:$P,Cost_Register!$Z:$Z,$B9),IF($A9="Contingency Eligible",SUMIFS(Cost_Register!$P:$P,Cost_Register!$W:$W,$B9),IF($A9="Escalation Eligible",SUMIFS(Cost_Register!$P:$P,Cost_Register!$X:$X,$B9),0))))))</f>
        <v/>
      </c>
      <c r="D9" s="134">
        <f>IF($A9="Cost Category",SUMIFS(Cost_Register!$T:$T,Cost_Register!$H:$H,$B9),IF($A9="Discipline",SUMIFS(Cost_Register!$T:$T,Cost_Register!$E:$E,$B9),IF($A9="WBS",SUMIFS(Cost_Register!$T:$T,Cost_Register!$F:$F,$B9),IF($A9="Phase",SUMIFS(Cost_Register!$T:$T,Cost_Register!$Z:$Z,$B9),IF($A9="Contingency Eligible",SUMIFS(Cost_Register!$T:$T,Cost_Register!$W:$W,$B9),IF($A9="Escalation Eligible",SUMIFS(Cost_Register!$T:$T,Cost_Register!$X:$X,$B9),0))))))</f>
        <v/>
      </c>
      <c r="E9" s="134">
        <f>IF($A9="Cost Category",SUMIFS(Cost_Register!$U:$U,Cost_Register!$H:$H,$B9),IF($A9="Discipline",SUMIFS(Cost_Register!$U:$U,Cost_Register!$E:$E,$B9),IF($A9="WBS",SUMIFS(Cost_Register!$U:$U,Cost_Register!$F:$F,$B9),IF($A9="Phase",SUMIFS(Cost_Register!$U:$U,Cost_Register!$Z:$Z,$B9),IF($A9="Contingency Eligible",SUMIFS(Cost_Register!$U:$U,Cost_Register!$W:$W,$B9),IF($A9="Escalation Eligible",SUMIFS(Cost_Register!$U:$U,Cost_Register!$X:$X,$B9),0))))))</f>
        <v/>
      </c>
      <c r="F9" s="134">
        <f>IF($A9="Cost Category",SUMIFS(Cost_Register!$V:$V,Cost_Register!$H:$H,$B9),IF($A9="Discipline",SUMIFS(Cost_Register!$V:$V,Cost_Register!$E:$E,$B9),IF($A9="WBS",SUMIFS(Cost_Register!$V:$V,Cost_Register!$F:$F,$B9),IF($A9="Phase",SUMIFS(Cost_Register!$V:$V,Cost_Register!$Z:$Z,$B9),IF($A9="Contingency Eligible",SUMIFS(Cost_Register!$V:$V,Cost_Register!$W:$W,$B9),IF($A9="Escalation Eligible",SUMIFS(Cost_Register!$V:$V,Cost_Register!$X:$X,$B9),0))))))</f>
        <v/>
      </c>
      <c r="G9" s="94">
        <f>IFERROR(C9/SUM(Cost_Register!$P:$P),0)</f>
        <v/>
      </c>
      <c r="H9" t="inlineStr">
        <is>
          <t>Formula-driven aggregation</t>
        </is>
      </c>
    </row>
    <row r="10">
      <c r="A10" t="inlineStr">
        <is>
          <t>Discipline</t>
        </is>
      </c>
      <c r="B10" t="inlineStr">
        <is>
          <t>Automation</t>
        </is>
      </c>
      <c r="C10" s="134">
        <f>IF($A10="Cost Category",SUMIFS(Cost_Register!$P:$P,Cost_Register!$H:$H,$B10),IF($A10="Discipline",SUMIFS(Cost_Register!$P:$P,Cost_Register!$E:$E,$B10),IF($A10="WBS",SUMIFS(Cost_Register!$P:$P,Cost_Register!$F:$F,$B10),IF($A10="Phase",SUMIFS(Cost_Register!$P:$P,Cost_Register!$Z:$Z,$B10),IF($A10="Contingency Eligible",SUMIFS(Cost_Register!$P:$P,Cost_Register!$W:$W,$B10),IF($A10="Escalation Eligible",SUMIFS(Cost_Register!$P:$P,Cost_Register!$X:$X,$B10),0))))))</f>
        <v/>
      </c>
      <c r="D10" s="134">
        <f>IF($A10="Cost Category",SUMIFS(Cost_Register!$T:$T,Cost_Register!$H:$H,$B10),IF($A10="Discipline",SUMIFS(Cost_Register!$T:$T,Cost_Register!$E:$E,$B10),IF($A10="WBS",SUMIFS(Cost_Register!$T:$T,Cost_Register!$F:$F,$B10),IF($A10="Phase",SUMIFS(Cost_Register!$T:$T,Cost_Register!$Z:$Z,$B10),IF($A10="Contingency Eligible",SUMIFS(Cost_Register!$T:$T,Cost_Register!$W:$W,$B10),IF($A10="Escalation Eligible",SUMIFS(Cost_Register!$T:$T,Cost_Register!$X:$X,$B10),0))))))</f>
        <v/>
      </c>
      <c r="E10" s="134">
        <f>IF($A10="Cost Category",SUMIFS(Cost_Register!$U:$U,Cost_Register!$H:$H,$B10),IF($A10="Discipline",SUMIFS(Cost_Register!$U:$U,Cost_Register!$E:$E,$B10),IF($A10="WBS",SUMIFS(Cost_Register!$U:$U,Cost_Register!$F:$F,$B10),IF($A10="Phase",SUMIFS(Cost_Register!$U:$U,Cost_Register!$Z:$Z,$B10),IF($A10="Contingency Eligible",SUMIFS(Cost_Register!$U:$U,Cost_Register!$W:$W,$B10),IF($A10="Escalation Eligible",SUMIFS(Cost_Register!$U:$U,Cost_Register!$X:$X,$B10),0))))))</f>
        <v/>
      </c>
      <c r="F10" s="134">
        <f>IF($A10="Cost Category",SUMIFS(Cost_Register!$V:$V,Cost_Register!$H:$H,$B10),IF($A10="Discipline",SUMIFS(Cost_Register!$V:$V,Cost_Register!$E:$E,$B10),IF($A10="WBS",SUMIFS(Cost_Register!$V:$V,Cost_Register!$F:$F,$B10),IF($A10="Phase",SUMIFS(Cost_Register!$V:$V,Cost_Register!$Z:$Z,$B10),IF($A10="Contingency Eligible",SUMIFS(Cost_Register!$V:$V,Cost_Register!$W:$W,$B10),IF($A10="Escalation Eligible",SUMIFS(Cost_Register!$V:$V,Cost_Register!$X:$X,$B10),0))))))</f>
        <v/>
      </c>
      <c r="G10" s="94">
        <f>IFERROR(C10/SUM(Cost_Register!$P:$P),0)</f>
        <v/>
      </c>
      <c r="H10" t="inlineStr">
        <is>
          <t>Formula-driven aggregation</t>
        </is>
      </c>
    </row>
    <row r="11">
      <c r="A11" t="inlineStr">
        <is>
          <t>Discipline</t>
        </is>
      </c>
      <c r="B11" t="inlineStr">
        <is>
          <t>Civil</t>
        </is>
      </c>
      <c r="C11" s="134">
        <f>IF($A11="Cost Category",SUMIFS(Cost_Register!$P:$P,Cost_Register!$H:$H,$B11),IF($A11="Discipline",SUMIFS(Cost_Register!$P:$P,Cost_Register!$E:$E,$B11),IF($A11="WBS",SUMIFS(Cost_Register!$P:$P,Cost_Register!$F:$F,$B11),IF($A11="Phase",SUMIFS(Cost_Register!$P:$P,Cost_Register!$Z:$Z,$B11),IF($A11="Contingency Eligible",SUMIFS(Cost_Register!$P:$P,Cost_Register!$W:$W,$B11),IF($A11="Escalation Eligible",SUMIFS(Cost_Register!$P:$P,Cost_Register!$X:$X,$B11),0))))))</f>
        <v/>
      </c>
      <c r="D11" s="134">
        <f>IF($A11="Cost Category",SUMIFS(Cost_Register!$T:$T,Cost_Register!$H:$H,$B11),IF($A11="Discipline",SUMIFS(Cost_Register!$T:$T,Cost_Register!$E:$E,$B11),IF($A11="WBS",SUMIFS(Cost_Register!$T:$T,Cost_Register!$F:$F,$B11),IF($A11="Phase",SUMIFS(Cost_Register!$T:$T,Cost_Register!$Z:$Z,$B11),IF($A11="Contingency Eligible",SUMIFS(Cost_Register!$T:$T,Cost_Register!$W:$W,$B11),IF($A11="Escalation Eligible",SUMIFS(Cost_Register!$T:$T,Cost_Register!$X:$X,$B11),0))))))</f>
        <v/>
      </c>
      <c r="E11" s="134">
        <f>IF($A11="Cost Category",SUMIFS(Cost_Register!$U:$U,Cost_Register!$H:$H,$B11),IF($A11="Discipline",SUMIFS(Cost_Register!$U:$U,Cost_Register!$E:$E,$B11),IF($A11="WBS",SUMIFS(Cost_Register!$U:$U,Cost_Register!$F:$F,$B11),IF($A11="Phase",SUMIFS(Cost_Register!$U:$U,Cost_Register!$Z:$Z,$B11),IF($A11="Contingency Eligible",SUMIFS(Cost_Register!$U:$U,Cost_Register!$W:$W,$B11),IF($A11="Escalation Eligible",SUMIFS(Cost_Register!$U:$U,Cost_Register!$X:$X,$B11),0))))))</f>
        <v/>
      </c>
      <c r="F11" s="134">
        <f>IF($A11="Cost Category",SUMIFS(Cost_Register!$V:$V,Cost_Register!$H:$H,$B11),IF($A11="Discipline",SUMIFS(Cost_Register!$V:$V,Cost_Register!$E:$E,$B11),IF($A11="WBS",SUMIFS(Cost_Register!$V:$V,Cost_Register!$F:$F,$B11),IF($A11="Phase",SUMIFS(Cost_Register!$V:$V,Cost_Register!$Z:$Z,$B11),IF($A11="Contingency Eligible",SUMIFS(Cost_Register!$V:$V,Cost_Register!$W:$W,$B11),IF($A11="Escalation Eligible",SUMIFS(Cost_Register!$V:$V,Cost_Register!$X:$X,$B11),0))))))</f>
        <v/>
      </c>
      <c r="G11" s="94">
        <f>IFERROR(C11/SUM(Cost_Register!$P:$P),0)</f>
        <v/>
      </c>
      <c r="H11" t="inlineStr">
        <is>
          <t>Formula-driven aggregation</t>
        </is>
      </c>
    </row>
    <row r="12">
      <c r="A12" t="inlineStr">
        <is>
          <t>Discipline</t>
        </is>
      </c>
      <c r="B12" t="inlineStr">
        <is>
          <t>Commissioning</t>
        </is>
      </c>
      <c r="C12" s="134">
        <f>IF($A12="Cost Category",SUMIFS(Cost_Register!$P:$P,Cost_Register!$H:$H,$B12),IF($A12="Discipline",SUMIFS(Cost_Register!$P:$P,Cost_Register!$E:$E,$B12),IF($A12="WBS",SUMIFS(Cost_Register!$P:$P,Cost_Register!$F:$F,$B12),IF($A12="Phase",SUMIFS(Cost_Register!$P:$P,Cost_Register!$Z:$Z,$B12),IF($A12="Contingency Eligible",SUMIFS(Cost_Register!$P:$P,Cost_Register!$W:$W,$B12),IF($A12="Escalation Eligible",SUMIFS(Cost_Register!$P:$P,Cost_Register!$X:$X,$B12),0))))))</f>
        <v/>
      </c>
      <c r="D12" s="134">
        <f>IF($A12="Cost Category",SUMIFS(Cost_Register!$T:$T,Cost_Register!$H:$H,$B12),IF($A12="Discipline",SUMIFS(Cost_Register!$T:$T,Cost_Register!$E:$E,$B12),IF($A12="WBS",SUMIFS(Cost_Register!$T:$T,Cost_Register!$F:$F,$B12),IF($A12="Phase",SUMIFS(Cost_Register!$T:$T,Cost_Register!$Z:$Z,$B12),IF($A12="Contingency Eligible",SUMIFS(Cost_Register!$T:$T,Cost_Register!$W:$W,$B12),IF($A12="Escalation Eligible",SUMIFS(Cost_Register!$T:$T,Cost_Register!$X:$X,$B12),0))))))</f>
        <v/>
      </c>
      <c r="E12" s="134">
        <f>IF($A12="Cost Category",SUMIFS(Cost_Register!$U:$U,Cost_Register!$H:$H,$B12),IF($A12="Discipline",SUMIFS(Cost_Register!$U:$U,Cost_Register!$E:$E,$B12),IF($A12="WBS",SUMIFS(Cost_Register!$U:$U,Cost_Register!$F:$F,$B12),IF($A12="Phase",SUMIFS(Cost_Register!$U:$U,Cost_Register!$Z:$Z,$B12),IF($A12="Contingency Eligible",SUMIFS(Cost_Register!$U:$U,Cost_Register!$W:$W,$B12),IF($A12="Escalation Eligible",SUMIFS(Cost_Register!$U:$U,Cost_Register!$X:$X,$B12),0))))))</f>
        <v/>
      </c>
      <c r="F12" s="134">
        <f>IF($A12="Cost Category",SUMIFS(Cost_Register!$V:$V,Cost_Register!$H:$H,$B12),IF($A12="Discipline",SUMIFS(Cost_Register!$V:$V,Cost_Register!$E:$E,$B12),IF($A12="WBS",SUMIFS(Cost_Register!$V:$V,Cost_Register!$F:$F,$B12),IF($A12="Phase",SUMIFS(Cost_Register!$V:$V,Cost_Register!$Z:$Z,$B12),IF($A12="Contingency Eligible",SUMIFS(Cost_Register!$V:$V,Cost_Register!$W:$W,$B12),IF($A12="Escalation Eligible",SUMIFS(Cost_Register!$V:$V,Cost_Register!$X:$X,$B12),0))))))</f>
        <v/>
      </c>
      <c r="G12" s="94">
        <f>IFERROR(C12/SUM(Cost_Register!$P:$P),0)</f>
        <v/>
      </c>
      <c r="H12" t="inlineStr">
        <is>
          <t>Formula-driven aggregation</t>
        </is>
      </c>
    </row>
    <row r="13">
      <c r="A13" t="inlineStr">
        <is>
          <t>Discipline</t>
        </is>
      </c>
      <c r="B13" t="inlineStr">
        <is>
          <t>Construction</t>
        </is>
      </c>
      <c r="C13" s="134">
        <f>IF($A13="Cost Category",SUMIFS(Cost_Register!$P:$P,Cost_Register!$H:$H,$B13),IF($A13="Discipline",SUMIFS(Cost_Register!$P:$P,Cost_Register!$E:$E,$B13),IF($A13="WBS",SUMIFS(Cost_Register!$P:$P,Cost_Register!$F:$F,$B13),IF($A13="Phase",SUMIFS(Cost_Register!$P:$P,Cost_Register!$Z:$Z,$B13),IF($A13="Contingency Eligible",SUMIFS(Cost_Register!$P:$P,Cost_Register!$W:$W,$B13),IF($A13="Escalation Eligible",SUMIFS(Cost_Register!$P:$P,Cost_Register!$X:$X,$B13),0))))))</f>
        <v/>
      </c>
      <c r="D13" s="134">
        <f>IF($A13="Cost Category",SUMIFS(Cost_Register!$T:$T,Cost_Register!$H:$H,$B13),IF($A13="Discipline",SUMIFS(Cost_Register!$T:$T,Cost_Register!$E:$E,$B13),IF($A13="WBS",SUMIFS(Cost_Register!$T:$T,Cost_Register!$F:$F,$B13),IF($A13="Phase",SUMIFS(Cost_Register!$T:$T,Cost_Register!$Z:$Z,$B13),IF($A13="Contingency Eligible",SUMIFS(Cost_Register!$T:$T,Cost_Register!$W:$W,$B13),IF($A13="Escalation Eligible",SUMIFS(Cost_Register!$T:$T,Cost_Register!$X:$X,$B13),0))))))</f>
        <v/>
      </c>
      <c r="E13" s="134">
        <f>IF($A13="Cost Category",SUMIFS(Cost_Register!$U:$U,Cost_Register!$H:$H,$B13),IF($A13="Discipline",SUMIFS(Cost_Register!$U:$U,Cost_Register!$E:$E,$B13),IF($A13="WBS",SUMIFS(Cost_Register!$U:$U,Cost_Register!$F:$F,$B13),IF($A13="Phase",SUMIFS(Cost_Register!$U:$U,Cost_Register!$Z:$Z,$B13),IF($A13="Contingency Eligible",SUMIFS(Cost_Register!$U:$U,Cost_Register!$W:$W,$B13),IF($A13="Escalation Eligible",SUMIFS(Cost_Register!$U:$U,Cost_Register!$X:$X,$B13),0))))))</f>
        <v/>
      </c>
      <c r="F13" s="134">
        <f>IF($A13="Cost Category",SUMIFS(Cost_Register!$V:$V,Cost_Register!$H:$H,$B13),IF($A13="Discipline",SUMIFS(Cost_Register!$V:$V,Cost_Register!$E:$E,$B13),IF($A13="WBS",SUMIFS(Cost_Register!$V:$V,Cost_Register!$F:$F,$B13),IF($A13="Phase",SUMIFS(Cost_Register!$V:$V,Cost_Register!$Z:$Z,$B13),IF($A13="Contingency Eligible",SUMIFS(Cost_Register!$V:$V,Cost_Register!$W:$W,$B13),IF($A13="Escalation Eligible",SUMIFS(Cost_Register!$V:$V,Cost_Register!$X:$X,$B13),0))))))</f>
        <v/>
      </c>
      <c r="G13" s="94">
        <f>IFERROR(C13/SUM(Cost_Register!$P:$P),0)</f>
        <v/>
      </c>
      <c r="H13" t="inlineStr">
        <is>
          <t>Formula-driven aggregation</t>
        </is>
      </c>
    </row>
    <row r="14">
      <c r="A14" t="inlineStr">
        <is>
          <t>Discipline</t>
        </is>
      </c>
      <c r="B14" t="inlineStr">
        <is>
          <t>Electrical</t>
        </is>
      </c>
      <c r="C14" s="134">
        <f>IF($A14="Cost Category",SUMIFS(Cost_Register!$P:$P,Cost_Register!$H:$H,$B14),IF($A14="Discipline",SUMIFS(Cost_Register!$P:$P,Cost_Register!$E:$E,$B14),IF($A14="WBS",SUMIFS(Cost_Register!$P:$P,Cost_Register!$F:$F,$B14),IF($A14="Phase",SUMIFS(Cost_Register!$P:$P,Cost_Register!$Z:$Z,$B14),IF($A14="Contingency Eligible",SUMIFS(Cost_Register!$P:$P,Cost_Register!$W:$W,$B14),IF($A14="Escalation Eligible",SUMIFS(Cost_Register!$P:$P,Cost_Register!$X:$X,$B14),0))))))</f>
        <v/>
      </c>
      <c r="D14" s="134">
        <f>IF($A14="Cost Category",SUMIFS(Cost_Register!$T:$T,Cost_Register!$H:$H,$B14),IF($A14="Discipline",SUMIFS(Cost_Register!$T:$T,Cost_Register!$E:$E,$B14),IF($A14="WBS",SUMIFS(Cost_Register!$T:$T,Cost_Register!$F:$F,$B14),IF($A14="Phase",SUMIFS(Cost_Register!$T:$T,Cost_Register!$Z:$Z,$B14),IF($A14="Contingency Eligible",SUMIFS(Cost_Register!$T:$T,Cost_Register!$W:$W,$B14),IF($A14="Escalation Eligible",SUMIFS(Cost_Register!$T:$T,Cost_Register!$X:$X,$B14),0))))))</f>
        <v/>
      </c>
      <c r="E14" s="134">
        <f>IF($A14="Cost Category",SUMIFS(Cost_Register!$U:$U,Cost_Register!$H:$H,$B14),IF($A14="Discipline",SUMIFS(Cost_Register!$U:$U,Cost_Register!$E:$E,$B14),IF($A14="WBS",SUMIFS(Cost_Register!$U:$U,Cost_Register!$F:$F,$B14),IF($A14="Phase",SUMIFS(Cost_Register!$U:$U,Cost_Register!$Z:$Z,$B14),IF($A14="Contingency Eligible",SUMIFS(Cost_Register!$U:$U,Cost_Register!$W:$W,$B14),IF($A14="Escalation Eligible",SUMIFS(Cost_Register!$U:$U,Cost_Register!$X:$X,$B14),0))))))</f>
        <v/>
      </c>
      <c r="F14" s="134">
        <f>IF($A14="Cost Category",SUMIFS(Cost_Register!$V:$V,Cost_Register!$H:$H,$B14),IF($A14="Discipline",SUMIFS(Cost_Register!$V:$V,Cost_Register!$E:$E,$B14),IF($A14="WBS",SUMIFS(Cost_Register!$V:$V,Cost_Register!$F:$F,$B14),IF($A14="Phase",SUMIFS(Cost_Register!$V:$V,Cost_Register!$Z:$Z,$B14),IF($A14="Contingency Eligible",SUMIFS(Cost_Register!$V:$V,Cost_Register!$W:$W,$B14),IF($A14="Escalation Eligible",SUMIFS(Cost_Register!$V:$V,Cost_Register!$X:$X,$B14),0))))))</f>
        <v/>
      </c>
      <c r="G14" s="94">
        <f>IFERROR(C14/SUM(Cost_Register!$P:$P),0)</f>
        <v/>
      </c>
      <c r="H14" t="inlineStr">
        <is>
          <t>Formula-driven aggregation</t>
        </is>
      </c>
    </row>
    <row r="15">
      <c r="A15" t="inlineStr">
        <is>
          <t>Discipline</t>
        </is>
      </c>
      <c r="B15" t="inlineStr">
        <is>
          <t>HSE</t>
        </is>
      </c>
      <c r="C15" s="134">
        <f>IF($A15="Cost Category",SUMIFS(Cost_Register!$P:$P,Cost_Register!$H:$H,$B15),IF($A15="Discipline",SUMIFS(Cost_Register!$P:$P,Cost_Register!$E:$E,$B15),IF($A15="WBS",SUMIFS(Cost_Register!$P:$P,Cost_Register!$F:$F,$B15),IF($A15="Phase",SUMIFS(Cost_Register!$P:$P,Cost_Register!$Z:$Z,$B15),IF($A15="Contingency Eligible",SUMIFS(Cost_Register!$P:$P,Cost_Register!$W:$W,$B15),IF($A15="Escalation Eligible",SUMIFS(Cost_Register!$P:$P,Cost_Register!$X:$X,$B15),0))))))</f>
        <v/>
      </c>
      <c r="D15" s="134">
        <f>IF($A15="Cost Category",SUMIFS(Cost_Register!$T:$T,Cost_Register!$H:$H,$B15),IF($A15="Discipline",SUMIFS(Cost_Register!$T:$T,Cost_Register!$E:$E,$B15),IF($A15="WBS",SUMIFS(Cost_Register!$T:$T,Cost_Register!$F:$F,$B15),IF($A15="Phase",SUMIFS(Cost_Register!$T:$T,Cost_Register!$Z:$Z,$B15),IF($A15="Contingency Eligible",SUMIFS(Cost_Register!$T:$T,Cost_Register!$W:$W,$B15),IF($A15="Escalation Eligible",SUMIFS(Cost_Register!$T:$T,Cost_Register!$X:$X,$B15),0))))))</f>
        <v/>
      </c>
      <c r="E15" s="134">
        <f>IF($A15="Cost Category",SUMIFS(Cost_Register!$U:$U,Cost_Register!$H:$H,$B15),IF($A15="Discipline",SUMIFS(Cost_Register!$U:$U,Cost_Register!$E:$E,$B15),IF($A15="WBS",SUMIFS(Cost_Register!$U:$U,Cost_Register!$F:$F,$B15),IF($A15="Phase",SUMIFS(Cost_Register!$U:$U,Cost_Register!$Z:$Z,$B15),IF($A15="Contingency Eligible",SUMIFS(Cost_Register!$U:$U,Cost_Register!$W:$W,$B15),IF($A15="Escalation Eligible",SUMIFS(Cost_Register!$U:$U,Cost_Register!$X:$X,$B15),0))))))</f>
        <v/>
      </c>
      <c r="F15" s="134">
        <f>IF($A15="Cost Category",SUMIFS(Cost_Register!$V:$V,Cost_Register!$H:$H,$B15),IF($A15="Discipline",SUMIFS(Cost_Register!$V:$V,Cost_Register!$E:$E,$B15),IF($A15="WBS",SUMIFS(Cost_Register!$V:$V,Cost_Register!$F:$F,$B15),IF($A15="Phase",SUMIFS(Cost_Register!$V:$V,Cost_Register!$Z:$Z,$B15),IF($A15="Contingency Eligible",SUMIFS(Cost_Register!$V:$V,Cost_Register!$W:$W,$B15),IF($A15="Escalation Eligible",SUMIFS(Cost_Register!$V:$V,Cost_Register!$X:$X,$B15),0))))))</f>
        <v/>
      </c>
      <c r="G15" s="94">
        <f>IFERROR(C15/SUM(Cost_Register!$P:$P),0)</f>
        <v/>
      </c>
      <c r="H15" t="inlineStr">
        <is>
          <t>Formula-driven aggregation</t>
        </is>
      </c>
    </row>
    <row r="16">
      <c r="A16" t="inlineStr">
        <is>
          <t>Discipline</t>
        </is>
      </c>
      <c r="B16" t="inlineStr">
        <is>
          <t>Instrumentation</t>
        </is>
      </c>
      <c r="C16" s="134">
        <f>IF($A16="Cost Category",SUMIFS(Cost_Register!$P:$P,Cost_Register!$H:$H,$B16),IF($A16="Discipline",SUMIFS(Cost_Register!$P:$P,Cost_Register!$E:$E,$B16),IF($A16="WBS",SUMIFS(Cost_Register!$P:$P,Cost_Register!$F:$F,$B16),IF($A16="Phase",SUMIFS(Cost_Register!$P:$P,Cost_Register!$Z:$Z,$B16),IF($A16="Contingency Eligible",SUMIFS(Cost_Register!$P:$P,Cost_Register!$W:$W,$B16),IF($A16="Escalation Eligible",SUMIFS(Cost_Register!$P:$P,Cost_Register!$X:$X,$B16),0))))))</f>
        <v/>
      </c>
      <c r="D16" s="134">
        <f>IF($A16="Cost Category",SUMIFS(Cost_Register!$T:$T,Cost_Register!$H:$H,$B16),IF($A16="Discipline",SUMIFS(Cost_Register!$T:$T,Cost_Register!$E:$E,$B16),IF($A16="WBS",SUMIFS(Cost_Register!$T:$T,Cost_Register!$F:$F,$B16),IF($A16="Phase",SUMIFS(Cost_Register!$T:$T,Cost_Register!$Z:$Z,$B16),IF($A16="Contingency Eligible",SUMIFS(Cost_Register!$T:$T,Cost_Register!$W:$W,$B16),IF($A16="Escalation Eligible",SUMIFS(Cost_Register!$T:$T,Cost_Register!$X:$X,$B16),0))))))</f>
        <v/>
      </c>
      <c r="E16" s="134">
        <f>IF($A16="Cost Category",SUMIFS(Cost_Register!$U:$U,Cost_Register!$H:$H,$B16),IF($A16="Discipline",SUMIFS(Cost_Register!$U:$U,Cost_Register!$E:$E,$B16),IF($A16="WBS",SUMIFS(Cost_Register!$U:$U,Cost_Register!$F:$F,$B16),IF($A16="Phase",SUMIFS(Cost_Register!$U:$U,Cost_Register!$Z:$Z,$B16),IF($A16="Contingency Eligible",SUMIFS(Cost_Register!$U:$U,Cost_Register!$W:$W,$B16),IF($A16="Escalation Eligible",SUMIFS(Cost_Register!$U:$U,Cost_Register!$X:$X,$B16),0))))))</f>
        <v/>
      </c>
      <c r="F16" s="134">
        <f>IF($A16="Cost Category",SUMIFS(Cost_Register!$V:$V,Cost_Register!$H:$H,$B16),IF($A16="Discipline",SUMIFS(Cost_Register!$V:$V,Cost_Register!$E:$E,$B16),IF($A16="WBS",SUMIFS(Cost_Register!$V:$V,Cost_Register!$F:$F,$B16),IF($A16="Phase",SUMIFS(Cost_Register!$V:$V,Cost_Register!$Z:$Z,$B16),IF($A16="Contingency Eligible",SUMIFS(Cost_Register!$V:$V,Cost_Register!$W:$W,$B16),IF($A16="Escalation Eligible",SUMIFS(Cost_Register!$V:$V,Cost_Register!$X:$X,$B16),0))))))</f>
        <v/>
      </c>
      <c r="G16" s="94">
        <f>IFERROR(C16/SUM(Cost_Register!$P:$P),0)</f>
        <v/>
      </c>
      <c r="H16" t="inlineStr">
        <is>
          <t>Formula-driven aggregation</t>
        </is>
      </c>
    </row>
    <row r="17">
      <c r="A17" t="inlineStr">
        <is>
          <t>Discipline</t>
        </is>
      </c>
      <c r="B17" t="inlineStr">
        <is>
          <t>Mechanical</t>
        </is>
      </c>
      <c r="C17" s="134">
        <f>IF($A17="Cost Category",SUMIFS(Cost_Register!$P:$P,Cost_Register!$H:$H,$B17),IF($A17="Discipline",SUMIFS(Cost_Register!$P:$P,Cost_Register!$E:$E,$B17),IF($A17="WBS",SUMIFS(Cost_Register!$P:$P,Cost_Register!$F:$F,$B17),IF($A17="Phase",SUMIFS(Cost_Register!$P:$P,Cost_Register!$Z:$Z,$B17),IF($A17="Contingency Eligible",SUMIFS(Cost_Register!$P:$P,Cost_Register!$W:$W,$B17),IF($A17="Escalation Eligible",SUMIFS(Cost_Register!$P:$P,Cost_Register!$X:$X,$B17),0))))))</f>
        <v/>
      </c>
      <c r="D17" s="134">
        <f>IF($A17="Cost Category",SUMIFS(Cost_Register!$T:$T,Cost_Register!$H:$H,$B17),IF($A17="Discipline",SUMIFS(Cost_Register!$T:$T,Cost_Register!$E:$E,$B17),IF($A17="WBS",SUMIFS(Cost_Register!$T:$T,Cost_Register!$F:$F,$B17),IF($A17="Phase",SUMIFS(Cost_Register!$T:$T,Cost_Register!$Z:$Z,$B17),IF($A17="Contingency Eligible",SUMIFS(Cost_Register!$T:$T,Cost_Register!$W:$W,$B17),IF($A17="Escalation Eligible",SUMIFS(Cost_Register!$T:$T,Cost_Register!$X:$X,$B17),0))))))</f>
        <v/>
      </c>
      <c r="E17" s="134">
        <f>IF($A17="Cost Category",SUMIFS(Cost_Register!$U:$U,Cost_Register!$H:$H,$B17),IF($A17="Discipline",SUMIFS(Cost_Register!$U:$U,Cost_Register!$E:$E,$B17),IF($A17="WBS",SUMIFS(Cost_Register!$U:$U,Cost_Register!$F:$F,$B17),IF($A17="Phase",SUMIFS(Cost_Register!$U:$U,Cost_Register!$Z:$Z,$B17),IF($A17="Contingency Eligible",SUMIFS(Cost_Register!$U:$U,Cost_Register!$W:$W,$B17),IF($A17="Escalation Eligible",SUMIFS(Cost_Register!$U:$U,Cost_Register!$X:$X,$B17),0))))))</f>
        <v/>
      </c>
      <c r="F17" s="134">
        <f>IF($A17="Cost Category",SUMIFS(Cost_Register!$V:$V,Cost_Register!$H:$H,$B17),IF($A17="Discipline",SUMIFS(Cost_Register!$V:$V,Cost_Register!$E:$E,$B17),IF($A17="WBS",SUMIFS(Cost_Register!$V:$V,Cost_Register!$F:$F,$B17),IF($A17="Phase",SUMIFS(Cost_Register!$V:$V,Cost_Register!$Z:$Z,$B17),IF($A17="Contingency Eligible",SUMIFS(Cost_Register!$V:$V,Cost_Register!$W:$W,$B17),IF($A17="Escalation Eligible",SUMIFS(Cost_Register!$V:$V,Cost_Register!$X:$X,$B17),0))))))</f>
        <v/>
      </c>
      <c r="G17" s="94">
        <f>IFERROR(C17/SUM(Cost_Register!$P:$P),0)</f>
        <v/>
      </c>
      <c r="H17" t="inlineStr">
        <is>
          <t>Formula-driven aggregation</t>
        </is>
      </c>
    </row>
    <row r="18">
      <c r="A18" t="inlineStr">
        <is>
          <t>Discipline</t>
        </is>
      </c>
      <c r="B18" t="inlineStr">
        <is>
          <t>Other</t>
        </is>
      </c>
      <c r="C18" s="134">
        <f>IF($A18="Cost Category",SUMIFS(Cost_Register!$P:$P,Cost_Register!$H:$H,$B18),IF($A18="Discipline",SUMIFS(Cost_Register!$P:$P,Cost_Register!$E:$E,$B18),IF($A18="WBS",SUMIFS(Cost_Register!$P:$P,Cost_Register!$F:$F,$B18),IF($A18="Phase",SUMIFS(Cost_Register!$P:$P,Cost_Register!$Z:$Z,$B18),IF($A18="Contingency Eligible",SUMIFS(Cost_Register!$P:$P,Cost_Register!$W:$W,$B18),IF($A18="Escalation Eligible",SUMIFS(Cost_Register!$P:$P,Cost_Register!$X:$X,$B18),0))))))</f>
        <v/>
      </c>
      <c r="D18" s="134">
        <f>IF($A18="Cost Category",SUMIFS(Cost_Register!$T:$T,Cost_Register!$H:$H,$B18),IF($A18="Discipline",SUMIFS(Cost_Register!$T:$T,Cost_Register!$E:$E,$B18),IF($A18="WBS",SUMIFS(Cost_Register!$T:$T,Cost_Register!$F:$F,$B18),IF($A18="Phase",SUMIFS(Cost_Register!$T:$T,Cost_Register!$Z:$Z,$B18),IF($A18="Contingency Eligible",SUMIFS(Cost_Register!$T:$T,Cost_Register!$W:$W,$B18),IF($A18="Escalation Eligible",SUMIFS(Cost_Register!$T:$T,Cost_Register!$X:$X,$B18),0))))))</f>
        <v/>
      </c>
      <c r="E18" s="134">
        <f>IF($A18="Cost Category",SUMIFS(Cost_Register!$U:$U,Cost_Register!$H:$H,$B18),IF($A18="Discipline",SUMIFS(Cost_Register!$U:$U,Cost_Register!$E:$E,$B18),IF($A18="WBS",SUMIFS(Cost_Register!$U:$U,Cost_Register!$F:$F,$B18),IF($A18="Phase",SUMIFS(Cost_Register!$U:$U,Cost_Register!$Z:$Z,$B18),IF($A18="Contingency Eligible",SUMIFS(Cost_Register!$U:$U,Cost_Register!$W:$W,$B18),IF($A18="Escalation Eligible",SUMIFS(Cost_Register!$U:$U,Cost_Register!$X:$X,$B18),0))))))</f>
        <v/>
      </c>
      <c r="F18" s="134">
        <f>IF($A18="Cost Category",SUMIFS(Cost_Register!$V:$V,Cost_Register!$H:$H,$B18),IF($A18="Discipline",SUMIFS(Cost_Register!$V:$V,Cost_Register!$E:$E,$B18),IF($A18="WBS",SUMIFS(Cost_Register!$V:$V,Cost_Register!$F:$F,$B18),IF($A18="Phase",SUMIFS(Cost_Register!$V:$V,Cost_Register!$Z:$Z,$B18),IF($A18="Contingency Eligible",SUMIFS(Cost_Register!$V:$V,Cost_Register!$W:$W,$B18),IF($A18="Escalation Eligible",SUMIFS(Cost_Register!$V:$V,Cost_Register!$X:$X,$B18),0))))))</f>
        <v/>
      </c>
      <c r="G18" s="94">
        <f>IFERROR(C18/SUM(Cost_Register!$P:$P),0)</f>
        <v/>
      </c>
      <c r="H18" t="inlineStr">
        <is>
          <t>Formula-driven aggregation</t>
        </is>
      </c>
    </row>
    <row r="19">
      <c r="A19" t="inlineStr">
        <is>
          <t>Discipline</t>
        </is>
      </c>
      <c r="B19" t="inlineStr">
        <is>
          <t>Owner</t>
        </is>
      </c>
      <c r="C19" s="134">
        <f>IF($A19="Cost Category",SUMIFS(Cost_Register!$P:$P,Cost_Register!$H:$H,$B19),IF($A19="Discipline",SUMIFS(Cost_Register!$P:$P,Cost_Register!$E:$E,$B19),IF($A19="WBS",SUMIFS(Cost_Register!$P:$P,Cost_Register!$F:$F,$B19),IF($A19="Phase",SUMIFS(Cost_Register!$P:$P,Cost_Register!$Z:$Z,$B19),IF($A19="Contingency Eligible",SUMIFS(Cost_Register!$P:$P,Cost_Register!$W:$W,$B19),IF($A19="Escalation Eligible",SUMIFS(Cost_Register!$P:$P,Cost_Register!$X:$X,$B19),0))))))</f>
        <v/>
      </c>
      <c r="D19" s="134">
        <f>IF($A19="Cost Category",SUMIFS(Cost_Register!$T:$T,Cost_Register!$H:$H,$B19),IF($A19="Discipline",SUMIFS(Cost_Register!$T:$T,Cost_Register!$E:$E,$B19),IF($A19="WBS",SUMIFS(Cost_Register!$T:$T,Cost_Register!$F:$F,$B19),IF($A19="Phase",SUMIFS(Cost_Register!$T:$T,Cost_Register!$Z:$Z,$B19),IF($A19="Contingency Eligible",SUMIFS(Cost_Register!$T:$T,Cost_Register!$W:$W,$B19),IF($A19="Escalation Eligible",SUMIFS(Cost_Register!$T:$T,Cost_Register!$X:$X,$B19),0))))))</f>
        <v/>
      </c>
      <c r="E19" s="134">
        <f>IF($A19="Cost Category",SUMIFS(Cost_Register!$U:$U,Cost_Register!$H:$H,$B19),IF($A19="Discipline",SUMIFS(Cost_Register!$U:$U,Cost_Register!$E:$E,$B19),IF($A19="WBS",SUMIFS(Cost_Register!$U:$U,Cost_Register!$F:$F,$B19),IF($A19="Phase",SUMIFS(Cost_Register!$U:$U,Cost_Register!$Z:$Z,$B19),IF($A19="Contingency Eligible",SUMIFS(Cost_Register!$U:$U,Cost_Register!$W:$W,$B19),IF($A19="Escalation Eligible",SUMIFS(Cost_Register!$U:$U,Cost_Register!$X:$X,$B19),0))))))</f>
        <v/>
      </c>
      <c r="F19" s="134">
        <f>IF($A19="Cost Category",SUMIFS(Cost_Register!$V:$V,Cost_Register!$H:$H,$B19),IF($A19="Discipline",SUMIFS(Cost_Register!$V:$V,Cost_Register!$E:$E,$B19),IF($A19="WBS",SUMIFS(Cost_Register!$V:$V,Cost_Register!$F:$F,$B19),IF($A19="Phase",SUMIFS(Cost_Register!$V:$V,Cost_Register!$Z:$Z,$B19),IF($A19="Contingency Eligible",SUMIFS(Cost_Register!$V:$V,Cost_Register!$W:$W,$B19),IF($A19="Escalation Eligible",SUMIFS(Cost_Register!$V:$V,Cost_Register!$X:$X,$B19),0))))))</f>
        <v/>
      </c>
      <c r="G19" s="94">
        <f>IFERROR(C19/SUM(Cost_Register!$P:$P),0)</f>
        <v/>
      </c>
      <c r="H19" t="inlineStr">
        <is>
          <t>Formula-driven aggregation</t>
        </is>
      </c>
    </row>
    <row r="20">
      <c r="A20" t="inlineStr">
        <is>
          <t>Discipline</t>
        </is>
      </c>
      <c r="B20" t="inlineStr">
        <is>
          <t>Piping</t>
        </is>
      </c>
      <c r="C20" s="134">
        <f>IF($A20="Cost Category",SUMIFS(Cost_Register!$P:$P,Cost_Register!$H:$H,$B20),IF($A20="Discipline",SUMIFS(Cost_Register!$P:$P,Cost_Register!$E:$E,$B20),IF($A20="WBS",SUMIFS(Cost_Register!$P:$P,Cost_Register!$F:$F,$B20),IF($A20="Phase",SUMIFS(Cost_Register!$P:$P,Cost_Register!$Z:$Z,$B20),IF($A20="Contingency Eligible",SUMIFS(Cost_Register!$P:$P,Cost_Register!$W:$W,$B20),IF($A20="Escalation Eligible",SUMIFS(Cost_Register!$P:$P,Cost_Register!$X:$X,$B20),0))))))</f>
        <v/>
      </c>
      <c r="D20" s="134">
        <f>IF($A20="Cost Category",SUMIFS(Cost_Register!$T:$T,Cost_Register!$H:$H,$B20),IF($A20="Discipline",SUMIFS(Cost_Register!$T:$T,Cost_Register!$E:$E,$B20),IF($A20="WBS",SUMIFS(Cost_Register!$T:$T,Cost_Register!$F:$F,$B20),IF($A20="Phase",SUMIFS(Cost_Register!$T:$T,Cost_Register!$Z:$Z,$B20),IF($A20="Contingency Eligible",SUMIFS(Cost_Register!$T:$T,Cost_Register!$W:$W,$B20),IF($A20="Escalation Eligible",SUMIFS(Cost_Register!$T:$T,Cost_Register!$X:$X,$B20),0))))))</f>
        <v/>
      </c>
      <c r="E20" s="134">
        <f>IF($A20="Cost Category",SUMIFS(Cost_Register!$U:$U,Cost_Register!$H:$H,$B20),IF($A20="Discipline",SUMIFS(Cost_Register!$U:$U,Cost_Register!$E:$E,$B20),IF($A20="WBS",SUMIFS(Cost_Register!$U:$U,Cost_Register!$F:$F,$B20),IF($A20="Phase",SUMIFS(Cost_Register!$U:$U,Cost_Register!$Z:$Z,$B20),IF($A20="Contingency Eligible",SUMIFS(Cost_Register!$U:$U,Cost_Register!$W:$W,$B20),IF($A20="Escalation Eligible",SUMIFS(Cost_Register!$U:$U,Cost_Register!$X:$X,$B20),0))))))</f>
        <v/>
      </c>
      <c r="F20" s="134">
        <f>IF($A20="Cost Category",SUMIFS(Cost_Register!$V:$V,Cost_Register!$H:$H,$B20),IF($A20="Discipline",SUMIFS(Cost_Register!$V:$V,Cost_Register!$E:$E,$B20),IF($A20="WBS",SUMIFS(Cost_Register!$V:$V,Cost_Register!$F:$F,$B20),IF($A20="Phase",SUMIFS(Cost_Register!$V:$V,Cost_Register!$Z:$Z,$B20),IF($A20="Contingency Eligible",SUMIFS(Cost_Register!$V:$V,Cost_Register!$W:$W,$B20),IF($A20="Escalation Eligible",SUMIFS(Cost_Register!$V:$V,Cost_Register!$X:$X,$B20),0))))))</f>
        <v/>
      </c>
      <c r="G20" s="94">
        <f>IFERROR(C20/SUM(Cost_Register!$P:$P),0)</f>
        <v/>
      </c>
      <c r="H20" t="inlineStr">
        <is>
          <t>Formula-driven aggregation</t>
        </is>
      </c>
    </row>
    <row r="21">
      <c r="A21" t="inlineStr">
        <is>
          <t>Discipline</t>
        </is>
      </c>
      <c r="B21" t="inlineStr">
        <is>
          <t>Process</t>
        </is>
      </c>
      <c r="C21" s="134">
        <f>IF($A21="Cost Category",SUMIFS(Cost_Register!$P:$P,Cost_Register!$H:$H,$B21),IF($A21="Discipline",SUMIFS(Cost_Register!$P:$P,Cost_Register!$E:$E,$B21),IF($A21="WBS",SUMIFS(Cost_Register!$P:$P,Cost_Register!$F:$F,$B21),IF($A21="Phase",SUMIFS(Cost_Register!$P:$P,Cost_Register!$Z:$Z,$B21),IF($A21="Contingency Eligible",SUMIFS(Cost_Register!$P:$P,Cost_Register!$W:$W,$B21),IF($A21="Escalation Eligible",SUMIFS(Cost_Register!$P:$P,Cost_Register!$X:$X,$B21),0))))))</f>
        <v/>
      </c>
      <c r="D21" s="134">
        <f>IF($A21="Cost Category",SUMIFS(Cost_Register!$T:$T,Cost_Register!$H:$H,$B21),IF($A21="Discipline",SUMIFS(Cost_Register!$T:$T,Cost_Register!$E:$E,$B21),IF($A21="WBS",SUMIFS(Cost_Register!$T:$T,Cost_Register!$F:$F,$B21),IF($A21="Phase",SUMIFS(Cost_Register!$T:$T,Cost_Register!$Z:$Z,$B21),IF($A21="Contingency Eligible",SUMIFS(Cost_Register!$T:$T,Cost_Register!$W:$W,$B21),IF($A21="Escalation Eligible",SUMIFS(Cost_Register!$T:$T,Cost_Register!$X:$X,$B21),0))))))</f>
        <v/>
      </c>
      <c r="E21" s="134">
        <f>IF($A21="Cost Category",SUMIFS(Cost_Register!$U:$U,Cost_Register!$H:$H,$B21),IF($A21="Discipline",SUMIFS(Cost_Register!$U:$U,Cost_Register!$E:$E,$B21),IF($A21="WBS",SUMIFS(Cost_Register!$U:$U,Cost_Register!$F:$F,$B21),IF($A21="Phase",SUMIFS(Cost_Register!$U:$U,Cost_Register!$Z:$Z,$B21),IF($A21="Contingency Eligible",SUMIFS(Cost_Register!$U:$U,Cost_Register!$W:$W,$B21),IF($A21="Escalation Eligible",SUMIFS(Cost_Register!$U:$U,Cost_Register!$X:$X,$B21),0))))))</f>
        <v/>
      </c>
      <c r="F21" s="134">
        <f>IF($A21="Cost Category",SUMIFS(Cost_Register!$V:$V,Cost_Register!$H:$H,$B21),IF($A21="Discipline",SUMIFS(Cost_Register!$V:$V,Cost_Register!$E:$E,$B21),IF($A21="WBS",SUMIFS(Cost_Register!$V:$V,Cost_Register!$F:$F,$B21),IF($A21="Phase",SUMIFS(Cost_Register!$V:$V,Cost_Register!$Z:$Z,$B21),IF($A21="Contingency Eligible",SUMIFS(Cost_Register!$V:$V,Cost_Register!$W:$W,$B21),IF($A21="Escalation Eligible",SUMIFS(Cost_Register!$V:$V,Cost_Register!$X:$X,$B21),0))))))</f>
        <v/>
      </c>
      <c r="G21" s="94">
        <f>IFERROR(C21/SUM(Cost_Register!$P:$P),0)</f>
        <v/>
      </c>
      <c r="H21" t="inlineStr">
        <is>
          <t>Formula-driven aggregation</t>
        </is>
      </c>
    </row>
    <row r="22">
      <c r="A22" t="inlineStr">
        <is>
          <t>Discipline</t>
        </is>
      </c>
      <c r="B22" t="inlineStr">
        <is>
          <t>Procurement</t>
        </is>
      </c>
      <c r="C22" s="134">
        <f>IF($A22="Cost Category",SUMIFS(Cost_Register!$P:$P,Cost_Register!$H:$H,$B22),IF($A22="Discipline",SUMIFS(Cost_Register!$P:$P,Cost_Register!$E:$E,$B22),IF($A22="WBS",SUMIFS(Cost_Register!$P:$P,Cost_Register!$F:$F,$B22),IF($A22="Phase",SUMIFS(Cost_Register!$P:$P,Cost_Register!$Z:$Z,$B22),IF($A22="Contingency Eligible",SUMIFS(Cost_Register!$P:$P,Cost_Register!$W:$W,$B22),IF($A22="Escalation Eligible",SUMIFS(Cost_Register!$P:$P,Cost_Register!$X:$X,$B22),0))))))</f>
        <v/>
      </c>
      <c r="D22" s="134">
        <f>IF($A22="Cost Category",SUMIFS(Cost_Register!$T:$T,Cost_Register!$H:$H,$B22),IF($A22="Discipline",SUMIFS(Cost_Register!$T:$T,Cost_Register!$E:$E,$B22),IF($A22="WBS",SUMIFS(Cost_Register!$T:$T,Cost_Register!$F:$F,$B22),IF($A22="Phase",SUMIFS(Cost_Register!$T:$T,Cost_Register!$Z:$Z,$B22),IF($A22="Contingency Eligible",SUMIFS(Cost_Register!$T:$T,Cost_Register!$W:$W,$B22),IF($A22="Escalation Eligible",SUMIFS(Cost_Register!$T:$T,Cost_Register!$X:$X,$B22),0))))))</f>
        <v/>
      </c>
      <c r="E22" s="134">
        <f>IF($A22="Cost Category",SUMIFS(Cost_Register!$U:$U,Cost_Register!$H:$H,$B22),IF($A22="Discipline",SUMIFS(Cost_Register!$U:$U,Cost_Register!$E:$E,$B22),IF($A22="WBS",SUMIFS(Cost_Register!$U:$U,Cost_Register!$F:$F,$B22),IF($A22="Phase",SUMIFS(Cost_Register!$U:$U,Cost_Register!$Z:$Z,$B22),IF($A22="Contingency Eligible",SUMIFS(Cost_Register!$U:$U,Cost_Register!$W:$W,$B22),IF($A22="Escalation Eligible",SUMIFS(Cost_Register!$U:$U,Cost_Register!$X:$X,$B22),0))))))</f>
        <v/>
      </c>
      <c r="F22" s="134">
        <f>IF($A22="Cost Category",SUMIFS(Cost_Register!$V:$V,Cost_Register!$H:$H,$B22),IF($A22="Discipline",SUMIFS(Cost_Register!$V:$V,Cost_Register!$E:$E,$B22),IF($A22="WBS",SUMIFS(Cost_Register!$V:$V,Cost_Register!$F:$F,$B22),IF($A22="Phase",SUMIFS(Cost_Register!$V:$V,Cost_Register!$Z:$Z,$B22),IF($A22="Contingency Eligible",SUMIFS(Cost_Register!$V:$V,Cost_Register!$W:$W,$B22),IF($A22="Escalation Eligible",SUMIFS(Cost_Register!$V:$V,Cost_Register!$X:$X,$B22),0))))))</f>
        <v/>
      </c>
      <c r="G22" s="94">
        <f>IFERROR(C22/SUM(Cost_Register!$P:$P),0)</f>
        <v/>
      </c>
      <c r="H22" t="inlineStr">
        <is>
          <t>Formula-driven aggregation</t>
        </is>
      </c>
    </row>
    <row r="23">
      <c r="A23" t="inlineStr">
        <is>
          <t>Discipline</t>
        </is>
      </c>
      <c r="B23" t="inlineStr">
        <is>
          <t>Project Management</t>
        </is>
      </c>
      <c r="C23" s="134">
        <f>IF($A23="Cost Category",SUMIFS(Cost_Register!$P:$P,Cost_Register!$H:$H,$B23),IF($A23="Discipline",SUMIFS(Cost_Register!$P:$P,Cost_Register!$E:$E,$B23),IF($A23="WBS",SUMIFS(Cost_Register!$P:$P,Cost_Register!$F:$F,$B23),IF($A23="Phase",SUMIFS(Cost_Register!$P:$P,Cost_Register!$Z:$Z,$B23),IF($A23="Contingency Eligible",SUMIFS(Cost_Register!$P:$P,Cost_Register!$W:$W,$B23),IF($A23="Escalation Eligible",SUMIFS(Cost_Register!$P:$P,Cost_Register!$X:$X,$B23),0))))))</f>
        <v/>
      </c>
      <c r="D23" s="134">
        <f>IF($A23="Cost Category",SUMIFS(Cost_Register!$T:$T,Cost_Register!$H:$H,$B23),IF($A23="Discipline",SUMIFS(Cost_Register!$T:$T,Cost_Register!$E:$E,$B23),IF($A23="WBS",SUMIFS(Cost_Register!$T:$T,Cost_Register!$F:$F,$B23),IF($A23="Phase",SUMIFS(Cost_Register!$T:$T,Cost_Register!$Z:$Z,$B23),IF($A23="Contingency Eligible",SUMIFS(Cost_Register!$T:$T,Cost_Register!$W:$W,$B23),IF($A23="Escalation Eligible",SUMIFS(Cost_Register!$T:$T,Cost_Register!$X:$X,$B23),0))))))</f>
        <v/>
      </c>
      <c r="E23" s="134">
        <f>IF($A23="Cost Category",SUMIFS(Cost_Register!$U:$U,Cost_Register!$H:$H,$B23),IF($A23="Discipline",SUMIFS(Cost_Register!$U:$U,Cost_Register!$E:$E,$B23),IF($A23="WBS",SUMIFS(Cost_Register!$U:$U,Cost_Register!$F:$F,$B23),IF($A23="Phase",SUMIFS(Cost_Register!$U:$U,Cost_Register!$Z:$Z,$B23),IF($A23="Contingency Eligible",SUMIFS(Cost_Register!$U:$U,Cost_Register!$W:$W,$B23),IF($A23="Escalation Eligible",SUMIFS(Cost_Register!$U:$U,Cost_Register!$X:$X,$B23),0))))))</f>
        <v/>
      </c>
      <c r="F23" s="134">
        <f>IF($A23="Cost Category",SUMIFS(Cost_Register!$V:$V,Cost_Register!$H:$H,$B23),IF($A23="Discipline",SUMIFS(Cost_Register!$V:$V,Cost_Register!$E:$E,$B23),IF($A23="WBS",SUMIFS(Cost_Register!$V:$V,Cost_Register!$F:$F,$B23),IF($A23="Phase",SUMIFS(Cost_Register!$V:$V,Cost_Register!$Z:$Z,$B23),IF($A23="Contingency Eligible",SUMIFS(Cost_Register!$V:$V,Cost_Register!$W:$W,$B23),IF($A23="Escalation Eligible",SUMIFS(Cost_Register!$V:$V,Cost_Register!$X:$X,$B23),0))))))</f>
        <v/>
      </c>
      <c r="G23" s="94">
        <f>IFERROR(C23/SUM(Cost_Register!$P:$P),0)</f>
        <v/>
      </c>
      <c r="H23" t="inlineStr">
        <is>
          <t>Formula-driven aggregation</t>
        </is>
      </c>
    </row>
    <row r="24">
      <c r="A24" t="inlineStr">
        <is>
          <t>WBS</t>
        </is>
      </c>
      <c r="B24" t="inlineStr">
        <is>
          <t>1.0</t>
        </is>
      </c>
      <c r="C24" s="134">
        <f>IF($A24="Cost Category",SUMIFS(Cost_Register!$P:$P,Cost_Register!$H:$H,$B24),IF($A24="Discipline",SUMIFS(Cost_Register!$P:$P,Cost_Register!$E:$E,$B24),IF($A24="WBS",SUMIFS(Cost_Register!$P:$P,Cost_Register!$F:$F,$B24),IF($A24="Phase",SUMIFS(Cost_Register!$P:$P,Cost_Register!$Z:$Z,$B24),IF($A24="Contingency Eligible",SUMIFS(Cost_Register!$P:$P,Cost_Register!$W:$W,$B24),IF($A24="Escalation Eligible",SUMIFS(Cost_Register!$P:$P,Cost_Register!$X:$X,$B24),0))))))</f>
        <v/>
      </c>
      <c r="D24" s="134">
        <f>IF($A24="Cost Category",SUMIFS(Cost_Register!$T:$T,Cost_Register!$H:$H,$B24),IF($A24="Discipline",SUMIFS(Cost_Register!$T:$T,Cost_Register!$E:$E,$B24),IF($A24="WBS",SUMIFS(Cost_Register!$T:$T,Cost_Register!$F:$F,$B24),IF($A24="Phase",SUMIFS(Cost_Register!$T:$T,Cost_Register!$Z:$Z,$B24),IF($A24="Contingency Eligible",SUMIFS(Cost_Register!$T:$T,Cost_Register!$W:$W,$B24),IF($A24="Escalation Eligible",SUMIFS(Cost_Register!$T:$T,Cost_Register!$X:$X,$B24),0))))))</f>
        <v/>
      </c>
      <c r="E24" s="134">
        <f>IF($A24="Cost Category",SUMIFS(Cost_Register!$U:$U,Cost_Register!$H:$H,$B24),IF($A24="Discipline",SUMIFS(Cost_Register!$U:$U,Cost_Register!$E:$E,$B24),IF($A24="WBS",SUMIFS(Cost_Register!$U:$U,Cost_Register!$F:$F,$B24),IF($A24="Phase",SUMIFS(Cost_Register!$U:$U,Cost_Register!$Z:$Z,$B24),IF($A24="Contingency Eligible",SUMIFS(Cost_Register!$U:$U,Cost_Register!$W:$W,$B24),IF($A24="Escalation Eligible",SUMIFS(Cost_Register!$U:$U,Cost_Register!$X:$X,$B24),0))))))</f>
        <v/>
      </c>
      <c r="F24" s="134">
        <f>IF($A24="Cost Category",SUMIFS(Cost_Register!$V:$V,Cost_Register!$H:$H,$B24),IF($A24="Discipline",SUMIFS(Cost_Register!$V:$V,Cost_Register!$E:$E,$B24),IF($A24="WBS",SUMIFS(Cost_Register!$V:$V,Cost_Register!$F:$F,$B24),IF($A24="Phase",SUMIFS(Cost_Register!$V:$V,Cost_Register!$Z:$Z,$B24),IF($A24="Contingency Eligible",SUMIFS(Cost_Register!$V:$V,Cost_Register!$W:$W,$B24),IF($A24="Escalation Eligible",SUMIFS(Cost_Register!$V:$V,Cost_Register!$X:$X,$B24),0))))))</f>
        <v/>
      </c>
      <c r="G24" s="94">
        <f>IFERROR(C24/SUM(Cost_Register!$P:$P),0)</f>
        <v/>
      </c>
      <c r="H24" t="inlineStr">
        <is>
          <t>Formula-driven aggregation</t>
        </is>
      </c>
    </row>
    <row r="25">
      <c r="A25" t="inlineStr">
        <is>
          <t>WBS</t>
        </is>
      </c>
      <c r="B25" t="inlineStr">
        <is>
          <t>2.0</t>
        </is>
      </c>
      <c r="C25" s="134">
        <f>IF($A25="Cost Category",SUMIFS(Cost_Register!$P:$P,Cost_Register!$H:$H,$B25),IF($A25="Discipline",SUMIFS(Cost_Register!$P:$P,Cost_Register!$E:$E,$B25),IF($A25="WBS",SUMIFS(Cost_Register!$P:$P,Cost_Register!$F:$F,$B25),IF($A25="Phase",SUMIFS(Cost_Register!$P:$P,Cost_Register!$Z:$Z,$B25),IF($A25="Contingency Eligible",SUMIFS(Cost_Register!$P:$P,Cost_Register!$W:$W,$B25),IF($A25="Escalation Eligible",SUMIFS(Cost_Register!$P:$P,Cost_Register!$X:$X,$B25),0))))))</f>
        <v/>
      </c>
      <c r="D25" s="134">
        <f>IF($A25="Cost Category",SUMIFS(Cost_Register!$T:$T,Cost_Register!$H:$H,$B25),IF($A25="Discipline",SUMIFS(Cost_Register!$T:$T,Cost_Register!$E:$E,$B25),IF($A25="WBS",SUMIFS(Cost_Register!$T:$T,Cost_Register!$F:$F,$B25),IF($A25="Phase",SUMIFS(Cost_Register!$T:$T,Cost_Register!$Z:$Z,$B25),IF($A25="Contingency Eligible",SUMIFS(Cost_Register!$T:$T,Cost_Register!$W:$W,$B25),IF($A25="Escalation Eligible",SUMIFS(Cost_Register!$T:$T,Cost_Register!$X:$X,$B25),0))))))</f>
        <v/>
      </c>
      <c r="E25" s="134">
        <f>IF($A25="Cost Category",SUMIFS(Cost_Register!$U:$U,Cost_Register!$H:$H,$B25),IF($A25="Discipline",SUMIFS(Cost_Register!$U:$U,Cost_Register!$E:$E,$B25),IF($A25="WBS",SUMIFS(Cost_Register!$U:$U,Cost_Register!$F:$F,$B25),IF($A25="Phase",SUMIFS(Cost_Register!$U:$U,Cost_Register!$Z:$Z,$B25),IF($A25="Contingency Eligible",SUMIFS(Cost_Register!$U:$U,Cost_Register!$W:$W,$B25),IF($A25="Escalation Eligible",SUMIFS(Cost_Register!$U:$U,Cost_Register!$X:$X,$B25),0))))))</f>
        <v/>
      </c>
      <c r="F25" s="134">
        <f>IF($A25="Cost Category",SUMIFS(Cost_Register!$V:$V,Cost_Register!$H:$H,$B25),IF($A25="Discipline",SUMIFS(Cost_Register!$V:$V,Cost_Register!$E:$E,$B25),IF($A25="WBS",SUMIFS(Cost_Register!$V:$V,Cost_Register!$F:$F,$B25),IF($A25="Phase",SUMIFS(Cost_Register!$V:$V,Cost_Register!$Z:$Z,$B25),IF($A25="Contingency Eligible",SUMIFS(Cost_Register!$V:$V,Cost_Register!$W:$W,$B25),IF($A25="Escalation Eligible",SUMIFS(Cost_Register!$V:$V,Cost_Register!$X:$X,$B25),0))))))</f>
        <v/>
      </c>
      <c r="G25" s="94">
        <f>IFERROR(C25/SUM(Cost_Register!$P:$P),0)</f>
        <v/>
      </c>
      <c r="H25" t="inlineStr">
        <is>
          <t>Formula-driven aggregation</t>
        </is>
      </c>
    </row>
    <row r="26">
      <c r="A26" t="inlineStr">
        <is>
          <t>WBS</t>
        </is>
      </c>
      <c r="B26" t="inlineStr">
        <is>
          <t>3.0</t>
        </is>
      </c>
      <c r="C26" s="134">
        <f>IF($A26="Cost Category",SUMIFS(Cost_Register!$P:$P,Cost_Register!$H:$H,$B26),IF($A26="Discipline",SUMIFS(Cost_Register!$P:$P,Cost_Register!$E:$E,$B26),IF($A26="WBS",SUMIFS(Cost_Register!$P:$P,Cost_Register!$F:$F,$B26),IF($A26="Phase",SUMIFS(Cost_Register!$P:$P,Cost_Register!$Z:$Z,$B26),IF($A26="Contingency Eligible",SUMIFS(Cost_Register!$P:$P,Cost_Register!$W:$W,$B26),IF($A26="Escalation Eligible",SUMIFS(Cost_Register!$P:$P,Cost_Register!$X:$X,$B26),0))))))</f>
        <v/>
      </c>
      <c r="D26" s="134">
        <f>IF($A26="Cost Category",SUMIFS(Cost_Register!$T:$T,Cost_Register!$H:$H,$B26),IF($A26="Discipline",SUMIFS(Cost_Register!$T:$T,Cost_Register!$E:$E,$B26),IF($A26="WBS",SUMIFS(Cost_Register!$T:$T,Cost_Register!$F:$F,$B26),IF($A26="Phase",SUMIFS(Cost_Register!$T:$T,Cost_Register!$Z:$Z,$B26),IF($A26="Contingency Eligible",SUMIFS(Cost_Register!$T:$T,Cost_Register!$W:$W,$B26),IF($A26="Escalation Eligible",SUMIFS(Cost_Register!$T:$T,Cost_Register!$X:$X,$B26),0))))))</f>
        <v/>
      </c>
      <c r="E26" s="134">
        <f>IF($A26="Cost Category",SUMIFS(Cost_Register!$U:$U,Cost_Register!$H:$H,$B26),IF($A26="Discipline",SUMIFS(Cost_Register!$U:$U,Cost_Register!$E:$E,$B26),IF($A26="WBS",SUMIFS(Cost_Register!$U:$U,Cost_Register!$F:$F,$B26),IF($A26="Phase",SUMIFS(Cost_Register!$U:$U,Cost_Register!$Z:$Z,$B26),IF($A26="Contingency Eligible",SUMIFS(Cost_Register!$U:$U,Cost_Register!$W:$W,$B26),IF($A26="Escalation Eligible",SUMIFS(Cost_Register!$U:$U,Cost_Register!$X:$X,$B26),0))))))</f>
        <v/>
      </c>
      <c r="F26" s="134">
        <f>IF($A26="Cost Category",SUMIFS(Cost_Register!$V:$V,Cost_Register!$H:$H,$B26),IF($A26="Discipline",SUMIFS(Cost_Register!$V:$V,Cost_Register!$E:$E,$B26),IF($A26="WBS",SUMIFS(Cost_Register!$V:$V,Cost_Register!$F:$F,$B26),IF($A26="Phase",SUMIFS(Cost_Register!$V:$V,Cost_Register!$Z:$Z,$B26),IF($A26="Contingency Eligible",SUMIFS(Cost_Register!$V:$V,Cost_Register!$W:$W,$B26),IF($A26="Escalation Eligible",SUMIFS(Cost_Register!$V:$V,Cost_Register!$X:$X,$B26),0))))))</f>
        <v/>
      </c>
      <c r="G26" s="94">
        <f>IFERROR(C26/SUM(Cost_Register!$P:$P),0)</f>
        <v/>
      </c>
      <c r="H26" t="inlineStr">
        <is>
          <t>Formula-driven aggregation</t>
        </is>
      </c>
    </row>
    <row r="27">
      <c r="A27" t="inlineStr">
        <is>
          <t>WBS</t>
        </is>
      </c>
      <c r="B27" t="inlineStr">
        <is>
          <t>4.0</t>
        </is>
      </c>
      <c r="C27" s="134">
        <f>IF($A27="Cost Category",SUMIFS(Cost_Register!$P:$P,Cost_Register!$H:$H,$B27),IF($A27="Discipline",SUMIFS(Cost_Register!$P:$P,Cost_Register!$E:$E,$B27),IF($A27="WBS",SUMIFS(Cost_Register!$P:$P,Cost_Register!$F:$F,$B27),IF($A27="Phase",SUMIFS(Cost_Register!$P:$P,Cost_Register!$Z:$Z,$B27),IF($A27="Contingency Eligible",SUMIFS(Cost_Register!$P:$P,Cost_Register!$W:$W,$B27),IF($A27="Escalation Eligible",SUMIFS(Cost_Register!$P:$P,Cost_Register!$X:$X,$B27),0))))))</f>
        <v/>
      </c>
      <c r="D27" s="134">
        <f>IF($A27="Cost Category",SUMIFS(Cost_Register!$T:$T,Cost_Register!$H:$H,$B27),IF($A27="Discipline",SUMIFS(Cost_Register!$T:$T,Cost_Register!$E:$E,$B27),IF($A27="WBS",SUMIFS(Cost_Register!$T:$T,Cost_Register!$F:$F,$B27),IF($A27="Phase",SUMIFS(Cost_Register!$T:$T,Cost_Register!$Z:$Z,$B27),IF($A27="Contingency Eligible",SUMIFS(Cost_Register!$T:$T,Cost_Register!$W:$W,$B27),IF($A27="Escalation Eligible",SUMIFS(Cost_Register!$T:$T,Cost_Register!$X:$X,$B27),0))))))</f>
        <v/>
      </c>
      <c r="E27" s="134">
        <f>IF($A27="Cost Category",SUMIFS(Cost_Register!$U:$U,Cost_Register!$H:$H,$B27),IF($A27="Discipline",SUMIFS(Cost_Register!$U:$U,Cost_Register!$E:$E,$B27),IF($A27="WBS",SUMIFS(Cost_Register!$U:$U,Cost_Register!$F:$F,$B27),IF($A27="Phase",SUMIFS(Cost_Register!$U:$U,Cost_Register!$Z:$Z,$B27),IF($A27="Contingency Eligible",SUMIFS(Cost_Register!$U:$U,Cost_Register!$W:$W,$B27),IF($A27="Escalation Eligible",SUMIFS(Cost_Register!$U:$U,Cost_Register!$X:$X,$B27),0))))))</f>
        <v/>
      </c>
      <c r="F27" s="134">
        <f>IF($A27="Cost Category",SUMIFS(Cost_Register!$V:$V,Cost_Register!$H:$H,$B27),IF($A27="Discipline",SUMIFS(Cost_Register!$V:$V,Cost_Register!$E:$E,$B27),IF($A27="WBS",SUMIFS(Cost_Register!$V:$V,Cost_Register!$F:$F,$B27),IF($A27="Phase",SUMIFS(Cost_Register!$V:$V,Cost_Register!$Z:$Z,$B27),IF($A27="Contingency Eligible",SUMIFS(Cost_Register!$V:$V,Cost_Register!$W:$W,$B27),IF($A27="Escalation Eligible",SUMIFS(Cost_Register!$V:$V,Cost_Register!$X:$X,$B27),0))))))</f>
        <v/>
      </c>
      <c r="G27" s="94">
        <f>IFERROR(C27/SUM(Cost_Register!$P:$P),0)</f>
        <v/>
      </c>
      <c r="H27" t="inlineStr">
        <is>
          <t>Formula-driven aggregation</t>
        </is>
      </c>
    </row>
    <row r="28">
      <c r="A28" t="inlineStr">
        <is>
          <t>WBS</t>
        </is>
      </c>
      <c r="B28" t="inlineStr">
        <is>
          <t>5.0</t>
        </is>
      </c>
      <c r="C28" s="134">
        <f>IF($A28="Cost Category",SUMIFS(Cost_Register!$P:$P,Cost_Register!$H:$H,$B28),IF($A28="Discipline",SUMIFS(Cost_Register!$P:$P,Cost_Register!$E:$E,$B28),IF($A28="WBS",SUMIFS(Cost_Register!$P:$P,Cost_Register!$F:$F,$B28),IF($A28="Phase",SUMIFS(Cost_Register!$P:$P,Cost_Register!$Z:$Z,$B28),IF($A28="Contingency Eligible",SUMIFS(Cost_Register!$P:$P,Cost_Register!$W:$W,$B28),IF($A28="Escalation Eligible",SUMIFS(Cost_Register!$P:$P,Cost_Register!$X:$X,$B28),0))))))</f>
        <v/>
      </c>
      <c r="D28" s="134">
        <f>IF($A28="Cost Category",SUMIFS(Cost_Register!$T:$T,Cost_Register!$H:$H,$B28),IF($A28="Discipline",SUMIFS(Cost_Register!$T:$T,Cost_Register!$E:$E,$B28),IF($A28="WBS",SUMIFS(Cost_Register!$T:$T,Cost_Register!$F:$F,$B28),IF($A28="Phase",SUMIFS(Cost_Register!$T:$T,Cost_Register!$Z:$Z,$B28),IF($A28="Contingency Eligible",SUMIFS(Cost_Register!$T:$T,Cost_Register!$W:$W,$B28),IF($A28="Escalation Eligible",SUMIFS(Cost_Register!$T:$T,Cost_Register!$X:$X,$B28),0))))))</f>
        <v/>
      </c>
      <c r="E28" s="134">
        <f>IF($A28="Cost Category",SUMIFS(Cost_Register!$U:$U,Cost_Register!$H:$H,$B28),IF($A28="Discipline",SUMIFS(Cost_Register!$U:$U,Cost_Register!$E:$E,$B28),IF($A28="WBS",SUMIFS(Cost_Register!$U:$U,Cost_Register!$F:$F,$B28),IF($A28="Phase",SUMIFS(Cost_Register!$U:$U,Cost_Register!$Z:$Z,$B28),IF($A28="Contingency Eligible",SUMIFS(Cost_Register!$U:$U,Cost_Register!$W:$W,$B28),IF($A28="Escalation Eligible",SUMIFS(Cost_Register!$U:$U,Cost_Register!$X:$X,$B28),0))))))</f>
        <v/>
      </c>
      <c r="F28" s="134">
        <f>IF($A28="Cost Category",SUMIFS(Cost_Register!$V:$V,Cost_Register!$H:$H,$B28),IF($A28="Discipline",SUMIFS(Cost_Register!$V:$V,Cost_Register!$E:$E,$B28),IF($A28="WBS",SUMIFS(Cost_Register!$V:$V,Cost_Register!$F:$F,$B28),IF($A28="Phase",SUMIFS(Cost_Register!$V:$V,Cost_Register!$Z:$Z,$B28),IF($A28="Contingency Eligible",SUMIFS(Cost_Register!$V:$V,Cost_Register!$W:$W,$B28),IF($A28="Escalation Eligible",SUMIFS(Cost_Register!$V:$V,Cost_Register!$X:$X,$B28),0))))))</f>
        <v/>
      </c>
      <c r="G28" s="94">
        <f>IFERROR(C28/SUM(Cost_Register!$P:$P),0)</f>
        <v/>
      </c>
      <c r="H28" t="inlineStr">
        <is>
          <t>Formula-driven aggregation</t>
        </is>
      </c>
    </row>
    <row r="29">
      <c r="A29" t="inlineStr">
        <is>
          <t>WBS</t>
        </is>
      </c>
      <c r="B29" t="inlineStr">
        <is>
          <t>6.0</t>
        </is>
      </c>
      <c r="C29" s="134">
        <f>IF($A29="Cost Category",SUMIFS(Cost_Register!$P:$P,Cost_Register!$H:$H,$B29),IF($A29="Discipline",SUMIFS(Cost_Register!$P:$P,Cost_Register!$E:$E,$B29),IF($A29="WBS",SUMIFS(Cost_Register!$P:$P,Cost_Register!$F:$F,$B29),IF($A29="Phase",SUMIFS(Cost_Register!$P:$P,Cost_Register!$Z:$Z,$B29),IF($A29="Contingency Eligible",SUMIFS(Cost_Register!$P:$P,Cost_Register!$W:$W,$B29),IF($A29="Escalation Eligible",SUMIFS(Cost_Register!$P:$P,Cost_Register!$X:$X,$B29),0))))))</f>
        <v/>
      </c>
      <c r="D29" s="134">
        <f>IF($A29="Cost Category",SUMIFS(Cost_Register!$T:$T,Cost_Register!$H:$H,$B29),IF($A29="Discipline",SUMIFS(Cost_Register!$T:$T,Cost_Register!$E:$E,$B29),IF($A29="WBS",SUMIFS(Cost_Register!$T:$T,Cost_Register!$F:$F,$B29),IF($A29="Phase",SUMIFS(Cost_Register!$T:$T,Cost_Register!$Z:$Z,$B29),IF($A29="Contingency Eligible",SUMIFS(Cost_Register!$T:$T,Cost_Register!$W:$W,$B29),IF($A29="Escalation Eligible",SUMIFS(Cost_Register!$T:$T,Cost_Register!$X:$X,$B29),0))))))</f>
        <v/>
      </c>
      <c r="E29" s="134">
        <f>IF($A29="Cost Category",SUMIFS(Cost_Register!$U:$U,Cost_Register!$H:$H,$B29),IF($A29="Discipline",SUMIFS(Cost_Register!$U:$U,Cost_Register!$E:$E,$B29),IF($A29="WBS",SUMIFS(Cost_Register!$U:$U,Cost_Register!$F:$F,$B29),IF($A29="Phase",SUMIFS(Cost_Register!$U:$U,Cost_Register!$Z:$Z,$B29),IF($A29="Contingency Eligible",SUMIFS(Cost_Register!$U:$U,Cost_Register!$W:$W,$B29),IF($A29="Escalation Eligible",SUMIFS(Cost_Register!$U:$U,Cost_Register!$X:$X,$B29),0))))))</f>
        <v/>
      </c>
      <c r="F29" s="134">
        <f>IF($A29="Cost Category",SUMIFS(Cost_Register!$V:$V,Cost_Register!$H:$H,$B29),IF($A29="Discipline",SUMIFS(Cost_Register!$V:$V,Cost_Register!$E:$E,$B29),IF($A29="WBS",SUMIFS(Cost_Register!$V:$V,Cost_Register!$F:$F,$B29),IF($A29="Phase",SUMIFS(Cost_Register!$V:$V,Cost_Register!$Z:$Z,$B29),IF($A29="Contingency Eligible",SUMIFS(Cost_Register!$V:$V,Cost_Register!$W:$W,$B29),IF($A29="Escalation Eligible",SUMIFS(Cost_Register!$V:$V,Cost_Register!$X:$X,$B29),0))))))</f>
        <v/>
      </c>
      <c r="G29" s="94">
        <f>IFERROR(C29/SUM(Cost_Register!$P:$P),0)</f>
        <v/>
      </c>
      <c r="H29" t="inlineStr">
        <is>
          <t>Formula-driven aggregation</t>
        </is>
      </c>
    </row>
    <row r="30">
      <c r="A30" t="inlineStr">
        <is>
          <t>WBS</t>
        </is>
      </c>
      <c r="B30" t="inlineStr">
        <is>
          <t>7.0</t>
        </is>
      </c>
      <c r="C30" s="134">
        <f>IF($A30="Cost Category",SUMIFS(Cost_Register!$P:$P,Cost_Register!$H:$H,$B30),IF($A30="Discipline",SUMIFS(Cost_Register!$P:$P,Cost_Register!$E:$E,$B30),IF($A30="WBS",SUMIFS(Cost_Register!$P:$P,Cost_Register!$F:$F,$B30),IF($A30="Phase",SUMIFS(Cost_Register!$P:$P,Cost_Register!$Z:$Z,$B30),IF($A30="Contingency Eligible",SUMIFS(Cost_Register!$P:$P,Cost_Register!$W:$W,$B30),IF($A30="Escalation Eligible",SUMIFS(Cost_Register!$P:$P,Cost_Register!$X:$X,$B30),0))))))</f>
        <v/>
      </c>
      <c r="D30" s="134">
        <f>IF($A30="Cost Category",SUMIFS(Cost_Register!$T:$T,Cost_Register!$H:$H,$B30),IF($A30="Discipline",SUMIFS(Cost_Register!$T:$T,Cost_Register!$E:$E,$B30),IF($A30="WBS",SUMIFS(Cost_Register!$T:$T,Cost_Register!$F:$F,$B30),IF($A30="Phase",SUMIFS(Cost_Register!$T:$T,Cost_Register!$Z:$Z,$B30),IF($A30="Contingency Eligible",SUMIFS(Cost_Register!$T:$T,Cost_Register!$W:$W,$B30),IF($A30="Escalation Eligible",SUMIFS(Cost_Register!$T:$T,Cost_Register!$X:$X,$B30),0))))))</f>
        <v/>
      </c>
      <c r="E30" s="134">
        <f>IF($A30="Cost Category",SUMIFS(Cost_Register!$U:$U,Cost_Register!$H:$H,$B30),IF($A30="Discipline",SUMIFS(Cost_Register!$U:$U,Cost_Register!$E:$E,$B30),IF($A30="WBS",SUMIFS(Cost_Register!$U:$U,Cost_Register!$F:$F,$B30),IF($A30="Phase",SUMIFS(Cost_Register!$U:$U,Cost_Register!$Z:$Z,$B30),IF($A30="Contingency Eligible",SUMIFS(Cost_Register!$U:$U,Cost_Register!$W:$W,$B30),IF($A30="Escalation Eligible",SUMIFS(Cost_Register!$U:$U,Cost_Register!$X:$X,$B30),0))))))</f>
        <v/>
      </c>
      <c r="F30" s="134">
        <f>IF($A30="Cost Category",SUMIFS(Cost_Register!$V:$V,Cost_Register!$H:$H,$B30),IF($A30="Discipline",SUMIFS(Cost_Register!$V:$V,Cost_Register!$E:$E,$B30),IF($A30="WBS",SUMIFS(Cost_Register!$V:$V,Cost_Register!$F:$F,$B30),IF($A30="Phase",SUMIFS(Cost_Register!$V:$V,Cost_Register!$Z:$Z,$B30),IF($A30="Contingency Eligible",SUMIFS(Cost_Register!$V:$V,Cost_Register!$W:$W,$B30),IF($A30="Escalation Eligible",SUMIFS(Cost_Register!$V:$V,Cost_Register!$X:$X,$B30),0))))))</f>
        <v/>
      </c>
      <c r="G30" s="94">
        <f>IFERROR(C30/SUM(Cost_Register!$P:$P),0)</f>
        <v/>
      </c>
      <c r="H30" t="inlineStr">
        <is>
          <t>Formula-driven aggregation</t>
        </is>
      </c>
    </row>
    <row r="31">
      <c r="A31" t="inlineStr">
        <is>
          <t>WBS</t>
        </is>
      </c>
      <c r="B31" t="inlineStr">
        <is>
          <t>8.0</t>
        </is>
      </c>
      <c r="C31" s="134">
        <f>IF($A31="Cost Category",SUMIFS(Cost_Register!$P:$P,Cost_Register!$H:$H,$B31),IF($A31="Discipline",SUMIFS(Cost_Register!$P:$P,Cost_Register!$E:$E,$B31),IF($A31="WBS",SUMIFS(Cost_Register!$P:$P,Cost_Register!$F:$F,$B31),IF($A31="Phase",SUMIFS(Cost_Register!$P:$P,Cost_Register!$Z:$Z,$B31),IF($A31="Contingency Eligible",SUMIFS(Cost_Register!$P:$P,Cost_Register!$W:$W,$B31),IF($A31="Escalation Eligible",SUMIFS(Cost_Register!$P:$P,Cost_Register!$X:$X,$B31),0))))))</f>
        <v/>
      </c>
      <c r="D31" s="134">
        <f>IF($A31="Cost Category",SUMIFS(Cost_Register!$T:$T,Cost_Register!$H:$H,$B31),IF($A31="Discipline",SUMIFS(Cost_Register!$T:$T,Cost_Register!$E:$E,$B31),IF($A31="WBS",SUMIFS(Cost_Register!$T:$T,Cost_Register!$F:$F,$B31),IF($A31="Phase",SUMIFS(Cost_Register!$T:$T,Cost_Register!$Z:$Z,$B31),IF($A31="Contingency Eligible",SUMIFS(Cost_Register!$T:$T,Cost_Register!$W:$W,$B31),IF($A31="Escalation Eligible",SUMIFS(Cost_Register!$T:$T,Cost_Register!$X:$X,$B31),0))))))</f>
        <v/>
      </c>
      <c r="E31" s="134">
        <f>IF($A31="Cost Category",SUMIFS(Cost_Register!$U:$U,Cost_Register!$H:$H,$B31),IF($A31="Discipline",SUMIFS(Cost_Register!$U:$U,Cost_Register!$E:$E,$B31),IF($A31="WBS",SUMIFS(Cost_Register!$U:$U,Cost_Register!$F:$F,$B31),IF($A31="Phase",SUMIFS(Cost_Register!$U:$U,Cost_Register!$Z:$Z,$B31),IF($A31="Contingency Eligible",SUMIFS(Cost_Register!$U:$U,Cost_Register!$W:$W,$B31),IF($A31="Escalation Eligible",SUMIFS(Cost_Register!$U:$U,Cost_Register!$X:$X,$B31),0))))))</f>
        <v/>
      </c>
      <c r="F31" s="134">
        <f>IF($A31="Cost Category",SUMIFS(Cost_Register!$V:$V,Cost_Register!$H:$H,$B31),IF($A31="Discipline",SUMIFS(Cost_Register!$V:$V,Cost_Register!$E:$E,$B31),IF($A31="WBS",SUMIFS(Cost_Register!$V:$V,Cost_Register!$F:$F,$B31),IF($A31="Phase",SUMIFS(Cost_Register!$V:$V,Cost_Register!$Z:$Z,$B31),IF($A31="Contingency Eligible",SUMIFS(Cost_Register!$V:$V,Cost_Register!$W:$W,$B31),IF($A31="Escalation Eligible",SUMIFS(Cost_Register!$V:$V,Cost_Register!$X:$X,$B31),0))))))</f>
        <v/>
      </c>
      <c r="G31" s="94">
        <f>IFERROR(C31/SUM(Cost_Register!$P:$P),0)</f>
        <v/>
      </c>
      <c r="H31" t="inlineStr">
        <is>
          <t>Formula-driven aggregation</t>
        </is>
      </c>
    </row>
    <row r="32">
      <c r="A32" t="inlineStr">
        <is>
          <t>WBS</t>
        </is>
      </c>
      <c r="B32" t="inlineStr">
        <is>
          <t>9.0</t>
        </is>
      </c>
      <c r="C32" s="134">
        <f>IF($A32="Cost Category",SUMIFS(Cost_Register!$P:$P,Cost_Register!$H:$H,$B32),IF($A32="Discipline",SUMIFS(Cost_Register!$P:$P,Cost_Register!$E:$E,$B32),IF($A32="WBS",SUMIFS(Cost_Register!$P:$P,Cost_Register!$F:$F,$B32),IF($A32="Phase",SUMIFS(Cost_Register!$P:$P,Cost_Register!$Z:$Z,$B32),IF($A32="Contingency Eligible",SUMIFS(Cost_Register!$P:$P,Cost_Register!$W:$W,$B32),IF($A32="Escalation Eligible",SUMIFS(Cost_Register!$P:$P,Cost_Register!$X:$X,$B32),0))))))</f>
        <v/>
      </c>
      <c r="D32" s="134">
        <f>IF($A32="Cost Category",SUMIFS(Cost_Register!$T:$T,Cost_Register!$H:$H,$B32),IF($A32="Discipline",SUMIFS(Cost_Register!$T:$T,Cost_Register!$E:$E,$B32),IF($A32="WBS",SUMIFS(Cost_Register!$T:$T,Cost_Register!$F:$F,$B32),IF($A32="Phase",SUMIFS(Cost_Register!$T:$T,Cost_Register!$Z:$Z,$B32),IF($A32="Contingency Eligible",SUMIFS(Cost_Register!$T:$T,Cost_Register!$W:$W,$B32),IF($A32="Escalation Eligible",SUMIFS(Cost_Register!$T:$T,Cost_Register!$X:$X,$B32),0))))))</f>
        <v/>
      </c>
      <c r="E32" s="134">
        <f>IF($A32="Cost Category",SUMIFS(Cost_Register!$U:$U,Cost_Register!$H:$H,$B32),IF($A32="Discipline",SUMIFS(Cost_Register!$U:$U,Cost_Register!$E:$E,$B32),IF($A32="WBS",SUMIFS(Cost_Register!$U:$U,Cost_Register!$F:$F,$B32),IF($A32="Phase",SUMIFS(Cost_Register!$U:$U,Cost_Register!$Z:$Z,$B32),IF($A32="Contingency Eligible",SUMIFS(Cost_Register!$U:$U,Cost_Register!$W:$W,$B32),IF($A32="Escalation Eligible",SUMIFS(Cost_Register!$U:$U,Cost_Register!$X:$X,$B32),0))))))</f>
        <v/>
      </c>
      <c r="F32" s="134">
        <f>IF($A32="Cost Category",SUMIFS(Cost_Register!$V:$V,Cost_Register!$H:$H,$B32),IF($A32="Discipline",SUMIFS(Cost_Register!$V:$V,Cost_Register!$E:$E,$B32),IF($A32="WBS",SUMIFS(Cost_Register!$V:$V,Cost_Register!$F:$F,$B32),IF($A32="Phase",SUMIFS(Cost_Register!$V:$V,Cost_Register!$Z:$Z,$B32),IF($A32="Contingency Eligible",SUMIFS(Cost_Register!$V:$V,Cost_Register!$W:$W,$B32),IF($A32="Escalation Eligible",SUMIFS(Cost_Register!$V:$V,Cost_Register!$X:$X,$B32),0))))))</f>
        <v/>
      </c>
      <c r="G32" s="94">
        <f>IFERROR(C32/SUM(Cost_Register!$P:$P),0)</f>
        <v/>
      </c>
      <c r="H32" t="inlineStr">
        <is>
          <t>Formula-driven aggregation</t>
        </is>
      </c>
    </row>
    <row r="33">
      <c r="A33" t="inlineStr">
        <is>
          <t>WBS</t>
        </is>
      </c>
      <c r="B33" t="inlineStr">
        <is>
          <t>10.0</t>
        </is>
      </c>
      <c r="C33" s="134">
        <f>IF($A33="Cost Category",SUMIFS(Cost_Register!$P:$P,Cost_Register!$H:$H,$B33),IF($A33="Discipline",SUMIFS(Cost_Register!$P:$P,Cost_Register!$E:$E,$B33),IF($A33="WBS",SUMIFS(Cost_Register!$P:$P,Cost_Register!$F:$F,$B33),IF($A33="Phase",SUMIFS(Cost_Register!$P:$P,Cost_Register!$Z:$Z,$B33),IF($A33="Contingency Eligible",SUMIFS(Cost_Register!$P:$P,Cost_Register!$W:$W,$B33),IF($A33="Escalation Eligible",SUMIFS(Cost_Register!$P:$P,Cost_Register!$X:$X,$B33),0))))))</f>
        <v/>
      </c>
      <c r="D33" s="134">
        <f>IF($A33="Cost Category",SUMIFS(Cost_Register!$T:$T,Cost_Register!$H:$H,$B33),IF($A33="Discipline",SUMIFS(Cost_Register!$T:$T,Cost_Register!$E:$E,$B33),IF($A33="WBS",SUMIFS(Cost_Register!$T:$T,Cost_Register!$F:$F,$B33),IF($A33="Phase",SUMIFS(Cost_Register!$T:$T,Cost_Register!$Z:$Z,$B33),IF($A33="Contingency Eligible",SUMIFS(Cost_Register!$T:$T,Cost_Register!$W:$W,$B33),IF($A33="Escalation Eligible",SUMIFS(Cost_Register!$T:$T,Cost_Register!$X:$X,$B33),0))))))</f>
        <v/>
      </c>
      <c r="E33" s="134">
        <f>IF($A33="Cost Category",SUMIFS(Cost_Register!$U:$U,Cost_Register!$H:$H,$B33),IF($A33="Discipline",SUMIFS(Cost_Register!$U:$U,Cost_Register!$E:$E,$B33),IF($A33="WBS",SUMIFS(Cost_Register!$U:$U,Cost_Register!$F:$F,$B33),IF($A33="Phase",SUMIFS(Cost_Register!$U:$U,Cost_Register!$Z:$Z,$B33),IF($A33="Contingency Eligible",SUMIFS(Cost_Register!$U:$U,Cost_Register!$W:$W,$B33),IF($A33="Escalation Eligible",SUMIFS(Cost_Register!$U:$U,Cost_Register!$X:$X,$B33),0))))))</f>
        <v/>
      </c>
      <c r="F33" s="134">
        <f>IF($A33="Cost Category",SUMIFS(Cost_Register!$V:$V,Cost_Register!$H:$H,$B33),IF($A33="Discipline",SUMIFS(Cost_Register!$V:$V,Cost_Register!$E:$E,$B33),IF($A33="WBS",SUMIFS(Cost_Register!$V:$V,Cost_Register!$F:$F,$B33),IF($A33="Phase",SUMIFS(Cost_Register!$V:$V,Cost_Register!$Z:$Z,$B33),IF($A33="Contingency Eligible",SUMIFS(Cost_Register!$V:$V,Cost_Register!$W:$W,$B33),IF($A33="Escalation Eligible",SUMIFS(Cost_Register!$V:$V,Cost_Register!$X:$X,$B33),0))))))</f>
        <v/>
      </c>
      <c r="G33" s="94">
        <f>IFERROR(C33/SUM(Cost_Register!$P:$P),0)</f>
        <v/>
      </c>
      <c r="H33" t="inlineStr">
        <is>
          <t>Formula-driven aggregation</t>
        </is>
      </c>
    </row>
    <row r="34">
      <c r="A34" t="inlineStr">
        <is>
          <t>WBS</t>
        </is>
      </c>
      <c r="B34" t="inlineStr">
        <is>
          <t>11.0</t>
        </is>
      </c>
      <c r="C34" s="134">
        <f>IF($A34="Cost Category",SUMIFS(Cost_Register!$P:$P,Cost_Register!$H:$H,$B34),IF($A34="Discipline",SUMIFS(Cost_Register!$P:$P,Cost_Register!$E:$E,$B34),IF($A34="WBS",SUMIFS(Cost_Register!$P:$P,Cost_Register!$F:$F,$B34),IF($A34="Phase",SUMIFS(Cost_Register!$P:$P,Cost_Register!$Z:$Z,$B34),IF($A34="Contingency Eligible",SUMIFS(Cost_Register!$P:$P,Cost_Register!$W:$W,$B34),IF($A34="Escalation Eligible",SUMIFS(Cost_Register!$P:$P,Cost_Register!$X:$X,$B34),0))))))</f>
        <v/>
      </c>
      <c r="D34" s="134">
        <f>IF($A34="Cost Category",SUMIFS(Cost_Register!$T:$T,Cost_Register!$H:$H,$B34),IF($A34="Discipline",SUMIFS(Cost_Register!$T:$T,Cost_Register!$E:$E,$B34),IF($A34="WBS",SUMIFS(Cost_Register!$T:$T,Cost_Register!$F:$F,$B34),IF($A34="Phase",SUMIFS(Cost_Register!$T:$T,Cost_Register!$Z:$Z,$B34),IF($A34="Contingency Eligible",SUMIFS(Cost_Register!$T:$T,Cost_Register!$W:$W,$B34),IF($A34="Escalation Eligible",SUMIFS(Cost_Register!$T:$T,Cost_Register!$X:$X,$B34),0))))))</f>
        <v/>
      </c>
      <c r="E34" s="134">
        <f>IF($A34="Cost Category",SUMIFS(Cost_Register!$U:$U,Cost_Register!$H:$H,$B34),IF($A34="Discipline",SUMIFS(Cost_Register!$U:$U,Cost_Register!$E:$E,$B34),IF($A34="WBS",SUMIFS(Cost_Register!$U:$U,Cost_Register!$F:$F,$B34),IF($A34="Phase",SUMIFS(Cost_Register!$U:$U,Cost_Register!$Z:$Z,$B34),IF($A34="Contingency Eligible",SUMIFS(Cost_Register!$U:$U,Cost_Register!$W:$W,$B34),IF($A34="Escalation Eligible",SUMIFS(Cost_Register!$U:$U,Cost_Register!$X:$X,$B34),0))))))</f>
        <v/>
      </c>
      <c r="F34" s="134">
        <f>IF($A34="Cost Category",SUMIFS(Cost_Register!$V:$V,Cost_Register!$H:$H,$B34),IF($A34="Discipline",SUMIFS(Cost_Register!$V:$V,Cost_Register!$E:$E,$B34),IF($A34="WBS",SUMIFS(Cost_Register!$V:$V,Cost_Register!$F:$F,$B34),IF($A34="Phase",SUMIFS(Cost_Register!$V:$V,Cost_Register!$Z:$Z,$B34),IF($A34="Contingency Eligible",SUMIFS(Cost_Register!$V:$V,Cost_Register!$W:$W,$B34),IF($A34="Escalation Eligible",SUMIFS(Cost_Register!$V:$V,Cost_Register!$X:$X,$B34),0))))))</f>
        <v/>
      </c>
      <c r="G34" s="94">
        <f>IFERROR(C34/SUM(Cost_Register!$P:$P),0)</f>
        <v/>
      </c>
      <c r="H34" t="inlineStr">
        <is>
          <t>Formula-driven aggregation</t>
        </is>
      </c>
    </row>
    <row r="35">
      <c r="A35" t="inlineStr">
        <is>
          <t>WBS</t>
        </is>
      </c>
      <c r="B35" t="inlineStr">
        <is>
          <t>12.0</t>
        </is>
      </c>
      <c r="C35" s="134">
        <f>IF($A35="Cost Category",SUMIFS(Cost_Register!$P:$P,Cost_Register!$H:$H,$B35),IF($A35="Discipline",SUMIFS(Cost_Register!$P:$P,Cost_Register!$E:$E,$B35),IF($A35="WBS",SUMIFS(Cost_Register!$P:$P,Cost_Register!$F:$F,$B35),IF($A35="Phase",SUMIFS(Cost_Register!$P:$P,Cost_Register!$Z:$Z,$B35),IF($A35="Contingency Eligible",SUMIFS(Cost_Register!$P:$P,Cost_Register!$W:$W,$B35),IF($A35="Escalation Eligible",SUMIFS(Cost_Register!$P:$P,Cost_Register!$X:$X,$B35),0))))))</f>
        <v/>
      </c>
      <c r="D35" s="134">
        <f>IF($A35="Cost Category",SUMIFS(Cost_Register!$T:$T,Cost_Register!$H:$H,$B35),IF($A35="Discipline",SUMIFS(Cost_Register!$T:$T,Cost_Register!$E:$E,$B35),IF($A35="WBS",SUMIFS(Cost_Register!$T:$T,Cost_Register!$F:$F,$B35),IF($A35="Phase",SUMIFS(Cost_Register!$T:$T,Cost_Register!$Z:$Z,$B35),IF($A35="Contingency Eligible",SUMIFS(Cost_Register!$T:$T,Cost_Register!$W:$W,$B35),IF($A35="Escalation Eligible",SUMIFS(Cost_Register!$T:$T,Cost_Register!$X:$X,$B35),0))))))</f>
        <v/>
      </c>
      <c r="E35" s="134">
        <f>IF($A35="Cost Category",SUMIFS(Cost_Register!$U:$U,Cost_Register!$H:$H,$B35),IF($A35="Discipline",SUMIFS(Cost_Register!$U:$U,Cost_Register!$E:$E,$B35),IF($A35="WBS",SUMIFS(Cost_Register!$U:$U,Cost_Register!$F:$F,$B35),IF($A35="Phase",SUMIFS(Cost_Register!$U:$U,Cost_Register!$Z:$Z,$B35),IF($A35="Contingency Eligible",SUMIFS(Cost_Register!$U:$U,Cost_Register!$W:$W,$B35),IF($A35="Escalation Eligible",SUMIFS(Cost_Register!$U:$U,Cost_Register!$X:$X,$B35),0))))))</f>
        <v/>
      </c>
      <c r="F35" s="134">
        <f>IF($A35="Cost Category",SUMIFS(Cost_Register!$V:$V,Cost_Register!$H:$H,$B35),IF($A35="Discipline",SUMIFS(Cost_Register!$V:$V,Cost_Register!$E:$E,$B35),IF($A35="WBS",SUMIFS(Cost_Register!$V:$V,Cost_Register!$F:$F,$B35),IF($A35="Phase",SUMIFS(Cost_Register!$V:$V,Cost_Register!$Z:$Z,$B35),IF($A35="Contingency Eligible",SUMIFS(Cost_Register!$V:$V,Cost_Register!$W:$W,$B35),IF($A35="Escalation Eligible",SUMIFS(Cost_Register!$V:$V,Cost_Register!$X:$X,$B35),0))))))</f>
        <v/>
      </c>
      <c r="G35" s="94">
        <f>IFERROR(C35/SUM(Cost_Register!$P:$P),0)</f>
        <v/>
      </c>
      <c r="H35" t="inlineStr">
        <is>
          <t>Formula-driven aggregation</t>
        </is>
      </c>
    </row>
    <row r="36">
      <c r="A36" t="inlineStr">
        <is>
          <t>Phase</t>
        </is>
      </c>
      <c r="B36" t="inlineStr">
        <is>
          <t>Engineering</t>
        </is>
      </c>
      <c r="C36" s="134">
        <f>IF($A36="Cost Category",SUMIFS(Cost_Register!$P:$P,Cost_Register!$H:$H,$B36),IF($A36="Discipline",SUMIFS(Cost_Register!$P:$P,Cost_Register!$E:$E,$B36),IF($A36="WBS",SUMIFS(Cost_Register!$P:$P,Cost_Register!$F:$F,$B36),IF($A36="Phase",SUMIFS(Cost_Register!$P:$P,Cost_Register!$Z:$Z,$B36),IF($A36="Contingency Eligible",SUMIFS(Cost_Register!$P:$P,Cost_Register!$W:$W,$B36),IF($A36="Escalation Eligible",SUMIFS(Cost_Register!$P:$P,Cost_Register!$X:$X,$B36),0))))))</f>
        <v/>
      </c>
      <c r="D36" s="134">
        <f>IF($A36="Cost Category",SUMIFS(Cost_Register!$T:$T,Cost_Register!$H:$H,$B36),IF($A36="Discipline",SUMIFS(Cost_Register!$T:$T,Cost_Register!$E:$E,$B36),IF($A36="WBS",SUMIFS(Cost_Register!$T:$T,Cost_Register!$F:$F,$B36),IF($A36="Phase",SUMIFS(Cost_Register!$T:$T,Cost_Register!$Z:$Z,$B36),IF($A36="Contingency Eligible",SUMIFS(Cost_Register!$T:$T,Cost_Register!$W:$W,$B36),IF($A36="Escalation Eligible",SUMIFS(Cost_Register!$T:$T,Cost_Register!$X:$X,$B36),0))))))</f>
        <v/>
      </c>
      <c r="E36" s="134">
        <f>IF($A36="Cost Category",SUMIFS(Cost_Register!$U:$U,Cost_Register!$H:$H,$B36),IF($A36="Discipline",SUMIFS(Cost_Register!$U:$U,Cost_Register!$E:$E,$B36),IF($A36="WBS",SUMIFS(Cost_Register!$U:$U,Cost_Register!$F:$F,$B36),IF($A36="Phase",SUMIFS(Cost_Register!$U:$U,Cost_Register!$Z:$Z,$B36),IF($A36="Contingency Eligible",SUMIFS(Cost_Register!$U:$U,Cost_Register!$W:$W,$B36),IF($A36="Escalation Eligible",SUMIFS(Cost_Register!$U:$U,Cost_Register!$X:$X,$B36),0))))))</f>
        <v/>
      </c>
      <c r="F36" s="134">
        <f>IF($A36="Cost Category",SUMIFS(Cost_Register!$V:$V,Cost_Register!$H:$H,$B36),IF($A36="Discipline",SUMIFS(Cost_Register!$V:$V,Cost_Register!$E:$E,$B36),IF($A36="WBS",SUMIFS(Cost_Register!$V:$V,Cost_Register!$F:$F,$B36),IF($A36="Phase",SUMIFS(Cost_Register!$V:$V,Cost_Register!$Z:$Z,$B36),IF($A36="Contingency Eligible",SUMIFS(Cost_Register!$V:$V,Cost_Register!$W:$W,$B36),IF($A36="Escalation Eligible",SUMIFS(Cost_Register!$V:$V,Cost_Register!$X:$X,$B36),0))))))</f>
        <v/>
      </c>
      <c r="G36" s="94">
        <f>IFERROR(C36/SUM(Cost_Register!$P:$P),0)</f>
        <v/>
      </c>
      <c r="H36" t="inlineStr">
        <is>
          <t>Formula-driven aggregation</t>
        </is>
      </c>
    </row>
    <row r="37">
      <c r="A37" t="inlineStr">
        <is>
          <t>Phase</t>
        </is>
      </c>
      <c r="B37" t="inlineStr">
        <is>
          <t>Procurement</t>
        </is>
      </c>
      <c r="C37" s="134">
        <f>IF($A37="Cost Category",SUMIFS(Cost_Register!$P:$P,Cost_Register!$H:$H,$B37),IF($A37="Discipline",SUMIFS(Cost_Register!$P:$P,Cost_Register!$E:$E,$B37),IF($A37="WBS",SUMIFS(Cost_Register!$P:$P,Cost_Register!$F:$F,$B37),IF($A37="Phase",SUMIFS(Cost_Register!$P:$P,Cost_Register!$Z:$Z,$B37),IF($A37="Contingency Eligible",SUMIFS(Cost_Register!$P:$P,Cost_Register!$W:$W,$B37),IF($A37="Escalation Eligible",SUMIFS(Cost_Register!$P:$P,Cost_Register!$X:$X,$B37),0))))))</f>
        <v/>
      </c>
      <c r="D37" s="134">
        <f>IF($A37="Cost Category",SUMIFS(Cost_Register!$T:$T,Cost_Register!$H:$H,$B37),IF($A37="Discipline",SUMIFS(Cost_Register!$T:$T,Cost_Register!$E:$E,$B37),IF($A37="WBS",SUMIFS(Cost_Register!$T:$T,Cost_Register!$F:$F,$B37),IF($A37="Phase",SUMIFS(Cost_Register!$T:$T,Cost_Register!$Z:$Z,$B37),IF($A37="Contingency Eligible",SUMIFS(Cost_Register!$T:$T,Cost_Register!$W:$W,$B37),IF($A37="Escalation Eligible",SUMIFS(Cost_Register!$T:$T,Cost_Register!$X:$X,$B37),0))))))</f>
        <v/>
      </c>
      <c r="E37" s="134">
        <f>IF($A37="Cost Category",SUMIFS(Cost_Register!$U:$U,Cost_Register!$H:$H,$B37),IF($A37="Discipline",SUMIFS(Cost_Register!$U:$U,Cost_Register!$E:$E,$B37),IF($A37="WBS",SUMIFS(Cost_Register!$U:$U,Cost_Register!$F:$F,$B37),IF($A37="Phase",SUMIFS(Cost_Register!$U:$U,Cost_Register!$Z:$Z,$B37),IF($A37="Contingency Eligible",SUMIFS(Cost_Register!$U:$U,Cost_Register!$W:$W,$B37),IF($A37="Escalation Eligible",SUMIFS(Cost_Register!$U:$U,Cost_Register!$X:$X,$B37),0))))))</f>
        <v/>
      </c>
      <c r="F37" s="134">
        <f>IF($A37="Cost Category",SUMIFS(Cost_Register!$V:$V,Cost_Register!$H:$H,$B37),IF($A37="Discipline",SUMIFS(Cost_Register!$V:$V,Cost_Register!$E:$E,$B37),IF($A37="WBS",SUMIFS(Cost_Register!$V:$V,Cost_Register!$F:$F,$B37),IF($A37="Phase",SUMIFS(Cost_Register!$V:$V,Cost_Register!$Z:$Z,$B37),IF($A37="Contingency Eligible",SUMIFS(Cost_Register!$V:$V,Cost_Register!$W:$W,$B37),IF($A37="Escalation Eligible",SUMIFS(Cost_Register!$V:$V,Cost_Register!$X:$X,$B37),0))))))</f>
        <v/>
      </c>
      <c r="G37" s="94">
        <f>IFERROR(C37/SUM(Cost_Register!$P:$P),0)</f>
        <v/>
      </c>
      <c r="H37" t="inlineStr">
        <is>
          <t>Formula-driven aggregation</t>
        </is>
      </c>
    </row>
    <row r="38">
      <c r="A38" t="inlineStr">
        <is>
          <t>Phase</t>
        </is>
      </c>
      <c r="B38" t="inlineStr">
        <is>
          <t>Construction</t>
        </is>
      </c>
      <c r="C38" s="134">
        <f>IF($A38="Cost Category",SUMIFS(Cost_Register!$P:$P,Cost_Register!$H:$H,$B38),IF($A38="Discipline",SUMIFS(Cost_Register!$P:$P,Cost_Register!$E:$E,$B38),IF($A38="WBS",SUMIFS(Cost_Register!$P:$P,Cost_Register!$F:$F,$B38),IF($A38="Phase",SUMIFS(Cost_Register!$P:$P,Cost_Register!$Z:$Z,$B38),IF($A38="Contingency Eligible",SUMIFS(Cost_Register!$P:$P,Cost_Register!$W:$W,$B38),IF($A38="Escalation Eligible",SUMIFS(Cost_Register!$P:$P,Cost_Register!$X:$X,$B38),0))))))</f>
        <v/>
      </c>
      <c r="D38" s="134">
        <f>IF($A38="Cost Category",SUMIFS(Cost_Register!$T:$T,Cost_Register!$H:$H,$B38),IF($A38="Discipline",SUMIFS(Cost_Register!$T:$T,Cost_Register!$E:$E,$B38),IF($A38="WBS",SUMIFS(Cost_Register!$T:$T,Cost_Register!$F:$F,$B38),IF($A38="Phase",SUMIFS(Cost_Register!$T:$T,Cost_Register!$Z:$Z,$B38),IF($A38="Contingency Eligible",SUMIFS(Cost_Register!$T:$T,Cost_Register!$W:$W,$B38),IF($A38="Escalation Eligible",SUMIFS(Cost_Register!$T:$T,Cost_Register!$X:$X,$B38),0))))))</f>
        <v/>
      </c>
      <c r="E38" s="134">
        <f>IF($A38="Cost Category",SUMIFS(Cost_Register!$U:$U,Cost_Register!$H:$H,$B38),IF($A38="Discipline",SUMIFS(Cost_Register!$U:$U,Cost_Register!$E:$E,$B38),IF($A38="WBS",SUMIFS(Cost_Register!$U:$U,Cost_Register!$F:$F,$B38),IF($A38="Phase",SUMIFS(Cost_Register!$U:$U,Cost_Register!$Z:$Z,$B38),IF($A38="Contingency Eligible",SUMIFS(Cost_Register!$U:$U,Cost_Register!$W:$W,$B38),IF($A38="Escalation Eligible",SUMIFS(Cost_Register!$U:$U,Cost_Register!$X:$X,$B38),0))))))</f>
        <v/>
      </c>
      <c r="F38" s="134">
        <f>IF($A38="Cost Category",SUMIFS(Cost_Register!$V:$V,Cost_Register!$H:$H,$B38),IF($A38="Discipline",SUMIFS(Cost_Register!$V:$V,Cost_Register!$E:$E,$B38),IF($A38="WBS",SUMIFS(Cost_Register!$V:$V,Cost_Register!$F:$F,$B38),IF($A38="Phase",SUMIFS(Cost_Register!$V:$V,Cost_Register!$Z:$Z,$B38),IF($A38="Contingency Eligible",SUMIFS(Cost_Register!$V:$V,Cost_Register!$W:$W,$B38),IF($A38="Escalation Eligible",SUMIFS(Cost_Register!$V:$V,Cost_Register!$X:$X,$B38),0))))))</f>
        <v/>
      </c>
      <c r="G38" s="94">
        <f>IFERROR(C38/SUM(Cost_Register!$P:$P),0)</f>
        <v/>
      </c>
      <c r="H38" t="inlineStr">
        <is>
          <t>Formula-driven aggregation</t>
        </is>
      </c>
    </row>
    <row r="39">
      <c r="A39" t="inlineStr">
        <is>
          <t>Phase</t>
        </is>
      </c>
      <c r="B39" t="inlineStr">
        <is>
          <t>Commissioning</t>
        </is>
      </c>
      <c r="C39" s="134">
        <f>IF($A39="Cost Category",SUMIFS(Cost_Register!$P:$P,Cost_Register!$H:$H,$B39),IF($A39="Discipline",SUMIFS(Cost_Register!$P:$P,Cost_Register!$E:$E,$B39),IF($A39="WBS",SUMIFS(Cost_Register!$P:$P,Cost_Register!$F:$F,$B39),IF($A39="Phase",SUMIFS(Cost_Register!$P:$P,Cost_Register!$Z:$Z,$B39),IF($A39="Contingency Eligible",SUMIFS(Cost_Register!$P:$P,Cost_Register!$W:$W,$B39),IF($A39="Escalation Eligible",SUMIFS(Cost_Register!$P:$P,Cost_Register!$X:$X,$B39),0))))))</f>
        <v/>
      </c>
      <c r="D39" s="134">
        <f>IF($A39="Cost Category",SUMIFS(Cost_Register!$T:$T,Cost_Register!$H:$H,$B39),IF($A39="Discipline",SUMIFS(Cost_Register!$T:$T,Cost_Register!$E:$E,$B39),IF($A39="WBS",SUMIFS(Cost_Register!$T:$T,Cost_Register!$F:$F,$B39),IF($A39="Phase",SUMIFS(Cost_Register!$T:$T,Cost_Register!$Z:$Z,$B39),IF($A39="Contingency Eligible",SUMIFS(Cost_Register!$T:$T,Cost_Register!$W:$W,$B39),IF($A39="Escalation Eligible",SUMIFS(Cost_Register!$T:$T,Cost_Register!$X:$X,$B39),0))))))</f>
        <v/>
      </c>
      <c r="E39" s="134">
        <f>IF($A39="Cost Category",SUMIFS(Cost_Register!$U:$U,Cost_Register!$H:$H,$B39),IF($A39="Discipline",SUMIFS(Cost_Register!$U:$U,Cost_Register!$E:$E,$B39),IF($A39="WBS",SUMIFS(Cost_Register!$U:$U,Cost_Register!$F:$F,$B39),IF($A39="Phase",SUMIFS(Cost_Register!$U:$U,Cost_Register!$Z:$Z,$B39),IF($A39="Contingency Eligible",SUMIFS(Cost_Register!$U:$U,Cost_Register!$W:$W,$B39),IF($A39="Escalation Eligible",SUMIFS(Cost_Register!$U:$U,Cost_Register!$X:$X,$B39),0))))))</f>
        <v/>
      </c>
      <c r="F39" s="134">
        <f>IF($A39="Cost Category",SUMIFS(Cost_Register!$V:$V,Cost_Register!$H:$H,$B39),IF($A39="Discipline",SUMIFS(Cost_Register!$V:$V,Cost_Register!$E:$E,$B39),IF($A39="WBS",SUMIFS(Cost_Register!$V:$V,Cost_Register!$F:$F,$B39),IF($A39="Phase",SUMIFS(Cost_Register!$V:$V,Cost_Register!$Z:$Z,$B39),IF($A39="Contingency Eligible",SUMIFS(Cost_Register!$V:$V,Cost_Register!$W:$W,$B39),IF($A39="Escalation Eligible",SUMIFS(Cost_Register!$V:$V,Cost_Register!$X:$X,$B39),0))))))</f>
        <v/>
      </c>
      <c r="G39" s="94">
        <f>IFERROR(C39/SUM(Cost_Register!$P:$P),0)</f>
        <v/>
      </c>
      <c r="H39" t="inlineStr">
        <is>
          <t>Formula-driven aggregation</t>
        </is>
      </c>
    </row>
    <row r="40">
      <c r="A40" t="inlineStr">
        <is>
          <t>Phase</t>
        </is>
      </c>
      <c r="B40" t="inlineStr">
        <is>
          <t>Other</t>
        </is>
      </c>
      <c r="C40" s="134">
        <f>IF($A40="Cost Category",SUMIFS(Cost_Register!$P:$P,Cost_Register!$H:$H,$B40),IF($A40="Discipline",SUMIFS(Cost_Register!$P:$P,Cost_Register!$E:$E,$B40),IF($A40="WBS",SUMIFS(Cost_Register!$P:$P,Cost_Register!$F:$F,$B40),IF($A40="Phase",SUMIFS(Cost_Register!$P:$P,Cost_Register!$Z:$Z,$B40),IF($A40="Contingency Eligible",SUMIFS(Cost_Register!$P:$P,Cost_Register!$W:$W,$B40),IF($A40="Escalation Eligible",SUMIFS(Cost_Register!$P:$P,Cost_Register!$X:$X,$B40),0))))))</f>
        <v/>
      </c>
      <c r="D40" s="134">
        <f>IF($A40="Cost Category",SUMIFS(Cost_Register!$T:$T,Cost_Register!$H:$H,$B40),IF($A40="Discipline",SUMIFS(Cost_Register!$T:$T,Cost_Register!$E:$E,$B40),IF($A40="WBS",SUMIFS(Cost_Register!$T:$T,Cost_Register!$F:$F,$B40),IF($A40="Phase",SUMIFS(Cost_Register!$T:$T,Cost_Register!$Z:$Z,$B40),IF($A40="Contingency Eligible",SUMIFS(Cost_Register!$T:$T,Cost_Register!$W:$W,$B40),IF($A40="Escalation Eligible",SUMIFS(Cost_Register!$T:$T,Cost_Register!$X:$X,$B40),0))))))</f>
        <v/>
      </c>
      <c r="E40" s="134">
        <f>IF($A40="Cost Category",SUMIFS(Cost_Register!$U:$U,Cost_Register!$H:$H,$B40),IF($A40="Discipline",SUMIFS(Cost_Register!$U:$U,Cost_Register!$E:$E,$B40),IF($A40="WBS",SUMIFS(Cost_Register!$U:$U,Cost_Register!$F:$F,$B40),IF($A40="Phase",SUMIFS(Cost_Register!$U:$U,Cost_Register!$Z:$Z,$B40),IF($A40="Contingency Eligible",SUMIFS(Cost_Register!$U:$U,Cost_Register!$W:$W,$B40),IF($A40="Escalation Eligible",SUMIFS(Cost_Register!$U:$U,Cost_Register!$X:$X,$B40),0))))))</f>
        <v/>
      </c>
      <c r="F40" s="134">
        <f>IF($A40="Cost Category",SUMIFS(Cost_Register!$V:$V,Cost_Register!$H:$H,$B40),IF($A40="Discipline",SUMIFS(Cost_Register!$V:$V,Cost_Register!$E:$E,$B40),IF($A40="WBS",SUMIFS(Cost_Register!$V:$V,Cost_Register!$F:$F,$B40),IF($A40="Phase",SUMIFS(Cost_Register!$V:$V,Cost_Register!$Z:$Z,$B40),IF($A40="Contingency Eligible",SUMIFS(Cost_Register!$V:$V,Cost_Register!$W:$W,$B40),IF($A40="Escalation Eligible",SUMIFS(Cost_Register!$V:$V,Cost_Register!$X:$X,$B40),0))))))</f>
        <v/>
      </c>
      <c r="G40" s="94">
        <f>IFERROR(C40/SUM(Cost_Register!$P:$P),0)</f>
        <v/>
      </c>
      <c r="H40" t="inlineStr">
        <is>
          <t>Formula-driven aggregation</t>
        </is>
      </c>
    </row>
    <row r="41">
      <c r="A41" t="inlineStr">
        <is>
          <t>Contingency Eligible</t>
        </is>
      </c>
      <c r="B41" t="inlineStr">
        <is>
          <t>Yes</t>
        </is>
      </c>
      <c r="C41" s="134">
        <f>IF($A41="Cost Category",SUMIFS(Cost_Register!$P:$P,Cost_Register!$H:$H,$B41),IF($A41="Discipline",SUMIFS(Cost_Register!$P:$P,Cost_Register!$E:$E,$B41),IF($A41="WBS",SUMIFS(Cost_Register!$P:$P,Cost_Register!$F:$F,$B41),IF($A41="Phase",SUMIFS(Cost_Register!$P:$P,Cost_Register!$Z:$Z,$B41),IF($A41="Contingency Eligible",SUMIFS(Cost_Register!$P:$P,Cost_Register!$W:$W,$B41),IF($A41="Escalation Eligible",SUMIFS(Cost_Register!$P:$P,Cost_Register!$X:$X,$B41),0))))))</f>
        <v/>
      </c>
      <c r="D41" s="134">
        <f>IF($A41="Cost Category",SUMIFS(Cost_Register!$T:$T,Cost_Register!$H:$H,$B41),IF($A41="Discipline",SUMIFS(Cost_Register!$T:$T,Cost_Register!$E:$E,$B41),IF($A41="WBS",SUMIFS(Cost_Register!$T:$T,Cost_Register!$F:$F,$B41),IF($A41="Phase",SUMIFS(Cost_Register!$T:$T,Cost_Register!$Z:$Z,$B41),IF($A41="Contingency Eligible",SUMIFS(Cost_Register!$T:$T,Cost_Register!$W:$W,$B41),IF($A41="Escalation Eligible",SUMIFS(Cost_Register!$T:$T,Cost_Register!$X:$X,$B41),0))))))</f>
        <v/>
      </c>
      <c r="E41" s="134">
        <f>IF($A41="Cost Category",SUMIFS(Cost_Register!$U:$U,Cost_Register!$H:$H,$B41),IF($A41="Discipline",SUMIFS(Cost_Register!$U:$U,Cost_Register!$E:$E,$B41),IF($A41="WBS",SUMIFS(Cost_Register!$U:$U,Cost_Register!$F:$F,$B41),IF($A41="Phase",SUMIFS(Cost_Register!$U:$U,Cost_Register!$Z:$Z,$B41),IF($A41="Contingency Eligible",SUMIFS(Cost_Register!$U:$U,Cost_Register!$W:$W,$B41),IF($A41="Escalation Eligible",SUMIFS(Cost_Register!$U:$U,Cost_Register!$X:$X,$B41),0))))))</f>
        <v/>
      </c>
      <c r="F41" s="134">
        <f>IF($A41="Cost Category",SUMIFS(Cost_Register!$V:$V,Cost_Register!$H:$H,$B41),IF($A41="Discipline",SUMIFS(Cost_Register!$V:$V,Cost_Register!$E:$E,$B41),IF($A41="WBS",SUMIFS(Cost_Register!$V:$V,Cost_Register!$F:$F,$B41),IF($A41="Phase",SUMIFS(Cost_Register!$V:$V,Cost_Register!$Z:$Z,$B41),IF($A41="Contingency Eligible",SUMIFS(Cost_Register!$V:$V,Cost_Register!$W:$W,$B41),IF($A41="Escalation Eligible",SUMIFS(Cost_Register!$V:$V,Cost_Register!$X:$X,$B41),0))))))</f>
        <v/>
      </c>
      <c r="G41" s="94">
        <f>IFERROR(C41/SUM(Cost_Register!$P:$P),0)</f>
        <v/>
      </c>
      <c r="H41" t="inlineStr">
        <is>
          <t>Formula-driven aggregation</t>
        </is>
      </c>
    </row>
    <row r="42">
      <c r="A42" t="inlineStr">
        <is>
          <t>Escalation Eligible</t>
        </is>
      </c>
      <c r="B42" t="inlineStr">
        <is>
          <t>Yes</t>
        </is>
      </c>
      <c r="C42" s="134">
        <f>IF($A42="Cost Category",SUMIFS(Cost_Register!$P:$P,Cost_Register!$H:$H,$B42),IF($A42="Discipline",SUMIFS(Cost_Register!$P:$P,Cost_Register!$E:$E,$B42),IF($A42="WBS",SUMIFS(Cost_Register!$P:$P,Cost_Register!$F:$F,$B42),IF($A42="Phase",SUMIFS(Cost_Register!$P:$P,Cost_Register!$Z:$Z,$B42),IF($A42="Contingency Eligible",SUMIFS(Cost_Register!$P:$P,Cost_Register!$W:$W,$B42),IF($A42="Escalation Eligible",SUMIFS(Cost_Register!$P:$P,Cost_Register!$X:$X,$B42),0))))))</f>
        <v/>
      </c>
      <c r="D42" s="134">
        <f>IF($A42="Cost Category",SUMIFS(Cost_Register!$T:$T,Cost_Register!$H:$H,$B42),IF($A42="Discipline",SUMIFS(Cost_Register!$T:$T,Cost_Register!$E:$E,$B42),IF($A42="WBS",SUMIFS(Cost_Register!$T:$T,Cost_Register!$F:$F,$B42),IF($A42="Phase",SUMIFS(Cost_Register!$T:$T,Cost_Register!$Z:$Z,$B42),IF($A42="Contingency Eligible",SUMIFS(Cost_Register!$T:$T,Cost_Register!$W:$W,$B42),IF($A42="Escalation Eligible",SUMIFS(Cost_Register!$T:$T,Cost_Register!$X:$X,$B42),0))))))</f>
        <v/>
      </c>
      <c r="E42" s="134">
        <f>IF($A42="Cost Category",SUMIFS(Cost_Register!$U:$U,Cost_Register!$H:$H,$B42),IF($A42="Discipline",SUMIFS(Cost_Register!$U:$U,Cost_Register!$E:$E,$B42),IF($A42="WBS",SUMIFS(Cost_Register!$U:$U,Cost_Register!$F:$F,$B42),IF($A42="Phase",SUMIFS(Cost_Register!$U:$U,Cost_Register!$Z:$Z,$B42),IF($A42="Contingency Eligible",SUMIFS(Cost_Register!$U:$U,Cost_Register!$W:$W,$B42),IF($A42="Escalation Eligible",SUMIFS(Cost_Register!$U:$U,Cost_Register!$X:$X,$B42),0))))))</f>
        <v/>
      </c>
      <c r="F42" s="134">
        <f>IF($A42="Cost Category",SUMIFS(Cost_Register!$V:$V,Cost_Register!$H:$H,$B42),IF($A42="Discipline",SUMIFS(Cost_Register!$V:$V,Cost_Register!$E:$E,$B42),IF($A42="WBS",SUMIFS(Cost_Register!$V:$V,Cost_Register!$F:$F,$B42),IF($A42="Phase",SUMIFS(Cost_Register!$V:$V,Cost_Register!$Z:$Z,$B42),IF($A42="Contingency Eligible",SUMIFS(Cost_Register!$V:$V,Cost_Register!$W:$W,$B42),IF($A42="Escalation Eligible",SUMIFS(Cost_Register!$V:$V,Cost_Register!$X:$X,$B42),0))))))</f>
        <v/>
      </c>
      <c r="G42" s="94">
        <f>IFERROR(C42/SUM(Cost_Register!$P:$P),0)</f>
        <v/>
      </c>
      <c r="H42" t="inlineStr">
        <is>
          <t>Formula-driven aggregation</t>
        </is>
      </c>
    </row>
    <row r="43">
      <c r="A43" t="inlineStr">
        <is>
          <t>Contingency Eligible</t>
        </is>
      </c>
      <c r="B43" t="inlineStr">
        <is>
          <t>No</t>
        </is>
      </c>
      <c r="C43" s="134">
        <f>IF($A43="Cost Category",SUMIFS(Cost_Register!$P:$P,Cost_Register!$H:$H,$B43),IF($A43="Discipline",SUMIFS(Cost_Register!$P:$P,Cost_Register!$E:$E,$B43),IF($A43="WBS",SUMIFS(Cost_Register!$P:$P,Cost_Register!$F:$F,$B43),IF($A43="Phase",SUMIFS(Cost_Register!$P:$P,Cost_Register!$Z:$Z,$B43),IF($A43="Contingency Eligible",SUMIFS(Cost_Register!$P:$P,Cost_Register!$W:$W,$B43),IF($A43="Escalation Eligible",SUMIFS(Cost_Register!$P:$P,Cost_Register!$X:$X,$B43),0))))))</f>
        <v/>
      </c>
      <c r="D43" s="134">
        <f>IF($A43="Cost Category",SUMIFS(Cost_Register!$T:$T,Cost_Register!$H:$H,$B43),IF($A43="Discipline",SUMIFS(Cost_Register!$T:$T,Cost_Register!$E:$E,$B43),IF($A43="WBS",SUMIFS(Cost_Register!$T:$T,Cost_Register!$F:$F,$B43),IF($A43="Phase",SUMIFS(Cost_Register!$T:$T,Cost_Register!$Z:$Z,$B43),IF($A43="Contingency Eligible",SUMIFS(Cost_Register!$T:$T,Cost_Register!$W:$W,$B43),IF($A43="Escalation Eligible",SUMIFS(Cost_Register!$T:$T,Cost_Register!$X:$X,$B43),0))))))</f>
        <v/>
      </c>
      <c r="E43" s="134">
        <f>IF($A43="Cost Category",SUMIFS(Cost_Register!$U:$U,Cost_Register!$H:$H,$B43),IF($A43="Discipline",SUMIFS(Cost_Register!$U:$U,Cost_Register!$E:$E,$B43),IF($A43="WBS",SUMIFS(Cost_Register!$U:$U,Cost_Register!$F:$F,$B43),IF($A43="Phase",SUMIFS(Cost_Register!$U:$U,Cost_Register!$Z:$Z,$B43),IF($A43="Contingency Eligible",SUMIFS(Cost_Register!$U:$U,Cost_Register!$W:$W,$B43),IF($A43="Escalation Eligible",SUMIFS(Cost_Register!$U:$U,Cost_Register!$X:$X,$B43),0))))))</f>
        <v/>
      </c>
      <c r="F43" s="134">
        <f>IF($A43="Cost Category",SUMIFS(Cost_Register!$V:$V,Cost_Register!$H:$H,$B43),IF($A43="Discipline",SUMIFS(Cost_Register!$V:$V,Cost_Register!$E:$E,$B43),IF($A43="WBS",SUMIFS(Cost_Register!$V:$V,Cost_Register!$F:$F,$B43),IF($A43="Phase",SUMIFS(Cost_Register!$V:$V,Cost_Register!$Z:$Z,$B43),IF($A43="Contingency Eligible",SUMIFS(Cost_Register!$V:$V,Cost_Register!$W:$W,$B43),IF($A43="Escalation Eligible",SUMIFS(Cost_Register!$V:$V,Cost_Register!$X:$X,$B43),0))))))</f>
        <v/>
      </c>
      <c r="G43" s="94">
        <f>IFERROR(C43/SUM(Cost_Register!$P:$P),0)</f>
        <v/>
      </c>
      <c r="H43" t="inlineStr">
        <is>
          <t>Formula-driven aggregation</t>
        </is>
      </c>
    </row>
    <row r="44">
      <c r="A44" t="inlineStr">
        <is>
          <t>Escalation Eligible</t>
        </is>
      </c>
      <c r="B44" t="inlineStr">
        <is>
          <t>No</t>
        </is>
      </c>
      <c r="C44" s="134">
        <f>IF($A44="Cost Category",SUMIFS(Cost_Register!$P:$P,Cost_Register!$H:$H,$B44),IF($A44="Discipline",SUMIFS(Cost_Register!$P:$P,Cost_Register!$E:$E,$B44),IF($A44="WBS",SUMIFS(Cost_Register!$P:$P,Cost_Register!$F:$F,$B44),IF($A44="Phase",SUMIFS(Cost_Register!$P:$P,Cost_Register!$Z:$Z,$B44),IF($A44="Contingency Eligible",SUMIFS(Cost_Register!$P:$P,Cost_Register!$W:$W,$B44),IF($A44="Escalation Eligible",SUMIFS(Cost_Register!$P:$P,Cost_Register!$X:$X,$B44),0))))))</f>
        <v/>
      </c>
      <c r="D44" s="134">
        <f>IF($A44="Cost Category",SUMIFS(Cost_Register!$T:$T,Cost_Register!$H:$H,$B44),IF($A44="Discipline",SUMIFS(Cost_Register!$T:$T,Cost_Register!$E:$E,$B44),IF($A44="WBS",SUMIFS(Cost_Register!$T:$T,Cost_Register!$F:$F,$B44),IF($A44="Phase",SUMIFS(Cost_Register!$T:$T,Cost_Register!$Z:$Z,$B44),IF($A44="Contingency Eligible",SUMIFS(Cost_Register!$T:$T,Cost_Register!$W:$W,$B44),IF($A44="Escalation Eligible",SUMIFS(Cost_Register!$T:$T,Cost_Register!$X:$X,$B44),0))))))</f>
        <v/>
      </c>
      <c r="E44" s="134">
        <f>IF($A44="Cost Category",SUMIFS(Cost_Register!$U:$U,Cost_Register!$H:$H,$B44),IF($A44="Discipline",SUMIFS(Cost_Register!$U:$U,Cost_Register!$E:$E,$B44),IF($A44="WBS",SUMIFS(Cost_Register!$U:$U,Cost_Register!$F:$F,$B44),IF($A44="Phase",SUMIFS(Cost_Register!$U:$U,Cost_Register!$Z:$Z,$B44),IF($A44="Contingency Eligible",SUMIFS(Cost_Register!$U:$U,Cost_Register!$W:$W,$B44),IF($A44="Escalation Eligible",SUMIFS(Cost_Register!$U:$U,Cost_Register!$X:$X,$B44),0))))))</f>
        <v/>
      </c>
      <c r="F44" s="134">
        <f>IF($A44="Cost Category",SUMIFS(Cost_Register!$V:$V,Cost_Register!$H:$H,$B44),IF($A44="Discipline",SUMIFS(Cost_Register!$V:$V,Cost_Register!$E:$E,$B44),IF($A44="WBS",SUMIFS(Cost_Register!$V:$V,Cost_Register!$F:$F,$B44),IF($A44="Phase",SUMIFS(Cost_Register!$V:$V,Cost_Register!$Z:$Z,$B44),IF($A44="Contingency Eligible",SUMIFS(Cost_Register!$V:$V,Cost_Register!$W:$W,$B44),IF($A44="Escalation Eligible",SUMIFS(Cost_Register!$V:$V,Cost_Register!$X:$X,$B44),0))))))</f>
        <v/>
      </c>
      <c r="G44" s="94">
        <f>IFERROR(C44/SUM(Cost_Register!$P:$P),0)</f>
        <v/>
      </c>
      <c r="H44" t="inlineStr">
        <is>
          <t>Formula-driven aggregation</t>
        </is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005B9BD5"/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4.25"/>
  <cols>
    <col width="30" customWidth="1" style="70" min="1" max="1"/>
    <col width="24" customWidth="1" style="70" min="2" max="2"/>
    <col width="44" customWidth="1" style="70" min="3" max="3"/>
  </cols>
  <sheetData>
    <row r="1" ht="27.95000076293945" customHeight="1" s="70">
      <c r="A1" s="66" t="inlineStr">
        <is>
          <t>Contingency</t>
        </is>
      </c>
      <c r="B1" s="35" t="n"/>
      <c r="C1" s="35" t="n"/>
      <c r="D1" s="35" t="n"/>
      <c r="E1" s="35" t="n"/>
      <c r="F1" s="35" t="n"/>
      <c r="G1" s="35" t="n"/>
      <c r="H1" s="35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Manual and Monte Carlo contingency are separate from escalation.</t>
        </is>
      </c>
      <c r="B2" s="35" t="n"/>
      <c r="C2" s="35" t="n"/>
      <c r="D2" s="35" t="n"/>
      <c r="E2" s="35" t="n"/>
      <c r="F2" s="35" t="n"/>
      <c r="G2" s="35" t="n"/>
      <c r="H2" s="35" t="n"/>
    </row>
    <row r="4" ht="24" customHeight="1" s="70">
      <c r="A4" s="71" t="inlineStr">
        <is>
          <t>Metric</t>
        </is>
      </c>
      <c r="B4" s="71" t="inlineStr">
        <is>
          <t>Value</t>
        </is>
      </c>
      <c r="C4" s="71" t="inlineStr">
        <is>
          <t>Notes</t>
        </is>
      </c>
    </row>
    <row r="5">
      <c r="A5" t="inlineStr">
        <is>
          <t>Selected Method</t>
        </is>
      </c>
      <c r="B5">
        <f>Project_Setup!B14</f>
        <v/>
      </c>
    </row>
    <row r="6">
      <c r="A6" t="inlineStr">
        <is>
          <t>Base Cost EUR</t>
        </is>
      </c>
      <c r="B6" s="134">
        <f>SUM(Cost_Register!$P$5:$P$500)</f>
        <v/>
      </c>
    </row>
    <row r="7">
      <c r="A7" t="inlineStr">
        <is>
          <t>Manual Contingency %</t>
        </is>
      </c>
      <c r="B7" s="94" t="n">
        <v>0.12</v>
      </c>
      <c r="C7" t="inlineStr">
        <is>
          <t>Input</t>
        </is>
      </c>
    </row>
    <row r="8">
      <c r="A8" t="inlineStr">
        <is>
          <t>Manual Contingency EUR</t>
        </is>
      </c>
      <c r="B8" s="134">
        <f>B6*B7</f>
        <v/>
      </c>
    </row>
    <row r="9">
      <c r="A9" t="inlineStr">
        <is>
          <t>Monte Carlo P80</t>
        </is>
      </c>
      <c r="B9" s="134">
        <f>MonteCarlo_Results!B12</f>
        <v/>
      </c>
      <c r="C9" t="inlineStr">
        <is>
          <t>From MonteCarlo_Results</t>
        </is>
      </c>
    </row>
    <row r="10">
      <c r="A10" t="inlineStr">
        <is>
          <t>Recommended Contingency EUR</t>
        </is>
      </c>
      <c r="B10" s="134">
        <f>MAX(0,B9-B6)</f>
        <v/>
      </c>
      <c r="C10" t="inlineStr">
        <is>
          <t>P80 - Base Cost</t>
        </is>
      </c>
    </row>
    <row r="11">
      <c r="A11" t="inlineStr">
        <is>
          <t>Selected Contingency EUR</t>
        </is>
      </c>
      <c r="B11" s="134">
        <f>IF(ISNUMBER(SEARCH("Manual",B5)),B8,B10)</f>
        <v/>
      </c>
      <c r="C11" t="inlineStr">
        <is>
          <t>Used in Estimate_Summary</t>
        </is>
      </c>
    </row>
    <row r="12">
      <c r="A12" t="inlineStr">
        <is>
          <t>Selected Contingency %</t>
        </is>
      </c>
      <c r="B12" s="94">
        <f>IFERROR(B11/B6,0)</f>
        <v/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005B9BD5"/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4.25"/>
  <cols>
    <col width="28" customWidth="1" style="70" min="1" max="1"/>
    <col width="26" customWidth="1" style="70" min="2" max="2"/>
    <col width="60" customWidth="1" style="70" min="3" max="3"/>
  </cols>
  <sheetData>
    <row r="1" ht="27.95000076293945" customHeight="1" s="70">
      <c r="A1" s="66" t="inlineStr">
        <is>
          <t>Escalation</t>
        </is>
      </c>
      <c r="B1" s="35" t="n"/>
      <c r="C1" s="35" t="n"/>
      <c r="D1" s="35" t="n"/>
      <c r="E1" s="35" t="n"/>
      <c r="F1" s="35" t="n"/>
      <c r="G1" s="35" t="n"/>
      <c r="H1" s="35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Escalation calculated on monthly cash flow, separated from contingency.</t>
        </is>
      </c>
      <c r="B2" s="35" t="n"/>
      <c r="C2" s="35" t="n"/>
      <c r="D2" s="35" t="n"/>
      <c r="E2" s="35" t="n"/>
      <c r="F2" s="35" t="n"/>
      <c r="G2" s="35" t="n"/>
      <c r="H2" s="35" t="n"/>
    </row>
    <row r="4" ht="24" customHeight="1" s="70">
      <c r="A4" s="71" t="inlineStr">
        <is>
          <t>Metric</t>
        </is>
      </c>
      <c r="B4" s="71" t="inlineStr">
        <is>
          <t>Value</t>
        </is>
      </c>
      <c r="C4" s="71" t="inlineStr">
        <is>
          <t>Notes</t>
        </is>
      </c>
    </row>
    <row r="5">
      <c r="A5" t="inlineStr">
        <is>
          <t>Annual Escalation Rate</t>
        </is>
      </c>
      <c r="B5" s="94">
        <f>Project_Setup!B15</f>
        <v/>
      </c>
      <c r="C5" t="inlineStr">
        <is>
          <t>Default assumption</t>
        </is>
      </c>
    </row>
    <row r="6">
      <c r="A6" t="inlineStr">
        <is>
          <t>Total Base Cash Flow</t>
        </is>
      </c>
      <c r="B6" s="134">
        <f>SUM(CashFlow!$D$5:$D$500)</f>
        <v/>
      </c>
      <c r="C6" t="inlineStr">
        <is>
          <t>Should equal Base Cost</t>
        </is>
      </c>
    </row>
    <row r="7">
      <c r="A7" t="inlineStr">
        <is>
          <t>Total Escalation</t>
        </is>
      </c>
      <c r="B7" s="134">
        <f>SUM(CashFlow!$E$5:$E$500)</f>
        <v/>
      </c>
      <c r="C7" t="inlineStr">
        <is>
          <t>Sum of monthly escalation</t>
        </is>
      </c>
    </row>
    <row r="8">
      <c r="A8" t="inlineStr">
        <is>
          <t>Escalation % of Base</t>
        </is>
      </c>
      <c r="B8" s="94">
        <f>IFERROR(B7/B6,0)</f>
        <v/>
      </c>
      <c r="C8" t="inlineStr">
        <is>
          <t>Derived</t>
        </is>
      </c>
    </row>
    <row r="9">
      <c r="A9" t="inlineStr">
        <is>
          <t>Method</t>
        </is>
      </c>
      <c r="B9" t="inlineStr">
        <is>
          <t>Monthly compounding approximation</t>
        </is>
      </c>
      <c r="C9" t="inlineStr">
        <is>
          <t>(1+annual rate)^(month offset/12)-1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005B9BD5"/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4.25"/>
  <cols>
    <col width="10" customWidth="1" style="70" min="1" max="1"/>
    <col width="14" customWidth="1" style="70" min="2" max="3"/>
    <col width="18" customWidth="1" style="70" min="4" max="9"/>
  </cols>
  <sheetData>
    <row r="1" ht="27.95000076293945" customHeight="1" s="70">
      <c r="A1" s="66" t="inlineStr">
        <is>
          <t>Cash Flow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Pre-calculated demo cash flow. CalculateCashFlow macro will rebuild from Cost_Register.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</row>
    <row r="4" ht="24" customHeight="1" s="70">
      <c r="A4" s="136" t="inlineStr">
        <is>
          <t>Month No</t>
        </is>
      </c>
      <c r="B4" s="136" t="inlineStr">
        <is>
          <t>Month</t>
        </is>
      </c>
      <c r="C4" s="136" t="inlineStr">
        <is>
          <t>Year</t>
        </is>
      </c>
      <c r="D4" s="136" t="inlineStr">
        <is>
          <t>Base Spend EUR</t>
        </is>
      </c>
      <c r="E4" s="136" t="inlineStr">
        <is>
          <t>Escalation EUR</t>
        </is>
      </c>
      <c r="F4" s="136" t="inlineStr">
        <is>
          <t>Total Spend EUR</t>
        </is>
      </c>
      <c r="G4" s="136" t="inlineStr">
        <is>
          <t>Cumulative EUR</t>
        </is>
      </c>
      <c r="H4" s="136" t="inlineStr">
        <is>
          <t>Monthly Spend M€</t>
        </is>
      </c>
      <c r="I4" s="136" t="inlineStr">
        <is>
          <t>Cumulative M€</t>
        </is>
      </c>
      <c r="J4" s="138" t="inlineStr">
        <is>
          <t>Cumulative %</t>
        </is>
      </c>
    </row>
    <row r="5">
      <c r="A5" t="n">
        <v>1</v>
      </c>
      <c r="B5" s="95" t="n">
        <v>46204</v>
      </c>
      <c r="C5" t="n">
        <v>2026</v>
      </c>
      <c r="D5" s="134" t="n">
        <v>85354.60036573309</v>
      </c>
      <c r="E5" s="134" t="n">
        <v>0</v>
      </c>
      <c r="F5" s="134" t="n">
        <v>85354.60036573309</v>
      </c>
      <c r="G5" s="134" t="n">
        <v>85354.60036573309</v>
      </c>
      <c r="H5" s="156" t="n">
        <v>0.08535460036573309</v>
      </c>
      <c r="I5" s="156" t="n">
        <v>0.08535460036573309</v>
      </c>
      <c r="J5" s="116" t="n">
        <v>0.002042385369828148</v>
      </c>
    </row>
    <row r="6">
      <c r="A6" t="n">
        <v>2</v>
      </c>
      <c r="B6" s="95" t="n">
        <v>46235</v>
      </c>
      <c r="C6" t="n">
        <v>2026</v>
      </c>
      <c r="D6" s="134" t="n">
        <v>92809.58211478023</v>
      </c>
      <c r="E6" s="134" t="n">
        <v>228.8934669498193</v>
      </c>
      <c r="F6" s="134" t="n">
        <v>93038.47558173005</v>
      </c>
      <c r="G6" s="134" t="n">
        <v>178393.0759474631</v>
      </c>
      <c r="H6" s="156" t="n">
        <v>0.09303847558173005</v>
      </c>
      <c r="I6" s="156" t="n">
        <v>0.1783930759474631</v>
      </c>
      <c r="J6" s="116" t="n">
        <v>0.004268632350600439</v>
      </c>
    </row>
    <row r="7">
      <c r="A7" t="n">
        <v>3</v>
      </c>
      <c r="B7" s="95" t="n">
        <v>46266</v>
      </c>
      <c r="C7" t="n">
        <v>2026</v>
      </c>
      <c r="D7" s="134" t="n">
        <v>104368.0806277833</v>
      </c>
      <c r="E7" s="134" t="n">
        <v>515.4345023421031</v>
      </c>
      <c r="F7" s="134" t="n">
        <v>104883.5151301254</v>
      </c>
      <c r="G7" s="134" t="n">
        <v>283276.5910775885</v>
      </c>
      <c r="H7" s="156" t="n">
        <v>0.1048835151301254</v>
      </c>
      <c r="I7" s="156" t="n">
        <v>0.2832765910775885</v>
      </c>
      <c r="J7" s="116" t="n">
        <v>0.006778310281491627</v>
      </c>
    </row>
    <row r="8">
      <c r="A8" t="n">
        <v>4</v>
      </c>
      <c r="B8" s="95" t="n">
        <v>46296</v>
      </c>
      <c r="C8" t="n">
        <v>2026</v>
      </c>
      <c r="D8" s="134" t="n">
        <v>123448.3784710936</v>
      </c>
      <c r="E8" s="134" t="n">
        <v>915.6254839648348</v>
      </c>
      <c r="F8" s="134" t="n">
        <v>124364.0039550584</v>
      </c>
      <c r="G8" s="134" t="n">
        <v>407640.5950326469</v>
      </c>
      <c r="H8" s="156" t="n">
        <v>0.1243640039550584</v>
      </c>
      <c r="I8" s="156" t="n">
        <v>0.4076405950326469</v>
      </c>
      <c r="J8" s="116" t="n">
        <v>0.009754122025940179</v>
      </c>
    </row>
    <row r="9">
      <c r="A9" t="n">
        <v>5</v>
      </c>
      <c r="B9" s="95" t="n">
        <v>46327</v>
      </c>
      <c r="C9" t="n">
        <v>2026</v>
      </c>
      <c r="D9" s="134" t="n">
        <v>146307.077270719</v>
      </c>
      <c r="E9" s="134" t="n">
        <v>1448.679138054014</v>
      </c>
      <c r="F9" s="134" t="n">
        <v>147755.756408773</v>
      </c>
      <c r="G9" s="134" t="n">
        <v>555396.3514414199</v>
      </c>
      <c r="H9" s="156" t="n">
        <v>0.147755756408773</v>
      </c>
      <c r="I9" s="156" t="n">
        <v>0.55539635144142</v>
      </c>
      <c r="J9" s="116" t="n">
        <v>0.01328965723908753</v>
      </c>
    </row>
    <row r="10">
      <c r="A10" t="n">
        <v>6</v>
      </c>
      <c r="B10" s="95" t="n">
        <v>46357</v>
      </c>
      <c r="C10" t="n">
        <v>2026</v>
      </c>
      <c r="D10" s="134" t="n">
        <v>420949.5529802598</v>
      </c>
      <c r="E10" s="134" t="n">
        <v>5216.54321578116</v>
      </c>
      <c r="F10" s="134" t="n">
        <v>426166.0961960409</v>
      </c>
      <c r="G10" s="134" t="n">
        <v>981562.4476374609</v>
      </c>
      <c r="H10" s="156" t="n">
        <v>0.4261660961960409</v>
      </c>
      <c r="I10" s="156" t="n">
        <v>0.9815624476374609</v>
      </c>
      <c r="J10" s="116" t="n">
        <v>0.02348706190454248</v>
      </c>
    </row>
    <row r="11">
      <c r="A11" t="n">
        <v>7</v>
      </c>
      <c r="B11" s="95" t="n">
        <v>46388</v>
      </c>
      <c r="C11" t="n">
        <v>2027</v>
      </c>
      <c r="D11" s="134" t="n">
        <v>454443.7552610839</v>
      </c>
      <c r="E11" s="134" t="n">
        <v>6766.284196720837</v>
      </c>
      <c r="F11" s="134" t="n">
        <v>461210.0394578048</v>
      </c>
      <c r="G11" s="134" t="n">
        <v>1442772.487095266</v>
      </c>
      <c r="H11" s="156" t="n">
        <v>0.4612100394578048</v>
      </c>
      <c r="I11" s="156" t="n">
        <v>1.442772487095266</v>
      </c>
      <c r="J11" s="116" t="n">
        <v>0.03452300645785623</v>
      </c>
    </row>
    <row r="12">
      <c r="A12" t="n">
        <v>8</v>
      </c>
      <c r="B12" s="95" t="n">
        <v>46419</v>
      </c>
      <c r="C12" t="n">
        <v>2027</v>
      </c>
      <c r="D12" s="134" t="n">
        <v>584256.076223689</v>
      </c>
      <c r="E12" s="134" t="n">
        <v>10161.4675388799</v>
      </c>
      <c r="F12" s="134" t="n">
        <v>594417.543762569</v>
      </c>
      <c r="G12" s="134" t="n">
        <v>2037190.030857834</v>
      </c>
      <c r="H12" s="156" t="n">
        <v>0.5944175437625689</v>
      </c>
      <c r="I12" s="156" t="n">
        <v>2.037190030857834</v>
      </c>
      <c r="J12" s="116" t="n">
        <v>0.04874637215516953</v>
      </c>
    </row>
    <row r="13">
      <c r="A13" t="n">
        <v>9</v>
      </c>
      <c r="B13" s="95" t="n">
        <v>46447</v>
      </c>
      <c r="C13" t="n">
        <v>2027</v>
      </c>
      <c r="D13" s="134" t="n">
        <v>746427.93590614</v>
      </c>
      <c r="E13" s="134" t="n">
        <v>14854.89408608258</v>
      </c>
      <c r="F13" s="134" t="n">
        <v>761282.8299922226</v>
      </c>
      <c r="G13" s="134" t="n">
        <v>2798472.860850057</v>
      </c>
      <c r="H13" s="156" t="n">
        <v>0.7612828299922226</v>
      </c>
      <c r="I13" s="156" t="n">
        <v>2.798472860850057</v>
      </c>
      <c r="J13" s="116" t="n">
        <v>0.06696253048307725</v>
      </c>
    </row>
    <row r="14">
      <c r="A14" t="n">
        <v>10</v>
      </c>
      <c r="B14" s="95" t="n">
        <v>46478</v>
      </c>
      <c r="C14" t="n">
        <v>2027</v>
      </c>
      <c r="D14" s="134" t="n">
        <v>1131639.943419377</v>
      </c>
      <c r="E14" s="134" t="n">
        <v>25367.59037703552</v>
      </c>
      <c r="F14" s="134" t="n">
        <v>1157007.533796413</v>
      </c>
      <c r="G14" s="134" t="n">
        <v>3955480.39464647</v>
      </c>
      <c r="H14" s="156" t="n">
        <v>1.157007533796413</v>
      </c>
      <c r="I14" s="156" t="n">
        <v>3.95548039464647</v>
      </c>
      <c r="J14" s="116" t="n">
        <v>0.09464768453079539</v>
      </c>
    </row>
    <row r="15">
      <c r="A15" t="n">
        <v>11</v>
      </c>
      <c r="B15" s="95" t="n">
        <v>46508</v>
      </c>
      <c r="C15" t="n">
        <v>2027</v>
      </c>
      <c r="D15" s="134" t="n">
        <v>1319351.706572582</v>
      </c>
      <c r="E15" s="134" t="n">
        <v>32902.27986796811</v>
      </c>
      <c r="F15" s="134" t="n">
        <v>1352253.98644055</v>
      </c>
      <c r="G15" s="134" t="n">
        <v>5307734.38108702</v>
      </c>
      <c r="H15" s="156" t="n">
        <v>1.35225398644055</v>
      </c>
      <c r="I15" s="156" t="n">
        <v>5.30773438108702</v>
      </c>
      <c r="J15" s="116" t="n">
        <v>0.1270047425729387</v>
      </c>
    </row>
    <row r="16">
      <c r="A16" t="n">
        <v>12</v>
      </c>
      <c r="B16" s="95" t="n">
        <v>46539</v>
      </c>
      <c r="C16" t="n">
        <v>2027</v>
      </c>
      <c r="D16" s="134" t="n">
        <v>1750815.458713096</v>
      </c>
      <c r="E16" s="134" t="n">
        <v>48087.882826857</v>
      </c>
      <c r="F16" s="134" t="n">
        <v>1798903.341539953</v>
      </c>
      <c r="G16" s="134" t="n">
        <v>7106637.722626973</v>
      </c>
      <c r="H16" s="156" t="n">
        <v>1.798903341539953</v>
      </c>
      <c r="I16" s="156" t="n">
        <v>7.106637722626973</v>
      </c>
      <c r="J16" s="116" t="n">
        <v>0.17004933361728</v>
      </c>
    </row>
    <row r="17">
      <c r="A17" t="n">
        <v>13</v>
      </c>
      <c r="B17" s="95" t="n">
        <v>46569</v>
      </c>
      <c r="C17" t="n">
        <v>2027</v>
      </c>
      <c r="D17" s="134" t="n">
        <v>1907481.249313616</v>
      </c>
      <c r="E17" s="134" t="n">
        <v>57224.43747940854</v>
      </c>
      <c r="F17" s="134" t="n">
        <v>1964705.686793025</v>
      </c>
      <c r="G17" s="134" t="n">
        <v>9071343.409419999</v>
      </c>
      <c r="H17" s="156" t="n">
        <v>1.964705686793025</v>
      </c>
      <c r="I17" s="156" t="n">
        <v>9.071343409419999</v>
      </c>
      <c r="J17" s="116" t="n">
        <v>0.2170612829853329</v>
      </c>
    </row>
    <row r="18">
      <c r="A18" t="n">
        <v>14</v>
      </c>
      <c r="B18" s="95" t="n">
        <v>46600</v>
      </c>
      <c r="C18" t="n">
        <v>2027</v>
      </c>
      <c r="D18" s="134" t="n">
        <v>2108685.979257581</v>
      </c>
      <c r="E18" s="134" t="n">
        <v>68617.18552234865</v>
      </c>
      <c r="F18" s="134" t="n">
        <v>2177303.16477993</v>
      </c>
      <c r="G18" s="134" t="n">
        <v>11248646.57419993</v>
      </c>
      <c r="H18" s="156" t="n">
        <v>2.17730316477993</v>
      </c>
      <c r="I18" s="156" t="n">
        <v>11.24864657419993</v>
      </c>
      <c r="J18" s="116" t="n">
        <v>0.2691603158479169</v>
      </c>
    </row>
    <row r="19">
      <c r="A19" t="n">
        <v>15</v>
      </c>
      <c r="B19" s="95" t="n">
        <v>46631</v>
      </c>
      <c r="C19" t="n">
        <v>2027</v>
      </c>
      <c r="D19" s="134" t="n">
        <v>2364901.3434425</v>
      </c>
      <c r="E19" s="134" t="n">
        <v>82976.77479589745</v>
      </c>
      <c r="F19" s="134" t="n">
        <v>2447878.118238397</v>
      </c>
      <c r="G19" s="134" t="n">
        <v>13696524.69243832</v>
      </c>
      <c r="H19" s="156" t="n">
        <v>2.447878118238398</v>
      </c>
      <c r="I19" s="156" t="n">
        <v>13.69652469243833</v>
      </c>
      <c r="J19" s="116" t="n">
        <v>0.3277337311575819</v>
      </c>
    </row>
    <row r="20">
      <c r="A20" t="n">
        <v>16</v>
      </c>
      <c r="B20" s="95" t="n">
        <v>46661</v>
      </c>
      <c r="C20" t="n">
        <v>2027</v>
      </c>
      <c r="D20" s="134" t="n">
        <v>2524606.480211686</v>
      </c>
      <c r="E20" s="134" t="n">
        <v>95025.13750483845</v>
      </c>
      <c r="F20" s="134" t="n">
        <v>2619631.617716525</v>
      </c>
      <c r="G20" s="134" t="n">
        <v>16316156.31015485</v>
      </c>
      <c r="H20" s="156" t="n">
        <v>2.619631617716525</v>
      </c>
      <c r="I20" s="156" t="n">
        <v>16.31615631015485</v>
      </c>
      <c r="J20" s="116" t="n">
        <v>0.3904169054380326</v>
      </c>
    </row>
    <row r="21">
      <c r="A21" t="n">
        <v>17</v>
      </c>
      <c r="B21" s="95" t="n">
        <v>46692</v>
      </c>
      <c r="C21" t="n">
        <v>2027</v>
      </c>
      <c r="D21" s="134" t="n">
        <v>2689429.34503761</v>
      </c>
      <c r="E21" s="134" t="n">
        <v>108111.5178842506</v>
      </c>
      <c r="F21" s="134" t="n">
        <v>2797540.862921861</v>
      </c>
      <c r="G21" s="134" t="n">
        <v>19113697.17307671</v>
      </c>
      <c r="H21" s="156" t="n">
        <v>2.797540862921861</v>
      </c>
      <c r="I21" s="156" t="n">
        <v>19.11369717307671</v>
      </c>
      <c r="J21" s="116" t="n">
        <v>0.4573571348509262</v>
      </c>
    </row>
    <row r="22">
      <c r="A22" t="n">
        <v>18</v>
      </c>
      <c r="B22" s="95" t="n">
        <v>46722</v>
      </c>
      <c r="C22" t="n">
        <v>2027</v>
      </c>
      <c r="D22" s="134" t="n">
        <v>2995802.041341789</v>
      </c>
      <c r="E22" s="134" t="n">
        <v>128112.7590249674</v>
      </c>
      <c r="F22" s="134" t="n">
        <v>3123914.800366757</v>
      </c>
      <c r="G22" s="134" t="n">
        <v>22237611.97344347</v>
      </c>
      <c r="H22" s="156" t="n">
        <v>3.123914800366757</v>
      </c>
      <c r="I22" s="156" t="n">
        <v>22.23761197344347</v>
      </c>
      <c r="J22" s="116" t="n">
        <v>0.5321069181961731</v>
      </c>
    </row>
    <row r="23">
      <c r="A23" t="n">
        <v>19</v>
      </c>
      <c r="B23" s="95" t="n">
        <v>46753</v>
      </c>
      <c r="C23" t="n">
        <v>2028</v>
      </c>
      <c r="D23" s="134" t="n">
        <v>2180838.275551456</v>
      </c>
      <c r="E23" s="134" t="n">
        <v>98870.11594471079</v>
      </c>
      <c r="F23" s="134" t="n">
        <v>2279708.391496167</v>
      </c>
      <c r="G23" s="134" t="n">
        <v>24517320.36493963</v>
      </c>
      <c r="H23" s="156" t="n">
        <v>2.279708391496166</v>
      </c>
      <c r="I23" s="156" t="n">
        <v>24.51732036493963</v>
      </c>
      <c r="J23" s="116" t="n">
        <v>0.5866563279094833</v>
      </c>
    </row>
    <row r="24">
      <c r="A24" t="n">
        <v>20</v>
      </c>
      <c r="B24" s="95" t="n">
        <v>46784</v>
      </c>
      <c r="C24" t="n">
        <v>2028</v>
      </c>
      <c r="D24" s="134" t="n">
        <v>2319250.240762445</v>
      </c>
      <c r="E24" s="134" t="n">
        <v>111124.3504735632</v>
      </c>
      <c r="F24" s="134" t="n">
        <v>2430374.591236008</v>
      </c>
      <c r="G24" s="134" t="n">
        <v>26947694.95617564</v>
      </c>
      <c r="H24" s="156" t="n">
        <v>2.430374591236008</v>
      </c>
      <c r="I24" s="156" t="n">
        <v>26.94769495617564</v>
      </c>
      <c r="J24" s="116" t="n">
        <v>0.6448109146227176</v>
      </c>
    </row>
    <row r="25">
      <c r="A25" t="n">
        <v>21</v>
      </c>
      <c r="B25" s="95" t="n">
        <v>46813</v>
      </c>
      <c r="C25" t="n">
        <v>2028</v>
      </c>
      <c r="D25" s="134" t="n">
        <v>1890361.295208035</v>
      </c>
      <c r="E25" s="134" t="n">
        <v>95460.12587800187</v>
      </c>
      <c r="F25" s="134" t="n">
        <v>1985821.421086036</v>
      </c>
      <c r="G25" s="134" t="n">
        <v>28933516.37726168</v>
      </c>
      <c r="H25" s="156" t="n">
        <v>1.985821421086036</v>
      </c>
      <c r="I25" s="156" t="n">
        <v>28.93351637726168</v>
      </c>
      <c r="J25" s="116" t="n">
        <v>0.6923281263504844</v>
      </c>
    </row>
    <row r="26">
      <c r="A26" t="n">
        <v>22</v>
      </c>
      <c r="B26" s="95" t="n">
        <v>46844</v>
      </c>
      <c r="C26" t="n">
        <v>2028</v>
      </c>
      <c r="D26" s="134" t="n">
        <v>1597383.663316314</v>
      </c>
      <c r="E26" s="134" t="n">
        <v>84803.76023190666</v>
      </c>
      <c r="F26" s="134" t="n">
        <v>1682187.423548221</v>
      </c>
      <c r="G26" s="134" t="n">
        <v>30615703.8008099</v>
      </c>
      <c r="H26" s="156" t="n">
        <v>1.682187423548221</v>
      </c>
      <c r="I26" s="156" t="n">
        <v>30.6157038008099</v>
      </c>
      <c r="J26" s="116" t="n">
        <v>0.732579910887491</v>
      </c>
    </row>
    <row r="27">
      <c r="A27" t="n">
        <v>23</v>
      </c>
      <c r="B27" s="95" t="n">
        <v>46874</v>
      </c>
      <c r="C27" t="n">
        <v>2028</v>
      </c>
      <c r="D27" s="134" t="n">
        <v>1462557.804065538</v>
      </c>
      <c r="E27" s="134" t="n">
        <v>81444.52634241919</v>
      </c>
      <c r="F27" s="134" t="n">
        <v>1544002.330407958</v>
      </c>
      <c r="G27" s="134" t="n">
        <v>32159706.13121786</v>
      </c>
      <c r="H27" s="156" t="n">
        <v>1.544002330407958</v>
      </c>
      <c r="I27" s="156" t="n">
        <v>32.15970613121785</v>
      </c>
      <c r="J27" s="116" t="n">
        <v>0.7695251693398026</v>
      </c>
    </row>
    <row r="28">
      <c r="A28" t="n">
        <v>24</v>
      </c>
      <c r="B28" s="95" t="n">
        <v>46905</v>
      </c>
      <c r="C28" t="n">
        <v>2028</v>
      </c>
      <c r="D28" s="134" t="n">
        <v>1439841.410720605</v>
      </c>
      <c r="E28" s="134" t="n">
        <v>83928.31469913077</v>
      </c>
      <c r="F28" s="134" t="n">
        <v>1523769.725419736</v>
      </c>
      <c r="G28" s="134" t="n">
        <v>33683475.85663759</v>
      </c>
      <c r="H28" s="156" t="n">
        <v>1.523769725419736</v>
      </c>
      <c r="I28" s="156" t="n">
        <v>33.68347585663759</v>
      </c>
      <c r="J28" s="116" t="n">
        <v>0.8059862971624305</v>
      </c>
    </row>
    <row r="29">
      <c r="A29" t="n">
        <v>25</v>
      </c>
      <c r="B29" s="95" t="n">
        <v>46935</v>
      </c>
      <c r="C29" t="n">
        <v>2028</v>
      </c>
      <c r="D29" s="134" t="n">
        <v>1234202.96862447</v>
      </c>
      <c r="E29" s="134" t="n">
        <v>75162.96078923016</v>
      </c>
      <c r="F29" s="134" t="n">
        <v>1309365.9294137</v>
      </c>
      <c r="G29" s="134" t="n">
        <v>34992841.78605129</v>
      </c>
      <c r="H29" s="156" t="n">
        <v>1.3093659294137</v>
      </c>
      <c r="I29" s="156" t="n">
        <v>34.99284178605129</v>
      </c>
      <c r="J29" s="116" t="n">
        <v>0.8373171194792974</v>
      </c>
    </row>
    <row r="30">
      <c r="A30" t="n">
        <v>26</v>
      </c>
      <c r="B30" s="95" t="n">
        <v>46966</v>
      </c>
      <c r="C30" t="n">
        <v>2028</v>
      </c>
      <c r="D30" s="134" t="n">
        <v>929723.1566430104</v>
      </c>
      <c r="E30" s="134" t="n">
        <v>59052.72889777507</v>
      </c>
      <c r="F30" s="134" t="n">
        <v>988775.8855407855</v>
      </c>
      <c r="G30" s="134" t="n">
        <v>35981617.67159207</v>
      </c>
      <c r="H30" s="156" t="n">
        <v>0.9887758855407855</v>
      </c>
      <c r="I30" s="156" t="n">
        <v>35.98161767159207</v>
      </c>
      <c r="J30" s="116" t="n">
        <v>0.8609767862578219</v>
      </c>
    </row>
    <row r="31">
      <c r="A31" t="n">
        <v>27</v>
      </c>
      <c r="B31" s="95" t="n">
        <v>46997</v>
      </c>
      <c r="C31" t="n">
        <v>2028</v>
      </c>
      <c r="D31" s="134" t="n">
        <v>790862.7755118082</v>
      </c>
      <c r="E31" s="134" t="n">
        <v>52307.17689016731</v>
      </c>
      <c r="F31" s="134" t="n">
        <v>843169.9524019755</v>
      </c>
      <c r="G31" s="134" t="n">
        <v>36824787.62399404</v>
      </c>
      <c r="H31" s="156" t="n">
        <v>0.8431699524019756</v>
      </c>
      <c r="I31" s="156" t="n">
        <v>36.82478762399405</v>
      </c>
      <c r="J31" s="116" t="n">
        <v>0.8811523593105409</v>
      </c>
    </row>
    <row r="32">
      <c r="A32" t="n">
        <v>28</v>
      </c>
      <c r="B32" s="95" t="n">
        <v>47027</v>
      </c>
      <c r="C32" t="n">
        <v>2028</v>
      </c>
      <c r="D32" s="134" t="n">
        <v>680286.4967538355</v>
      </c>
      <c r="E32" s="134" t="n">
        <v>46782.46661510324</v>
      </c>
      <c r="F32" s="134" t="n">
        <v>727068.9633689388</v>
      </c>
      <c r="G32" s="134" t="n">
        <v>37551856.58736298</v>
      </c>
      <c r="H32" s="156" t="n">
        <v>0.7270689633689388</v>
      </c>
      <c r="I32" s="156" t="n">
        <v>37.55185658736298</v>
      </c>
      <c r="J32" s="116" t="n">
        <v>0.8985498400236835</v>
      </c>
    </row>
    <row r="33">
      <c r="A33" t="n">
        <v>29</v>
      </c>
      <c r="B33" s="95" t="n">
        <v>47058</v>
      </c>
      <c r="C33" t="n">
        <v>2028</v>
      </c>
      <c r="D33" s="134" t="n">
        <v>555655.9127244488</v>
      </c>
      <c r="E33" s="134" t="n">
        <v>39676.41239209819</v>
      </c>
      <c r="F33" s="134" t="n">
        <v>595332.3251165471</v>
      </c>
      <c r="G33" s="134" t="n">
        <v>38147188.91247953</v>
      </c>
      <c r="H33" s="156" t="n">
        <v>0.5953323251165471</v>
      </c>
      <c r="I33" s="156" t="n">
        <v>38.14718891247953</v>
      </c>
      <c r="J33" s="116" t="n">
        <v>0.9127950948288592</v>
      </c>
    </row>
    <row r="34">
      <c r="A34" t="n">
        <v>30</v>
      </c>
      <c r="B34" s="95" t="n">
        <v>47088</v>
      </c>
      <c r="C34" t="n">
        <v>2028</v>
      </c>
      <c r="D34" s="134" t="n">
        <v>528936.9907183537</v>
      </c>
      <c r="E34" s="134" t="n">
        <v>39166.20605269855</v>
      </c>
      <c r="F34" s="134" t="n">
        <v>568103.1967710522</v>
      </c>
      <c r="G34" s="134" t="n">
        <v>38715292.10925058</v>
      </c>
      <c r="H34" s="156" t="n">
        <v>0.5681031967710523</v>
      </c>
      <c r="I34" s="156" t="n">
        <v>38.71529210925058</v>
      </c>
      <c r="J34" s="116" t="n">
        <v>0.926388804513705</v>
      </c>
    </row>
    <row r="35">
      <c r="A35" t="n">
        <v>31</v>
      </c>
      <c r="B35" s="95" t="n">
        <v>47119</v>
      </c>
      <c r="C35" t="n">
        <v>2029</v>
      </c>
      <c r="D35" s="134" t="n">
        <v>448600.2300344388</v>
      </c>
      <c r="E35" s="134" t="n">
        <v>34405.80113738796</v>
      </c>
      <c r="F35" s="134" t="n">
        <v>483006.0311718268</v>
      </c>
      <c r="G35" s="134" t="n">
        <v>39198298.14042241</v>
      </c>
      <c r="H35" s="156" t="n">
        <v>0.4830060311718268</v>
      </c>
      <c r="I35" s="156" t="n">
        <v>39.19829814042241</v>
      </c>
      <c r="J35" s="116" t="n">
        <v>0.9379462887896215</v>
      </c>
    </row>
    <row r="36">
      <c r="A36" t="n">
        <v>32</v>
      </c>
      <c r="B36" s="95" t="n">
        <v>47150</v>
      </c>
      <c r="C36" t="n">
        <v>2029</v>
      </c>
      <c r="D36" s="134" t="n">
        <v>424114.0351018824</v>
      </c>
      <c r="E36" s="134" t="n">
        <v>33654.0122090081</v>
      </c>
      <c r="F36" s="134" t="n">
        <v>457768.0473108905</v>
      </c>
      <c r="G36" s="134" t="n">
        <v>39656066.1877333</v>
      </c>
      <c r="H36" s="156" t="n">
        <v>0.4577680473108905</v>
      </c>
      <c r="I36" s="156" t="n">
        <v>39.6560661877333</v>
      </c>
      <c r="J36" s="116" t="n">
        <v>0.9488998725284765</v>
      </c>
    </row>
    <row r="37">
      <c r="A37" t="n">
        <v>33</v>
      </c>
      <c r="B37" s="95" t="n">
        <v>47178</v>
      </c>
      <c r="C37" t="n">
        <v>2029</v>
      </c>
      <c r="D37" s="134" t="n">
        <v>482193.5744465548</v>
      </c>
      <c r="E37" s="134" t="n">
        <v>39546.28640626359</v>
      </c>
      <c r="F37" s="134" t="n">
        <v>521739.8608528184</v>
      </c>
      <c r="G37" s="134" t="n">
        <v>40177806.04858612</v>
      </c>
      <c r="H37" s="156" t="n">
        <v>0.5217398608528184</v>
      </c>
      <c r="I37" s="156" t="n">
        <v>40.17780604858611</v>
      </c>
      <c r="J37" s="116" t="n">
        <v>0.9613841891803738</v>
      </c>
    </row>
    <row r="38">
      <c r="A38" t="n">
        <v>34</v>
      </c>
      <c r="B38" s="95" t="n">
        <v>47209</v>
      </c>
      <c r="C38" t="n">
        <v>2029</v>
      </c>
      <c r="D38" s="134" t="n">
        <v>503084.5179103587</v>
      </c>
      <c r="E38" s="134" t="n">
        <v>42602.12112241789</v>
      </c>
      <c r="F38" s="134" t="n">
        <v>545686.6390327766</v>
      </c>
      <c r="G38" s="134" t="n">
        <v>40723492.68761889</v>
      </c>
      <c r="H38" s="156" t="n">
        <v>0.5456866390327766</v>
      </c>
      <c r="I38" s="156" t="n">
        <v>40.72349268761889</v>
      </c>
      <c r="J38" s="116" t="n">
        <v>0.9744415100898003</v>
      </c>
    </row>
    <row r="39">
      <c r="A39" t="n">
        <v>35</v>
      </c>
      <c r="B39" s="95" t="n">
        <v>47239</v>
      </c>
      <c r="C39" t="n">
        <v>2029</v>
      </c>
      <c r="D39" s="134" t="n">
        <v>457819.3451190839</v>
      </c>
      <c r="E39" s="134" t="n">
        <v>39993.70392343859</v>
      </c>
      <c r="F39" s="134" t="n">
        <v>497813.0490425224</v>
      </c>
      <c r="G39" s="134" t="n">
        <v>41221305.73666141</v>
      </c>
      <c r="H39" s="156" t="n">
        <v>0.4978130490425224</v>
      </c>
      <c r="I39" s="156" t="n">
        <v>41.22130573666141</v>
      </c>
      <c r="J39" s="116" t="n">
        <v>0.9863533002442555</v>
      </c>
    </row>
    <row r="40">
      <c r="A40" t="n">
        <v>36</v>
      </c>
      <c r="B40" s="95" t="n">
        <v>47270</v>
      </c>
      <c r="C40" t="n">
        <v>2029</v>
      </c>
      <c r="D40" s="134" t="n">
        <v>523208.7202562419</v>
      </c>
      <c r="E40" s="134" t="n">
        <v>47109.01760570313</v>
      </c>
      <c r="F40" s="134" t="n">
        <v>570317.7378619451</v>
      </c>
      <c r="G40" s="134" t="n">
        <v>41791623.47452336</v>
      </c>
      <c r="H40" s="156" t="n">
        <v>0.5703177378619451</v>
      </c>
      <c r="I40" s="156" t="n">
        <v>41.79162347452336</v>
      </c>
      <c r="J40" s="116" t="n">
        <v>1</v>
      </c>
    </row>
    <row r="41">
      <c r="B41" s="95" t="n"/>
      <c r="D41" s="134" t="n"/>
      <c r="E41" s="134" t="n"/>
      <c r="F41" s="134" t="n"/>
      <c r="G41" s="134" t="n"/>
      <c r="H41" s="156" t="n"/>
      <c r="I41" s="156" t="n"/>
      <c r="J41" s="116" t="n"/>
    </row>
    <row r="42">
      <c r="B42" s="95" t="n"/>
      <c r="D42" s="134" t="n"/>
      <c r="E42" s="134" t="n"/>
      <c r="F42" s="134" t="n"/>
      <c r="G42" s="134" t="n"/>
      <c r="H42" s="156" t="n"/>
      <c r="I42" s="156" t="n"/>
      <c r="J42" s="116" t="n"/>
    </row>
    <row r="43">
      <c r="B43" s="95" t="n"/>
      <c r="D43" s="134" t="n"/>
      <c r="E43" s="134" t="n"/>
      <c r="F43" s="134" t="n"/>
      <c r="G43" s="134" t="n"/>
      <c r="H43" s="156" t="n"/>
      <c r="I43" s="156" t="n"/>
      <c r="J43" s="116" t="n"/>
    </row>
    <row r="44">
      <c r="B44" s="95" t="n"/>
      <c r="D44" s="134" t="n"/>
      <c r="E44" s="134" t="n"/>
      <c r="F44" s="134" t="n"/>
      <c r="G44" s="134" t="n"/>
      <c r="H44" s="156" t="n"/>
      <c r="I44" s="156" t="n"/>
      <c r="J44" s="116" t="n"/>
    </row>
    <row r="45">
      <c r="B45" s="95" t="n"/>
      <c r="D45" s="134" t="n"/>
      <c r="E45" s="134" t="n"/>
      <c r="F45" s="134" t="n"/>
      <c r="G45" s="134" t="n"/>
      <c r="H45" s="156" t="n"/>
      <c r="I45" s="156" t="n"/>
      <c r="J45" s="116" t="n"/>
    </row>
    <row r="46">
      <c r="B46" s="95" t="n"/>
      <c r="D46" s="134" t="n"/>
      <c r="E46" s="134" t="n"/>
      <c r="F46" s="134" t="n"/>
      <c r="G46" s="134" t="n"/>
      <c r="H46" s="156" t="n"/>
      <c r="I46" s="156" t="n"/>
      <c r="J46" s="116" t="n"/>
    </row>
    <row r="47">
      <c r="B47" s="95" t="n"/>
      <c r="D47" s="134" t="n"/>
      <c r="E47" s="134" t="n"/>
      <c r="F47" s="134" t="n"/>
      <c r="G47" s="134" t="n"/>
      <c r="H47" s="156" t="n"/>
      <c r="I47" s="156" t="n"/>
      <c r="J47" s="116" t="n"/>
    </row>
    <row r="48">
      <c r="B48" s="95" t="n"/>
      <c r="D48" s="134" t="n"/>
      <c r="E48" s="134" t="n"/>
      <c r="F48" s="134" t="n"/>
      <c r="G48" s="134" t="n"/>
      <c r="H48" s="156" t="n"/>
      <c r="I48" s="156" t="n"/>
      <c r="J48" s="116" t="n"/>
    </row>
    <row r="49">
      <c r="B49" s="95" t="n"/>
      <c r="D49" s="134" t="n"/>
      <c r="E49" s="134" t="n"/>
      <c r="F49" s="134" t="n"/>
      <c r="G49" s="134" t="n"/>
      <c r="H49" s="156" t="n"/>
      <c r="I49" s="156" t="n"/>
      <c r="J49" s="116" t="n"/>
    </row>
    <row r="50">
      <c r="B50" s="95" t="n"/>
      <c r="D50" s="134" t="n"/>
      <c r="E50" s="134" t="n"/>
      <c r="F50" s="134" t="n"/>
      <c r="G50" s="134" t="n"/>
      <c r="H50" s="156" t="n"/>
      <c r="I50" s="156" t="n"/>
      <c r="J50" s="116" t="n"/>
    </row>
    <row r="51">
      <c r="B51" s="95" t="n"/>
      <c r="D51" s="134" t="n"/>
      <c r="E51" s="134" t="n"/>
      <c r="F51" s="134" t="n"/>
      <c r="G51" s="134" t="n"/>
      <c r="H51" s="156" t="n"/>
      <c r="I51" s="156" t="n"/>
      <c r="J51" s="116" t="n"/>
    </row>
    <row r="52">
      <c r="B52" s="95" t="n"/>
      <c r="D52" s="134" t="n"/>
      <c r="E52" s="134" t="n"/>
      <c r="F52" s="134" t="n"/>
      <c r="G52" s="134" t="n"/>
      <c r="H52" s="156" t="n"/>
      <c r="I52" s="156" t="n"/>
      <c r="J52" s="116" t="n"/>
    </row>
    <row r="53">
      <c r="B53" s="95" t="n"/>
      <c r="D53" s="134" t="n"/>
      <c r="E53" s="134" t="n"/>
      <c r="F53" s="134" t="n"/>
      <c r="G53" s="134" t="n"/>
      <c r="H53" s="156" t="n"/>
      <c r="I53" s="156" t="n"/>
      <c r="J53" s="116" t="n"/>
    </row>
    <row r="54">
      <c r="B54" s="95" t="n"/>
      <c r="D54" s="134" t="n"/>
      <c r="E54" s="134" t="n"/>
      <c r="F54" s="134" t="n"/>
      <c r="G54" s="134" t="n"/>
      <c r="H54" s="156" t="n"/>
      <c r="I54" s="156" t="n"/>
      <c r="J54" s="116" t="n"/>
    </row>
    <row r="55">
      <c r="B55" s="95" t="n"/>
      <c r="D55" s="134" t="n"/>
      <c r="E55" s="134" t="n"/>
      <c r="F55" s="134" t="n"/>
      <c r="G55" s="134" t="n"/>
      <c r="H55" s="156" t="n"/>
      <c r="I55" s="156" t="n"/>
      <c r="J55" s="116" t="n"/>
    </row>
    <row r="56">
      <c r="B56" s="95" t="n"/>
      <c r="D56" s="134" t="n"/>
      <c r="E56" s="134" t="n"/>
      <c r="F56" s="134" t="n"/>
      <c r="G56" s="134" t="n"/>
      <c r="H56" s="156" t="n"/>
      <c r="I56" s="156" t="n"/>
      <c r="J56" s="116" t="n"/>
    </row>
    <row r="57">
      <c r="B57" s="95" t="n"/>
      <c r="D57" s="134" t="n"/>
      <c r="E57" s="134" t="n"/>
      <c r="F57" s="134" t="n"/>
      <c r="G57" s="134" t="n"/>
      <c r="H57" s="156" t="n"/>
      <c r="I57" s="156" t="n"/>
      <c r="J57" s="116" t="n"/>
    </row>
    <row r="58">
      <c r="B58" s="95" t="n"/>
      <c r="D58" s="134" t="n"/>
      <c r="E58" s="134" t="n"/>
      <c r="F58" s="134" t="n"/>
      <c r="G58" s="134" t="n"/>
      <c r="H58" s="156" t="n"/>
      <c r="I58" s="156" t="n"/>
      <c r="J58" s="116" t="n"/>
    </row>
    <row r="59">
      <c r="B59" s="95" t="n"/>
      <c r="D59" s="134" t="n"/>
      <c r="E59" s="134" t="n"/>
      <c r="F59" s="134" t="n"/>
      <c r="G59" s="134" t="n"/>
      <c r="H59" s="156" t="n"/>
      <c r="I59" s="156" t="n"/>
      <c r="J59" s="116" t="n"/>
    </row>
    <row r="60">
      <c r="B60" s="95" t="n"/>
      <c r="D60" s="134" t="n"/>
      <c r="E60" s="134" t="n"/>
      <c r="F60" s="134" t="n"/>
      <c r="G60" s="134" t="n"/>
      <c r="H60" s="156" t="n"/>
      <c r="I60" s="156" t="n"/>
      <c r="J60" s="116" t="n"/>
    </row>
    <row r="61">
      <c r="B61" s="95" t="n"/>
      <c r="D61" s="134" t="n"/>
      <c r="E61" s="134" t="n"/>
      <c r="F61" s="134" t="n"/>
      <c r="G61" s="134" t="n"/>
      <c r="H61" s="156" t="n"/>
      <c r="I61" s="156" t="n"/>
      <c r="J61" s="116" t="n"/>
    </row>
    <row r="62">
      <c r="B62" s="95" t="n"/>
      <c r="D62" s="134" t="n"/>
      <c r="E62" s="134" t="n"/>
      <c r="F62" s="134" t="n"/>
      <c r="G62" s="134" t="n"/>
      <c r="H62" s="156" t="n"/>
      <c r="I62" s="156" t="n"/>
      <c r="J62" s="116" t="n"/>
    </row>
    <row r="63">
      <c r="B63" s="95" t="n"/>
      <c r="D63" s="134" t="n"/>
      <c r="E63" s="134" t="n"/>
      <c r="F63" s="134" t="n"/>
      <c r="G63" s="134" t="n"/>
      <c r="H63" s="156" t="n"/>
      <c r="I63" s="156" t="n"/>
      <c r="J63" s="116" t="n"/>
    </row>
    <row r="64">
      <c r="B64" s="95" t="n"/>
      <c r="D64" s="134" t="n"/>
      <c r="E64" s="134" t="n"/>
      <c r="F64" s="134" t="n"/>
      <c r="G64" s="134" t="n"/>
      <c r="H64" s="156" t="n"/>
      <c r="I64" s="156" t="n"/>
      <c r="J64" s="116" t="n"/>
    </row>
  </sheetData>
  <mergeCells count="2">
    <mergeCell ref="A1:I1"/>
    <mergeCell ref="A2:I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005B9BD5"/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4.25"/>
  <cols>
    <col width="14" customWidth="1" style="70" min="1" max="1"/>
    <col width="38" customWidth="1" style="70" min="2" max="2"/>
    <col width="16" customWidth="1" style="70" min="3" max="5"/>
    <col width="18" customWidth="1" style="70" min="6" max="9"/>
  </cols>
  <sheetData>
    <row r="1" ht="27.95000076293945" customHeight="1" s="70">
      <c r="A1" s="66" t="inlineStr">
        <is>
          <t>Monte Carlo Inputs</t>
        </is>
      </c>
      <c r="B1" s="35" t="n"/>
      <c r="C1" s="35" t="n"/>
      <c r="D1" s="35" t="n"/>
      <c r="E1" s="35" t="n"/>
      <c r="F1" s="35" t="n"/>
      <c r="G1" s="35" t="n"/>
      <c r="H1" s="35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Rows copied from Cost_Register where Contingency Eligible = Yes.</t>
        </is>
      </c>
      <c r="B2" s="35" t="n"/>
      <c r="C2" s="35" t="n"/>
      <c r="D2" s="35" t="n"/>
      <c r="E2" s="35" t="n"/>
      <c r="F2" s="35" t="n"/>
      <c r="G2" s="35" t="n"/>
      <c r="H2" s="35" t="n"/>
    </row>
    <row r="4" ht="24" customHeight="1" s="70">
      <c r="A4" s="71" t="inlineStr">
        <is>
          <t>Item ID</t>
        </is>
      </c>
      <c r="B4" s="71" t="inlineStr">
        <is>
          <t>Description</t>
        </is>
      </c>
      <c r="C4" s="71" t="inlineStr">
        <is>
          <t>Low</t>
        </is>
      </c>
      <c r="D4" s="71" t="inlineStr">
        <is>
          <t>Most Likely</t>
        </is>
      </c>
      <c r="E4" s="71" t="inlineStr">
        <is>
          <t>High</t>
        </is>
      </c>
      <c r="F4" s="71" t="inlineStr">
        <is>
          <t>Contingency Eligible</t>
        </is>
      </c>
      <c r="G4" s="71" t="inlineStr">
        <is>
          <t>Distribution</t>
        </is>
      </c>
      <c r="H4" s="71" t="inlineStr">
        <is>
          <t>Valid</t>
        </is>
      </c>
      <c r="I4" s="71" t="inlineStr">
        <is>
          <t>Notes</t>
        </is>
      </c>
    </row>
    <row r="5">
      <c r="A5" t="inlineStr">
        <is>
          <t>EQ-001</t>
        </is>
      </c>
      <c r="B5" t="inlineStr">
        <is>
          <t>Process mixer package</t>
        </is>
      </c>
      <c r="C5" s="134" t="n">
        <v>2240000</v>
      </c>
      <c r="D5" s="134" t="n">
        <v>2800000</v>
      </c>
      <c r="E5" s="134" t="n">
        <v>3640000</v>
      </c>
      <c r="F5" t="inlineStr">
        <is>
          <t>Yes</t>
        </is>
      </c>
      <c r="G5" t="inlineStr">
        <is>
          <t>Triangular</t>
        </is>
      </c>
      <c r="H5" t="inlineStr">
        <is>
          <t>PASS</t>
        </is>
      </c>
      <c r="I5" t="inlineStr">
        <is>
          <t>Demo loaded</t>
        </is>
      </c>
    </row>
    <row r="6">
      <c r="A6" t="inlineStr">
        <is>
          <t>EQ-002</t>
        </is>
      </c>
      <c r="B6" t="inlineStr">
        <is>
          <t>Process vessels and tanks</t>
        </is>
      </c>
      <c r="C6" s="134" t="n">
        <v>2560000</v>
      </c>
      <c r="D6" s="134" t="n">
        <v>3200000</v>
      </c>
      <c r="E6" s="134" t="n">
        <v>4160000</v>
      </c>
      <c r="F6" t="inlineStr">
        <is>
          <t>Yes</t>
        </is>
      </c>
      <c r="G6" t="inlineStr">
        <is>
          <t>Triangular</t>
        </is>
      </c>
      <c r="H6" t="inlineStr">
        <is>
          <t>PASS</t>
        </is>
      </c>
      <c r="I6" t="inlineStr">
        <is>
          <t>Demo loaded</t>
        </is>
      </c>
    </row>
    <row r="7">
      <c r="A7" t="inlineStr">
        <is>
          <t>EQ-003</t>
        </is>
      </c>
      <c r="B7" t="inlineStr">
        <is>
          <t>Pumping and transfer skids</t>
        </is>
      </c>
      <c r="C7" s="134" t="n">
        <v>1600000</v>
      </c>
      <c r="D7" s="134" t="n">
        <v>2000000</v>
      </c>
      <c r="E7" s="134" t="n">
        <v>2600000</v>
      </c>
      <c r="F7" t="inlineStr">
        <is>
          <t>Yes</t>
        </is>
      </c>
      <c r="G7" t="inlineStr">
        <is>
          <t>Triangular</t>
        </is>
      </c>
      <c r="H7" t="inlineStr">
        <is>
          <t>PASS</t>
        </is>
      </c>
      <c r="I7" t="inlineStr">
        <is>
          <t>Demo loaded</t>
        </is>
      </c>
    </row>
    <row r="8">
      <c r="A8" t="inlineStr">
        <is>
          <t>EQ-004</t>
        </is>
      </c>
      <c r="B8" t="inlineStr">
        <is>
          <t>Heat exchangers and utility skids</t>
        </is>
      </c>
      <c r="C8" s="134" t="n">
        <v>1920000</v>
      </c>
      <c r="D8" s="134" t="n">
        <v>2400000</v>
      </c>
      <c r="E8" s="134" t="n">
        <v>3120000</v>
      </c>
      <c r="F8" t="inlineStr">
        <is>
          <t>Yes</t>
        </is>
      </c>
      <c r="G8" t="inlineStr">
        <is>
          <t>Triangular</t>
        </is>
      </c>
      <c r="H8" t="inlineStr">
        <is>
          <t>PASS</t>
        </is>
      </c>
      <c r="I8" t="inlineStr">
        <is>
          <t>Demo loaded</t>
        </is>
      </c>
    </row>
    <row r="9">
      <c r="A9" t="inlineStr">
        <is>
          <t>EQ-005</t>
        </is>
      </c>
      <c r="B9" t="inlineStr">
        <is>
          <t>Equipment installation auxiliaries</t>
        </is>
      </c>
      <c r="C9" s="134" t="n">
        <v>1280000</v>
      </c>
      <c r="D9" s="134" t="n">
        <v>1600000</v>
      </c>
      <c r="E9" s="134" t="n">
        <v>2080000</v>
      </c>
      <c r="F9" t="inlineStr">
        <is>
          <t>Yes</t>
        </is>
      </c>
      <c r="G9" t="inlineStr">
        <is>
          <t>Triangular</t>
        </is>
      </c>
      <c r="H9" t="inlineStr">
        <is>
          <t>PASS</t>
        </is>
      </c>
      <c r="I9" t="inlineStr">
        <is>
          <t>Demo loaded</t>
        </is>
      </c>
    </row>
    <row r="10">
      <c r="A10" t="inlineStr">
        <is>
          <t>EL-001</t>
        </is>
      </c>
      <c r="B10" t="inlineStr">
        <is>
          <t>MV/LV substation package</t>
        </is>
      </c>
      <c r="C10" s="134" t="n">
        <v>1120000</v>
      </c>
      <c r="D10" s="134" t="n">
        <v>1400000</v>
      </c>
      <c r="E10" s="134" t="n">
        <v>1820000</v>
      </c>
      <c r="F10" t="inlineStr">
        <is>
          <t>Yes</t>
        </is>
      </c>
      <c r="G10" t="inlineStr">
        <is>
          <t>Triangular</t>
        </is>
      </c>
      <c r="H10" t="inlineStr">
        <is>
          <t>PASS</t>
        </is>
      </c>
      <c r="I10" t="inlineStr">
        <is>
          <t>Demo loaded</t>
        </is>
      </c>
    </row>
    <row r="11">
      <c r="A11" t="inlineStr">
        <is>
          <t>EL-002</t>
        </is>
      </c>
      <c r="B11" t="inlineStr">
        <is>
          <t>MCC and distribution boards</t>
        </is>
      </c>
      <c r="C11" s="134" t="n">
        <v>960000</v>
      </c>
      <c r="D11" s="134" t="n">
        <v>1200000</v>
      </c>
      <c r="E11" s="134" t="n">
        <v>1560000</v>
      </c>
      <c r="F11" t="inlineStr">
        <is>
          <t>Yes</t>
        </is>
      </c>
      <c r="G11" t="inlineStr">
        <is>
          <t>Triangular</t>
        </is>
      </c>
      <c r="H11" t="inlineStr">
        <is>
          <t>PASS</t>
        </is>
      </c>
      <c r="I11" t="inlineStr">
        <is>
          <t>Demo loaded</t>
        </is>
      </c>
    </row>
    <row r="12">
      <c r="A12" t="inlineStr">
        <is>
          <t>EL-003</t>
        </is>
      </c>
      <c r="B12" t="inlineStr">
        <is>
          <t>Cable trays, cabling and termination</t>
        </is>
      </c>
      <c r="C12" s="134" t="n">
        <v>1280000</v>
      </c>
      <c r="D12" s="134" t="n">
        <v>1600000</v>
      </c>
      <c r="E12" s="134" t="n">
        <v>2080000</v>
      </c>
      <c r="F12" t="inlineStr">
        <is>
          <t>Yes</t>
        </is>
      </c>
      <c r="G12" t="inlineStr">
        <is>
          <t>Triangular</t>
        </is>
      </c>
      <c r="H12" t="inlineStr">
        <is>
          <t>PASS</t>
        </is>
      </c>
      <c r="I12" t="inlineStr">
        <is>
          <t>Demo loaded</t>
        </is>
      </c>
    </row>
    <row r="13">
      <c r="A13" t="inlineStr">
        <is>
          <t>EL-004</t>
        </is>
      </c>
      <c r="B13" t="inlineStr">
        <is>
          <t>Lighting, earthing and small power</t>
        </is>
      </c>
      <c r="C13" s="134" t="n">
        <v>640000</v>
      </c>
      <c r="D13" s="134" t="n">
        <v>800000</v>
      </c>
      <c r="E13" s="134" t="n">
        <v>1040000</v>
      </c>
      <c r="F13" t="inlineStr">
        <is>
          <t>Yes</t>
        </is>
      </c>
      <c r="G13" t="inlineStr">
        <is>
          <t>Triangular</t>
        </is>
      </c>
      <c r="H13" t="inlineStr">
        <is>
          <t>PASS</t>
        </is>
      </c>
      <c r="I13" t="inlineStr">
        <is>
          <t>Demo loaded</t>
        </is>
      </c>
    </row>
    <row r="14">
      <c r="A14" t="inlineStr">
        <is>
          <t>IA-001</t>
        </is>
      </c>
      <c r="B14" t="inlineStr">
        <is>
          <t>PLC/DCS hardware and software</t>
        </is>
      </c>
      <c r="C14" s="134" t="n">
        <v>960000</v>
      </c>
      <c r="D14" s="134" t="n">
        <v>1200000</v>
      </c>
      <c r="E14" s="134" t="n">
        <v>1560000</v>
      </c>
      <c r="F14" t="inlineStr">
        <is>
          <t>Yes</t>
        </is>
      </c>
      <c r="G14" t="inlineStr">
        <is>
          <t>Triangular</t>
        </is>
      </c>
      <c r="H14" t="inlineStr">
        <is>
          <t>PASS</t>
        </is>
      </c>
      <c r="I14" t="inlineStr">
        <is>
          <t>Demo loaded</t>
        </is>
      </c>
    </row>
    <row r="15">
      <c r="A15" t="inlineStr">
        <is>
          <t>IA-002</t>
        </is>
      </c>
      <c r="B15" t="inlineStr">
        <is>
          <t>Field instrumentation and valves</t>
        </is>
      </c>
      <c r="C15" s="134" t="n">
        <v>800000</v>
      </c>
      <c r="D15" s="134" t="n">
        <v>1000000</v>
      </c>
      <c r="E15" s="134" t="n">
        <v>1300000</v>
      </c>
      <c r="F15" t="inlineStr">
        <is>
          <t>Yes</t>
        </is>
      </c>
      <c r="G15" t="inlineStr">
        <is>
          <t>Triangular</t>
        </is>
      </c>
      <c r="H15" t="inlineStr">
        <is>
          <t>PASS</t>
        </is>
      </c>
      <c r="I15" t="inlineStr">
        <is>
          <t>Demo loaded</t>
        </is>
      </c>
    </row>
    <row r="16">
      <c r="A16" t="inlineStr">
        <is>
          <t>IA-003</t>
        </is>
      </c>
      <c r="B16" t="inlineStr">
        <is>
          <t>Automation engineering and commissioning</t>
        </is>
      </c>
      <c r="C16" s="134" t="n">
        <v>640000</v>
      </c>
      <c r="D16" s="134" t="n">
        <v>800000</v>
      </c>
      <c r="E16" s="134" t="n">
        <v>1040000</v>
      </c>
      <c r="F16" t="inlineStr">
        <is>
          <t>Yes</t>
        </is>
      </c>
      <c r="G16" t="inlineStr">
        <is>
          <t>Triangular</t>
        </is>
      </c>
      <c r="H16" t="inlineStr">
        <is>
          <t>PASS</t>
        </is>
      </c>
      <c r="I16" t="inlineStr">
        <is>
          <t>Demo loaded</t>
        </is>
      </c>
    </row>
    <row r="17">
      <c r="A17" t="inlineStr">
        <is>
          <t>BM-001</t>
        </is>
      </c>
      <c r="B17" t="inlineStr">
        <is>
          <t>Process piping supply</t>
        </is>
      </c>
      <c r="C17" s="134" t="n">
        <v>1680000</v>
      </c>
      <c r="D17" s="134" t="n">
        <v>2100000</v>
      </c>
      <c r="E17" s="134" t="n">
        <v>2730000</v>
      </c>
      <c r="F17" t="inlineStr">
        <is>
          <t>Yes</t>
        </is>
      </c>
      <c r="G17" t="inlineStr">
        <is>
          <t>Triangular</t>
        </is>
      </c>
      <c r="H17" t="inlineStr">
        <is>
          <t>PASS</t>
        </is>
      </c>
      <c r="I17" t="inlineStr">
        <is>
          <t>Demo loaded</t>
        </is>
      </c>
    </row>
    <row r="18">
      <c r="A18" t="inlineStr">
        <is>
          <t>BM-002</t>
        </is>
      </c>
      <c r="B18" t="inlineStr">
        <is>
          <t>Manual and control valves</t>
        </is>
      </c>
      <c r="C18" s="134" t="n">
        <v>880000</v>
      </c>
      <c r="D18" s="134" t="n">
        <v>1100000</v>
      </c>
      <c r="E18" s="134" t="n">
        <v>1430000</v>
      </c>
      <c r="F18" t="inlineStr">
        <is>
          <t>Yes</t>
        </is>
      </c>
      <c r="G18" t="inlineStr">
        <is>
          <t>Triangular</t>
        </is>
      </c>
      <c r="H18" t="inlineStr">
        <is>
          <t>PASS</t>
        </is>
      </c>
      <c r="I18" t="inlineStr">
        <is>
          <t>Demo loaded</t>
        </is>
      </c>
    </row>
    <row r="19">
      <c r="A19" t="inlineStr">
        <is>
          <t>BM-003</t>
        </is>
      </c>
      <c r="B19" t="inlineStr">
        <is>
          <t>Insulation, painting and tracing</t>
        </is>
      </c>
      <c r="C19" s="134" t="n">
        <v>640000</v>
      </c>
      <c r="D19" s="134" t="n">
        <v>800000</v>
      </c>
      <c r="E19" s="134" t="n">
        <v>1040000</v>
      </c>
      <c r="F19" t="inlineStr">
        <is>
          <t>Yes</t>
        </is>
      </c>
      <c r="G19" t="inlineStr">
        <is>
          <t>Triangular</t>
        </is>
      </c>
      <c r="H19" t="inlineStr">
        <is>
          <t>PASS</t>
        </is>
      </c>
      <c r="I19" t="inlineStr">
        <is>
          <t>Demo loaded</t>
        </is>
      </c>
    </row>
    <row r="20">
      <c r="A20" t="inlineStr">
        <is>
          <t>CN-001</t>
        </is>
      </c>
      <c r="B20" t="inlineStr">
        <is>
          <t>Civil works and foundations</t>
        </is>
      </c>
      <c r="C20" s="134" t="n">
        <v>1600000</v>
      </c>
      <c r="D20" s="134" t="n">
        <v>2000000</v>
      </c>
      <c r="E20" s="134" t="n">
        <v>2600000</v>
      </c>
      <c r="F20" t="inlineStr">
        <is>
          <t>Yes</t>
        </is>
      </c>
      <c r="G20" t="inlineStr">
        <is>
          <t>Triangular</t>
        </is>
      </c>
      <c r="H20" t="inlineStr">
        <is>
          <t>PASS</t>
        </is>
      </c>
      <c r="I20" t="inlineStr">
        <is>
          <t>Demo loaded</t>
        </is>
      </c>
    </row>
    <row r="21">
      <c r="A21" t="inlineStr">
        <is>
          <t>CN-002</t>
        </is>
      </c>
      <c r="B21" t="inlineStr">
        <is>
          <t>Mechanical installation works</t>
        </is>
      </c>
      <c r="C21" s="134" t="n">
        <v>1840000</v>
      </c>
      <c r="D21" s="134" t="n">
        <v>2300000</v>
      </c>
      <c r="E21" s="134" t="n">
        <v>2990000</v>
      </c>
      <c r="F21" t="inlineStr">
        <is>
          <t>Yes</t>
        </is>
      </c>
      <c r="G21" t="inlineStr">
        <is>
          <t>Triangular</t>
        </is>
      </c>
      <c r="H21" t="inlineStr">
        <is>
          <t>PASS</t>
        </is>
      </c>
      <c r="I21" t="inlineStr">
        <is>
          <t>Demo loaded</t>
        </is>
      </c>
    </row>
    <row r="22">
      <c r="A22" t="inlineStr">
        <is>
          <t>CN-003</t>
        </is>
      </c>
      <c r="B22" t="inlineStr">
        <is>
          <t>Electrical installation works</t>
        </is>
      </c>
      <c r="C22" s="134" t="n">
        <v>960000</v>
      </c>
      <c r="D22" s="134" t="n">
        <v>1200000</v>
      </c>
      <c r="E22" s="134" t="n">
        <v>1560000</v>
      </c>
      <c r="F22" t="inlineStr">
        <is>
          <t>Yes</t>
        </is>
      </c>
      <c r="G22" t="inlineStr">
        <is>
          <t>Triangular</t>
        </is>
      </c>
      <c r="H22" t="inlineStr">
        <is>
          <t>PASS</t>
        </is>
      </c>
      <c r="I22" t="inlineStr">
        <is>
          <t>Demo loaded</t>
        </is>
      </c>
    </row>
    <row r="23">
      <c r="A23" t="inlineStr">
        <is>
          <t>CN-004</t>
        </is>
      </c>
      <c r="B23" t="inlineStr">
        <is>
          <t>Pre-commissioning and start-up support</t>
        </is>
      </c>
      <c r="C23" s="134" t="n">
        <v>1200000</v>
      </c>
      <c r="D23" s="134" t="n">
        <v>1500000</v>
      </c>
      <c r="E23" s="134" t="n">
        <v>1950000</v>
      </c>
      <c r="F23" t="inlineStr">
        <is>
          <t>Yes</t>
        </is>
      </c>
      <c r="G23" t="inlineStr">
        <is>
          <t>Triangular</t>
        </is>
      </c>
      <c r="H23" t="inlineStr">
        <is>
          <t>PASS</t>
        </is>
      </c>
      <c r="I23" t="inlineStr">
        <is>
          <t>Demo loaded</t>
        </is>
      </c>
    </row>
    <row r="24">
      <c r="A24" t="inlineStr">
        <is>
          <t>IO-001</t>
        </is>
      </c>
      <c r="B24" t="inlineStr">
        <is>
          <t>EPCM engineering services</t>
        </is>
      </c>
      <c r="C24" s="134" t="n">
        <v>1760000</v>
      </c>
      <c r="D24" s="134" t="n">
        <v>2200000</v>
      </c>
      <c r="E24" s="134" t="n">
        <v>2860000</v>
      </c>
      <c r="F24" t="inlineStr">
        <is>
          <t>Yes</t>
        </is>
      </c>
      <c r="G24" t="inlineStr">
        <is>
          <t>Triangular</t>
        </is>
      </c>
      <c r="H24" t="inlineStr">
        <is>
          <t>PASS</t>
        </is>
      </c>
      <c r="I24" t="inlineStr">
        <is>
          <t>Demo loaded</t>
        </is>
      </c>
    </row>
    <row r="25">
      <c r="A25" t="inlineStr">
        <is>
          <t>IO-002</t>
        </is>
      </c>
      <c r="B25" t="inlineStr">
        <is>
          <t>Construction management and supervision</t>
        </is>
      </c>
      <c r="C25" s="134" t="n">
        <v>640000</v>
      </c>
      <c r="D25" s="134" t="n">
        <v>800000</v>
      </c>
      <c r="E25" s="134" t="n">
        <v>1040000</v>
      </c>
      <c r="F25" t="inlineStr">
        <is>
          <t>Yes</t>
        </is>
      </c>
      <c r="G25" t="inlineStr">
        <is>
          <t>Triangular</t>
        </is>
      </c>
      <c r="H25" t="inlineStr">
        <is>
          <t>PASS</t>
        </is>
      </c>
      <c r="I25" t="inlineStr">
        <is>
          <t>Demo loaded</t>
        </is>
      </c>
    </row>
    <row r="26">
      <c r="A26" t="inlineStr">
        <is>
          <t>IO-003</t>
        </is>
      </c>
      <c r="B26" t="inlineStr">
        <is>
          <t>Permits, studies and owner reviews</t>
        </is>
      </c>
      <c r="C26" s="134" t="n">
        <v>480000</v>
      </c>
      <c r="D26" s="134" t="n">
        <v>600000</v>
      </c>
      <c r="E26" s="134" t="n">
        <v>780000</v>
      </c>
      <c r="F26" t="inlineStr">
        <is>
          <t>Yes</t>
        </is>
      </c>
      <c r="G26" t="inlineStr">
        <is>
          <t>Triangular</t>
        </is>
      </c>
      <c r="H26" t="inlineStr">
        <is>
          <t>PASS</t>
        </is>
      </c>
      <c r="I26" t="inlineStr">
        <is>
          <t>Demo loaded</t>
        </is>
      </c>
    </row>
    <row r="27">
      <c r="A27" t="inlineStr">
        <is>
          <t>IO-004</t>
        </is>
      </c>
      <c r="B27" t="inlineStr">
        <is>
          <t>Freight, logistics and temporary facilities</t>
        </is>
      </c>
      <c r="C27" s="134" t="n">
        <v>320000</v>
      </c>
      <c r="D27" s="134" t="n">
        <v>400000</v>
      </c>
      <c r="E27" s="134" t="n">
        <v>520000</v>
      </c>
      <c r="F27" t="inlineStr">
        <is>
          <t>Yes</t>
        </is>
      </c>
      <c r="G27" t="inlineStr">
        <is>
          <t>Triangular</t>
        </is>
      </c>
      <c r="H27" t="inlineStr">
        <is>
          <t>PASS</t>
        </is>
      </c>
      <c r="I27" t="inlineStr">
        <is>
          <t>Demo loaded</t>
        </is>
      </c>
    </row>
    <row r="28">
      <c r="A28" t="inlineStr">
        <is>
          <t>OT-001</t>
        </is>
      </c>
      <c r="B28" t="inlineStr">
        <is>
          <t>Capital spares initial holding</t>
        </is>
      </c>
      <c r="C28" s="134" t="n">
        <v>320000</v>
      </c>
      <c r="D28" s="134" t="n">
        <v>400000</v>
      </c>
      <c r="E28" s="134" t="n">
        <v>520000</v>
      </c>
      <c r="F28" t="inlineStr">
        <is>
          <t>Yes</t>
        </is>
      </c>
      <c r="G28" t="inlineStr">
        <is>
          <t>Triangular</t>
        </is>
      </c>
      <c r="H28" t="inlineStr">
        <is>
          <t>PASS</t>
        </is>
      </c>
      <c r="I28" t="inlineStr">
        <is>
          <t>Demo loaded</t>
        </is>
      </c>
    </row>
    <row r="29">
      <c r="A29" t="inlineStr">
        <is>
          <t>OT-002</t>
        </is>
      </c>
      <c r="B29" t="inlineStr">
        <is>
          <t>Training and operational readiness</t>
        </is>
      </c>
      <c r="C29" s="134" t="n">
        <v>160000</v>
      </c>
      <c r="D29" s="134" t="n">
        <v>200000</v>
      </c>
      <c r="E29" s="134" t="n">
        <v>260000</v>
      </c>
      <c r="F29" t="inlineStr">
        <is>
          <t>Yes</t>
        </is>
      </c>
      <c r="G29" t="inlineStr">
        <is>
          <t>Triangular</t>
        </is>
      </c>
      <c r="H29" t="inlineStr">
        <is>
          <t>PASS</t>
        </is>
      </c>
      <c r="I29" t="inlineStr">
        <is>
          <t>Demo loaded</t>
        </is>
      </c>
    </row>
    <row r="30">
      <c r="A30" t="inlineStr">
        <is>
          <t>OT-003</t>
        </is>
      </c>
      <c r="B30" t="inlineStr">
        <is>
          <t>Start-up consumables and temporary support</t>
        </is>
      </c>
      <c r="C30" s="134" t="n">
        <v>320000</v>
      </c>
      <c r="D30" s="134" t="n">
        <v>400000</v>
      </c>
      <c r="E30" s="134" t="n">
        <v>520000</v>
      </c>
      <c r="F30" t="inlineStr">
        <is>
          <t>Yes</t>
        </is>
      </c>
      <c r="G30" t="inlineStr">
        <is>
          <t>Triangular</t>
        </is>
      </c>
      <c r="H30" t="inlineStr">
        <is>
          <t>PASS</t>
        </is>
      </c>
      <c r="I30" t="inlineStr">
        <is>
          <t>Demo loaded</t>
        </is>
      </c>
    </row>
    <row r="31">
      <c r="A31" t="inlineStr">
        <is>
          <t>MP-001</t>
        </is>
      </c>
      <c r="B31" t="inlineStr">
        <is>
          <t>Project Manager</t>
        </is>
      </c>
      <c r="C31" s="134" t="n">
        <v>516770.1863354038</v>
      </c>
      <c r="D31" s="134" t="n">
        <v>645962.7329192547</v>
      </c>
      <c r="E31" s="134" t="n">
        <v>839751.5527950311</v>
      </c>
      <c r="F31" t="inlineStr">
        <is>
          <t>Yes</t>
        </is>
      </c>
      <c r="G31" t="inlineStr">
        <is>
          <t>Triangular</t>
        </is>
      </c>
      <c r="H31" t="inlineStr">
        <is>
          <t>PASS</t>
        </is>
      </c>
      <c r="I31" t="inlineStr">
        <is>
          <t>Demo loaded</t>
        </is>
      </c>
    </row>
    <row r="32">
      <c r="A32" t="inlineStr">
        <is>
          <t>MP-002</t>
        </is>
      </c>
      <c r="B32" t="inlineStr">
        <is>
          <t>Engineering Manager</t>
        </is>
      </c>
      <c r="C32" s="134" t="n">
        <v>333913.0434782609</v>
      </c>
      <c r="D32" s="134" t="n">
        <v>417391.3043478261</v>
      </c>
      <c r="E32" s="134" t="n">
        <v>542608.6956521739</v>
      </c>
      <c r="F32" t="inlineStr">
        <is>
          <t>Yes</t>
        </is>
      </c>
      <c r="G32" t="inlineStr">
        <is>
          <t>Triangular</t>
        </is>
      </c>
      <c r="H32" t="inlineStr">
        <is>
          <t>PASS</t>
        </is>
      </c>
      <c r="I32" t="inlineStr">
        <is>
          <t>Demo loaded</t>
        </is>
      </c>
    </row>
    <row r="33">
      <c r="A33" t="inlineStr">
        <is>
          <t>MP-003</t>
        </is>
      </c>
      <c r="B33" t="inlineStr">
        <is>
          <t>Project Controls Lead</t>
        </is>
      </c>
      <c r="C33" s="134" t="n">
        <v>377639.7515527951</v>
      </c>
      <c r="D33" s="134" t="n">
        <v>472049.6894409938</v>
      </c>
      <c r="E33" s="134" t="n">
        <v>613664.596273292</v>
      </c>
      <c r="F33" t="inlineStr">
        <is>
          <t>Yes</t>
        </is>
      </c>
      <c r="G33" t="inlineStr">
        <is>
          <t>Triangular</t>
        </is>
      </c>
      <c r="H33" t="inlineStr">
        <is>
          <t>PASS</t>
        </is>
      </c>
      <c r="I33" t="inlineStr">
        <is>
          <t>Demo loaded</t>
        </is>
      </c>
    </row>
    <row r="34">
      <c r="A34" t="inlineStr">
        <is>
          <t>MP-004</t>
        </is>
      </c>
      <c r="B34" t="inlineStr">
        <is>
          <t>Cost Estimator</t>
        </is>
      </c>
      <c r="C34" s="134" t="n">
        <v>139130.4347826087</v>
      </c>
      <c r="D34" s="134" t="n">
        <v>173913.0434782609</v>
      </c>
      <c r="E34" s="134" t="n">
        <v>226086.9565217391</v>
      </c>
      <c r="F34" t="inlineStr">
        <is>
          <t>Yes</t>
        </is>
      </c>
      <c r="G34" t="inlineStr">
        <is>
          <t>Triangular</t>
        </is>
      </c>
      <c r="H34" t="inlineStr">
        <is>
          <t>PASS</t>
        </is>
      </c>
      <c r="I34" t="inlineStr">
        <is>
          <t>Demo loaded</t>
        </is>
      </c>
    </row>
    <row r="35">
      <c r="A35" t="inlineStr">
        <is>
          <t>MP-005</t>
        </is>
      </c>
      <c r="B35" t="inlineStr">
        <is>
          <t>Planner / Scheduler</t>
        </is>
      </c>
      <c r="C35" s="134" t="n">
        <v>270310.5590062112</v>
      </c>
      <c r="D35" s="134" t="n">
        <v>337888.198757764</v>
      </c>
      <c r="E35" s="134" t="n">
        <v>439254.6583850932</v>
      </c>
      <c r="F35" t="inlineStr">
        <is>
          <t>Yes</t>
        </is>
      </c>
      <c r="G35" t="inlineStr">
        <is>
          <t>Triangular</t>
        </is>
      </c>
      <c r="H35" t="inlineStr">
        <is>
          <t>PASS</t>
        </is>
      </c>
      <c r="I35" t="inlineStr">
        <is>
          <t>Demo loaded</t>
        </is>
      </c>
    </row>
    <row r="36">
      <c r="A36" t="inlineStr">
        <is>
          <t>MP-006</t>
        </is>
      </c>
      <c r="B36" t="inlineStr">
        <is>
          <t>Process Engineer</t>
        </is>
      </c>
      <c r="C36" s="134" t="n">
        <v>626086.9565217391</v>
      </c>
      <c r="D36" s="134" t="n">
        <v>782608.6956521739</v>
      </c>
      <c r="E36" s="134" t="n">
        <v>1017391.304347826</v>
      </c>
      <c r="F36" t="inlineStr">
        <is>
          <t>Yes</t>
        </is>
      </c>
      <c r="G36" t="inlineStr">
        <is>
          <t>Triangular</t>
        </is>
      </c>
      <c r="H36" t="inlineStr">
        <is>
          <t>PASS</t>
        </is>
      </c>
      <c r="I36" t="inlineStr">
        <is>
          <t>Demo loaded</t>
        </is>
      </c>
    </row>
    <row r="37">
      <c r="A37" t="inlineStr">
        <is>
          <t>MP-007</t>
        </is>
      </c>
      <c r="B37" t="inlineStr">
        <is>
          <t>Procurement Lead</t>
        </is>
      </c>
      <c r="C37" s="134" t="n">
        <v>244472.049689441</v>
      </c>
      <c r="D37" s="134" t="n">
        <v>305590.0621118012</v>
      </c>
      <c r="E37" s="134" t="n">
        <v>397267.0807453416</v>
      </c>
      <c r="F37" t="inlineStr">
        <is>
          <t>Yes</t>
        </is>
      </c>
      <c r="G37" t="inlineStr">
        <is>
          <t>Triangular</t>
        </is>
      </c>
      <c r="H37" t="inlineStr">
        <is>
          <t>PASS</t>
        </is>
      </c>
      <c r="I37" t="inlineStr">
        <is>
          <t>Demo loaded</t>
        </is>
      </c>
    </row>
    <row r="38">
      <c r="A38" t="inlineStr">
        <is>
          <t>MP-008</t>
        </is>
      </c>
      <c r="B38" t="inlineStr">
        <is>
          <t>Construction Manager</t>
        </is>
      </c>
      <c r="C38" s="134" t="n">
        <v>253968.253968254</v>
      </c>
      <c r="D38" s="134" t="n">
        <v>317460.3174603175</v>
      </c>
      <c r="E38" s="134" t="n">
        <v>412698.4126984127</v>
      </c>
      <c r="F38" t="inlineStr">
        <is>
          <t>Yes</t>
        </is>
      </c>
      <c r="G38" t="inlineStr">
        <is>
          <t>Triangular</t>
        </is>
      </c>
      <c r="H38" t="inlineStr">
        <is>
          <t>PASS</t>
        </is>
      </c>
      <c r="I38" t="inlineStr">
        <is>
          <t>Demo loaded</t>
        </is>
      </c>
    </row>
    <row r="39">
      <c r="A39" t="inlineStr">
        <is>
          <t>MP-009</t>
        </is>
      </c>
      <c r="B39" t="inlineStr">
        <is>
          <t>HSE Manager</t>
        </is>
      </c>
      <c r="C39" s="134" t="n">
        <v>172698.4126984127</v>
      </c>
      <c r="D39" s="134" t="n">
        <v>215873.0158730159</v>
      </c>
      <c r="E39" s="134" t="n">
        <v>280634.9206349207</v>
      </c>
      <c r="F39" t="inlineStr">
        <is>
          <t>Yes</t>
        </is>
      </c>
      <c r="G39" t="inlineStr">
        <is>
          <t>Triangular</t>
        </is>
      </c>
      <c r="H39" t="inlineStr">
        <is>
          <t>PASS</t>
        </is>
      </c>
      <c r="I39" t="inlineStr">
        <is>
          <t>Demo loaded</t>
        </is>
      </c>
    </row>
    <row r="40">
      <c r="A40" t="inlineStr">
        <is>
          <t>MP-010</t>
        </is>
      </c>
      <c r="B40" t="inlineStr">
        <is>
          <t>Commissioning Lead</t>
        </is>
      </c>
      <c r="C40" s="134" t="n">
        <v>145755.6935817805</v>
      </c>
      <c r="D40" s="134" t="n">
        <v>182194.6169772257</v>
      </c>
      <c r="E40" s="134" t="n">
        <v>236853.0020703934</v>
      </c>
      <c r="F40" t="inlineStr">
        <is>
          <t>Yes</t>
        </is>
      </c>
      <c r="G40" t="inlineStr">
        <is>
          <t>Triangular</t>
        </is>
      </c>
      <c r="H40" t="inlineStr">
        <is>
          <t>PASS</t>
        </is>
      </c>
      <c r="I40" t="inlineStr">
        <is>
          <t>Demo loaded</t>
        </is>
      </c>
    </row>
    <row r="41">
      <c r="A41" t="inlineStr">
        <is>
          <t>MP-011</t>
        </is>
      </c>
      <c r="B41" t="inlineStr">
        <is>
          <t>Document Controller</t>
        </is>
      </c>
      <c r="C41" s="134" t="n">
        <v>119254.6583850932</v>
      </c>
      <c r="D41" s="134" t="n">
        <v>149068.3229813665</v>
      </c>
      <c r="E41" s="134" t="n">
        <v>193788.8198757764</v>
      </c>
      <c r="F41" t="inlineStr">
        <is>
          <t>Yes</t>
        </is>
      </c>
      <c r="G41" t="inlineStr">
        <is>
          <t>Triangular</t>
        </is>
      </c>
      <c r="H41" t="inlineStr">
        <is>
          <t>PASS</t>
        </is>
      </c>
      <c r="I41" t="inlineStr">
        <is>
          <t>Demo loaded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rgb="005B9BD5"/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4.25"/>
  <cols>
    <col width="28" customWidth="1" style="70" min="1" max="1"/>
    <col width="20" customWidth="1" style="70" min="2" max="2"/>
    <col width="20" customWidth="1" style="70" min="4" max="5"/>
    <col width="22" customWidth="1" style="70" min="7" max="8"/>
    <col width="18" customWidth="1" style="70" min="10" max="11"/>
  </cols>
  <sheetData>
    <row r="1" ht="27.95000076293945" customHeight="1" s="70">
      <c r="A1" s="66" t="inlineStr">
        <is>
          <t>Monte Carlo Results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Summary statistics, histogram source and cumulative distribution source. Macro writes data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</row>
    <row r="4" ht="24" customHeight="1" s="70">
      <c r="A4" s="71" t="inlineStr">
        <is>
          <t>Metric</t>
        </is>
      </c>
      <c r="B4" s="71" t="inlineStr">
        <is>
          <t>Value</t>
        </is>
      </c>
      <c r="D4" s="71" t="inlineStr">
        <is>
          <t>Bin / Cost Midpoint</t>
        </is>
      </c>
      <c r="E4" s="71" t="inlineStr">
        <is>
          <t>Frequency</t>
        </is>
      </c>
      <c r="G4" s="71" t="inlineStr">
        <is>
          <t>Cost</t>
        </is>
      </c>
      <c r="H4" s="71" t="inlineStr">
        <is>
          <t>Cumulative Probability</t>
        </is>
      </c>
      <c r="J4" s="71" t="inlineStr">
        <is>
          <t>Percentile</t>
        </is>
      </c>
      <c r="K4" s="71" t="inlineStr">
        <is>
          <t>Cost</t>
        </is>
      </c>
    </row>
    <row r="5">
      <c r="A5" t="inlineStr">
        <is>
          <t>Number of Iterations</t>
        </is>
      </c>
      <c r="B5" t="n">
        <v>10000</v>
      </c>
      <c r="D5" s="134" t="n">
        <v>38417959.67901452</v>
      </c>
      <c r="E5" t="n">
        <v>2</v>
      </c>
      <c r="G5" s="134" t="n">
        <v>38260521.72820848</v>
      </c>
      <c r="H5" s="116" t="n">
        <v>0</v>
      </c>
      <c r="J5" t="inlineStr">
        <is>
          <t>P50</t>
        </is>
      </c>
      <c r="K5" s="134" t="n">
        <v>41322505.20627151</v>
      </c>
    </row>
    <row r="6">
      <c r="A6" t="inlineStr">
        <is>
          <t>Mean</t>
        </is>
      </c>
      <c r="B6" s="134" t="n">
        <v>41332120.21840065</v>
      </c>
      <c r="D6" s="134" t="n">
        <v>38732835.58062661</v>
      </c>
      <c r="E6" t="n">
        <v>16</v>
      </c>
      <c r="G6" s="134" t="n">
        <v>39626817.31924997</v>
      </c>
      <c r="H6" s="116" t="n">
        <v>0.02</v>
      </c>
      <c r="J6" t="inlineStr">
        <is>
          <t>P80</t>
        </is>
      </c>
      <c r="K6" s="134" t="n">
        <v>42043336.30106834</v>
      </c>
    </row>
    <row r="7">
      <c r="A7" t="inlineStr">
        <is>
          <t>Standard Deviation</t>
        </is>
      </c>
      <c r="B7" s="134" t="n">
        <v>840756.1211850465</v>
      </c>
      <c r="D7" s="134" t="n">
        <v>39047711.48223868</v>
      </c>
      <c r="E7" t="n">
        <v>41</v>
      </c>
      <c r="G7" s="134" t="n">
        <v>39875990.27844442</v>
      </c>
      <c r="H7" s="116" t="n">
        <v>0.04</v>
      </c>
      <c r="J7" t="inlineStr">
        <is>
          <t>P90</t>
        </is>
      </c>
      <c r="K7" s="134" t="n">
        <v>42415053.01918222</v>
      </c>
    </row>
    <row r="8">
      <c r="A8" t="inlineStr">
        <is>
          <t>Minimum</t>
        </is>
      </c>
      <c r="B8" s="134" t="n">
        <v>38260521.72820848</v>
      </c>
      <c r="D8" s="134" t="n">
        <v>39362587.38385077</v>
      </c>
      <c r="E8" t="n">
        <v>97</v>
      </c>
      <c r="G8" s="134" t="n">
        <v>40034690.84435222</v>
      </c>
      <c r="H8" s="116" t="n">
        <v>0.06</v>
      </c>
    </row>
    <row r="9">
      <c r="A9" t="inlineStr">
        <is>
          <t>Maximum</t>
        </is>
      </c>
      <c r="B9" s="134" t="n">
        <v>44558039.7604501</v>
      </c>
      <c r="D9" s="134" t="n">
        <v>39677463.28546284</v>
      </c>
      <c r="E9" t="n">
        <v>203</v>
      </c>
      <c r="G9" s="134" t="n">
        <v>40148072.62339585</v>
      </c>
      <c r="H9" s="116" t="n">
        <v>0.08</v>
      </c>
    </row>
    <row r="10">
      <c r="A10" t="inlineStr">
        <is>
          <t>P10</t>
        </is>
      </c>
      <c r="B10" s="134" t="n">
        <v>40255944.25566219</v>
      </c>
      <c r="D10" s="134" t="n">
        <v>39992339.18707493</v>
      </c>
      <c r="E10" t="n">
        <v>443</v>
      </c>
      <c r="G10" s="134" t="n">
        <v>40255944.25566219</v>
      </c>
      <c r="H10" s="116" t="n">
        <v>0.1</v>
      </c>
    </row>
    <row r="11">
      <c r="A11" t="inlineStr">
        <is>
          <t>P50</t>
        </is>
      </c>
      <c r="B11" s="134" t="n">
        <v>41322505.20627151</v>
      </c>
      <c r="D11" s="134" t="n">
        <v>40307215.088687</v>
      </c>
      <c r="E11" t="n">
        <v>709</v>
      </c>
      <c r="G11" s="134" t="n">
        <v>40341378.64167934</v>
      </c>
      <c r="H11" s="116" t="n">
        <v>0.12</v>
      </c>
    </row>
    <row r="12">
      <c r="A12" t="inlineStr">
        <is>
          <t>P80</t>
        </is>
      </c>
      <c r="B12" s="134" t="n">
        <v>42043336.30106834</v>
      </c>
      <c r="D12" s="134" t="n">
        <v>40622090.99029909</v>
      </c>
      <c r="E12" t="n">
        <v>1066</v>
      </c>
      <c r="G12" s="134" t="n">
        <v>40425853.86313208</v>
      </c>
      <c r="H12" s="116" t="n">
        <v>0.14</v>
      </c>
    </row>
    <row r="13">
      <c r="A13" t="inlineStr">
        <is>
          <t>P90</t>
        </is>
      </c>
      <c r="B13" s="134" t="n">
        <v>42415053.01918222</v>
      </c>
      <c r="D13" s="134" t="n">
        <v>40936966.89191116</v>
      </c>
      <c r="E13" t="n">
        <v>1314</v>
      </c>
      <c r="G13" s="134" t="n">
        <v>40499036.28596423</v>
      </c>
      <c r="H13" s="116" t="n">
        <v>0.16</v>
      </c>
    </row>
    <row r="14">
      <c r="A14" t="inlineStr">
        <is>
          <t>Recommended Contingency</t>
        </is>
      </c>
      <c r="B14" s="134" t="n">
        <v>2043336.301068336</v>
      </c>
      <c r="D14" s="134" t="n">
        <v>41251842.79352325</v>
      </c>
      <c r="E14" t="n">
        <v>1508</v>
      </c>
      <c r="G14" s="134" t="n">
        <v>40570859.01040558</v>
      </c>
      <c r="H14" s="116" t="n">
        <v>0.18</v>
      </c>
    </row>
    <row r="15">
      <c r="A15" t="inlineStr">
        <is>
          <t>Run Date/Time</t>
        </is>
      </c>
      <c r="B15" t="inlineStr">
        <is>
          <t>2026-06-03 14:00:57</t>
        </is>
      </c>
      <c r="D15" s="134" t="n">
        <v>41566718.69513533</v>
      </c>
      <c r="E15" t="n">
        <v>1394</v>
      </c>
      <c r="G15" s="134" t="n">
        <v>40626516.97387052</v>
      </c>
      <c r="H15" s="116" t="n">
        <v>0.2</v>
      </c>
    </row>
    <row r="16">
      <c r="D16" s="134" t="n">
        <v>41881594.59674741</v>
      </c>
      <c r="E16" t="n">
        <v>1190</v>
      </c>
      <c r="G16" s="134" t="n">
        <v>40684821.97874189</v>
      </c>
      <c r="H16" s="116" t="n">
        <v>0.22</v>
      </c>
    </row>
    <row r="17">
      <c r="D17" s="134" t="n">
        <v>42196470.4983595</v>
      </c>
      <c r="E17" t="n">
        <v>875</v>
      </c>
      <c r="G17" s="134" t="n">
        <v>40736231.34403853</v>
      </c>
      <c r="H17" s="116" t="n">
        <v>0.24</v>
      </c>
    </row>
    <row r="18">
      <c r="D18" s="134" t="n">
        <v>42511346.39997157</v>
      </c>
      <c r="E18" t="n">
        <v>585</v>
      </c>
      <c r="G18" s="134" t="n">
        <v>40784530.50961743</v>
      </c>
      <c r="H18" s="116" t="n">
        <v>0.26</v>
      </c>
    </row>
    <row r="19">
      <c r="D19" s="134" t="n">
        <v>42826222.30158366</v>
      </c>
      <c r="E19" t="n">
        <v>322</v>
      </c>
      <c r="G19" s="134" t="n">
        <v>40837208.38334078</v>
      </c>
      <c r="H19" s="116" t="n">
        <v>0.28</v>
      </c>
    </row>
    <row r="20">
      <c r="D20" s="134" t="n">
        <v>43141098.20319574</v>
      </c>
      <c r="E20" t="n">
        <v>134</v>
      </c>
      <c r="G20" s="134" t="n">
        <v>40882502.61503735</v>
      </c>
      <c r="H20" s="116" t="n">
        <v>0.3</v>
      </c>
    </row>
    <row r="21">
      <c r="D21" s="134" t="n">
        <v>43455974.10480782</v>
      </c>
      <c r="E21" t="n">
        <v>63</v>
      </c>
      <c r="G21" s="134" t="n">
        <v>40932329.0808859</v>
      </c>
      <c r="H21" s="116" t="n">
        <v>0.32</v>
      </c>
    </row>
    <row r="22">
      <c r="D22" s="134" t="n">
        <v>43770850.0064199</v>
      </c>
      <c r="E22" t="n">
        <v>27</v>
      </c>
      <c r="G22" s="134" t="n">
        <v>40976987.55953479</v>
      </c>
      <c r="H22" s="116" t="n">
        <v>0.34</v>
      </c>
    </row>
    <row r="23">
      <c r="D23" s="134" t="n">
        <v>44085725.90803199</v>
      </c>
      <c r="E23" t="n">
        <v>7</v>
      </c>
      <c r="G23" s="134" t="n">
        <v>41025344.04477951</v>
      </c>
      <c r="H23" s="116" t="n">
        <v>0.36</v>
      </c>
    </row>
    <row r="24">
      <c r="D24" s="134" t="n">
        <v>44400601.80964406</v>
      </c>
      <c r="E24" t="n">
        <v>4</v>
      </c>
      <c r="G24" s="134" t="n">
        <v>41071714.1109672</v>
      </c>
      <c r="H24" s="116" t="n">
        <v>0.38</v>
      </c>
    </row>
    <row r="25">
      <c r="G25" s="134" t="n">
        <v>41119948.18386295</v>
      </c>
      <c r="H25" s="116" t="n">
        <v>0.4</v>
      </c>
    </row>
    <row r="26">
      <c r="G26" s="134" t="n">
        <v>41156467.96006747</v>
      </c>
      <c r="H26" s="116" t="n">
        <v>0.42</v>
      </c>
    </row>
    <row r="27">
      <c r="G27" s="134" t="n">
        <v>41196777.13203751</v>
      </c>
      <c r="H27" s="116" t="n">
        <v>0.44</v>
      </c>
    </row>
    <row r="28">
      <c r="G28" s="134" t="n">
        <v>41238961.85947773</v>
      </c>
      <c r="H28" s="116" t="n">
        <v>0.46</v>
      </c>
    </row>
    <row r="29">
      <c r="G29" s="134" t="n">
        <v>41278485.21535835</v>
      </c>
      <c r="H29" s="116" t="n">
        <v>0.48</v>
      </c>
    </row>
    <row r="30">
      <c r="G30" s="134" t="n">
        <v>41322505.20627151</v>
      </c>
      <c r="H30" s="116" t="n">
        <v>0.5</v>
      </c>
    </row>
    <row r="31">
      <c r="G31" s="134" t="n">
        <v>41362737.81354889</v>
      </c>
      <c r="H31" s="116" t="n">
        <v>0.52</v>
      </c>
    </row>
    <row r="32">
      <c r="G32" s="134" t="n">
        <v>41410153.49206768</v>
      </c>
      <c r="H32" s="116" t="n">
        <v>0.54</v>
      </c>
    </row>
    <row r="33">
      <c r="G33" s="134" t="n">
        <v>41455930.94053285</v>
      </c>
      <c r="H33" s="116" t="n">
        <v>0.5600000000000001</v>
      </c>
    </row>
    <row r="34">
      <c r="G34" s="134" t="n">
        <v>41507480.35865</v>
      </c>
      <c r="H34" s="116" t="n">
        <v>0.58</v>
      </c>
    </row>
    <row r="35">
      <c r="G35" s="134" t="n">
        <v>41547122.19563751</v>
      </c>
      <c r="H35" s="116" t="n">
        <v>0.6</v>
      </c>
    </row>
    <row r="36">
      <c r="G36" s="134" t="n">
        <v>41589027.85411413</v>
      </c>
      <c r="H36" s="116" t="n">
        <v>0.62</v>
      </c>
    </row>
    <row r="37">
      <c r="G37" s="134" t="n">
        <v>41634142.49126229</v>
      </c>
      <c r="H37" s="116" t="n">
        <v>0.64</v>
      </c>
    </row>
    <row r="38">
      <c r="G38" s="134" t="n">
        <v>41680586.0499561</v>
      </c>
      <c r="H38" s="116" t="n">
        <v>0.66</v>
      </c>
    </row>
    <row r="39">
      <c r="G39" s="134" t="n">
        <v>41726109.26692651</v>
      </c>
      <c r="H39" s="116" t="n">
        <v>0.68</v>
      </c>
    </row>
    <row r="40">
      <c r="G40" s="134" t="n">
        <v>41775842.29809198</v>
      </c>
      <c r="H40" s="116" t="n">
        <v>0.7</v>
      </c>
    </row>
    <row r="41">
      <c r="G41" s="134" t="n">
        <v>41823649.34316935</v>
      </c>
      <c r="H41" s="116" t="n">
        <v>0.72</v>
      </c>
    </row>
    <row r="42">
      <c r="G42" s="134" t="n">
        <v>41873827.91729511</v>
      </c>
      <c r="H42" s="116" t="n">
        <v>0.74</v>
      </c>
    </row>
    <row r="43">
      <c r="G43" s="134" t="n">
        <v>41929545.49826179</v>
      </c>
      <c r="H43" s="116" t="n">
        <v>0.76</v>
      </c>
    </row>
    <row r="44">
      <c r="G44" s="134" t="n">
        <v>41985458.86287525</v>
      </c>
      <c r="H44" s="116" t="n">
        <v>0.78</v>
      </c>
    </row>
    <row r="45">
      <c r="G45" s="134" t="n">
        <v>42043336.30106834</v>
      </c>
      <c r="H45" s="116" t="n">
        <v>0.8</v>
      </c>
    </row>
    <row r="46">
      <c r="G46" s="134" t="n">
        <v>42105213.02858582</v>
      </c>
      <c r="H46" s="116" t="n">
        <v>0.82</v>
      </c>
    </row>
    <row r="47">
      <c r="G47" s="134" t="n">
        <v>42170023.69397734</v>
      </c>
      <c r="H47" s="116" t="n">
        <v>0.84</v>
      </c>
    </row>
    <row r="48">
      <c r="G48" s="134" t="n">
        <v>42250169.21445888</v>
      </c>
      <c r="H48" s="116" t="n">
        <v>0.86</v>
      </c>
    </row>
    <row r="49">
      <c r="G49" s="134" t="n">
        <v>42331839.8556072</v>
      </c>
      <c r="H49" s="116" t="n">
        <v>0.88</v>
      </c>
    </row>
    <row r="50">
      <c r="G50" s="134" t="n">
        <v>42415053.01918222</v>
      </c>
      <c r="H50" s="116" t="n">
        <v>0.9</v>
      </c>
    </row>
    <row r="51">
      <c r="G51" s="134" t="n">
        <v>42517039.38343742</v>
      </c>
      <c r="H51" s="116" t="n">
        <v>0.92</v>
      </c>
    </row>
    <row r="52">
      <c r="G52" s="134" t="n">
        <v>42639138.40065427</v>
      </c>
      <c r="H52" s="116" t="n">
        <v>0.9399999999999999</v>
      </c>
    </row>
    <row r="53">
      <c r="G53" s="134" t="n">
        <v>42789509.74357998</v>
      </c>
      <c r="H53" s="116" t="n">
        <v>0.96</v>
      </c>
    </row>
    <row r="54">
      <c r="G54" s="134" t="n">
        <v>43042130.55870183</v>
      </c>
      <c r="H54" s="116" t="n">
        <v>0.98</v>
      </c>
    </row>
    <row r="55">
      <c r="G55" s="134" t="n">
        <v>44558039.7604501</v>
      </c>
      <c r="H55" s="116" t="n">
        <v>1</v>
      </c>
    </row>
  </sheetData>
  <mergeCells count="2">
    <mergeCell ref="A2:L2"/>
    <mergeCell ref="A1:L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00F4B183"/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4.25"/>
  <cols>
    <col width="30" customWidth="1" style="70" min="1" max="1"/>
    <col width="28" customWidth="1" style="70" min="2" max="2"/>
  </cols>
  <sheetData>
    <row r="1" ht="24" customHeight="1" s="70">
      <c r="A1" s="144" t="inlineStr">
        <is>
          <t>Estimate Summary</t>
        </is>
      </c>
      <c r="B1" s="35" t="n"/>
      <c r="C1" s="35" t="n"/>
      <c r="D1" s="35" t="n"/>
      <c r="E1" s="35" t="n"/>
      <c r="F1" s="35" t="n"/>
      <c r="G1" s="35" t="n"/>
      <c r="H1" s="35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Executive summary linked to Cost_Register, Escalation, Contingency and MonteCarlo_Results.</t>
        </is>
      </c>
      <c r="B2" s="35" t="n"/>
      <c r="C2" s="35" t="n"/>
      <c r="D2" s="35" t="n"/>
      <c r="E2" s="35" t="n"/>
      <c r="F2" s="35" t="n"/>
      <c r="G2" s="35" t="n"/>
      <c r="H2" s="35" t="n"/>
    </row>
    <row r="4" ht="28" customHeight="1" s="70">
      <c r="A4" s="157" t="inlineStr">
        <is>
          <t>Metric</t>
        </is>
      </c>
      <c r="B4" s="157" t="inlineStr">
        <is>
          <t>Value</t>
        </is>
      </c>
    </row>
    <row r="5">
      <c r="A5" t="inlineStr">
        <is>
          <t>Project Name</t>
        </is>
      </c>
      <c r="B5">
        <f>Project_Setup!B4</f>
        <v/>
      </c>
    </row>
    <row r="6">
      <c r="A6" t="inlineStr">
        <is>
          <t>Estimate Date</t>
        </is>
      </c>
      <c r="B6" s="83">
        <f>Project_Setup!B6</f>
        <v/>
      </c>
    </row>
    <row r="7">
      <c r="A7" t="inlineStr">
        <is>
          <t>Estimate Class</t>
        </is>
      </c>
      <c r="B7">
        <f>Project_Setup!B7</f>
        <v/>
      </c>
    </row>
    <row r="8">
      <c r="A8" t="inlineStr">
        <is>
          <t>Base Currency</t>
        </is>
      </c>
      <c r="B8">
        <f>Project_Setup!B9</f>
        <v/>
      </c>
    </row>
    <row r="9">
      <c r="A9" t="inlineStr">
        <is>
          <t>Project Duration Months</t>
        </is>
      </c>
      <c r="B9">
        <f>Project_Setup!B12</f>
        <v/>
      </c>
    </row>
    <row r="10">
      <c r="A10" t="inlineStr">
        <is>
          <t>Direct Cost</t>
        </is>
      </c>
      <c r="B10" s="134">
        <f>SUMIFS(Cost_Register!$P$5:$P$500,Cost_Register!$H$5:$H$500,"Direct Cost")</f>
        <v/>
      </c>
    </row>
    <row r="11">
      <c r="A11" t="inlineStr">
        <is>
          <t>Indirect Cost</t>
        </is>
      </c>
      <c r="B11" s="134">
        <f>SUMIFS(Cost_Register!$P$5:$P$500,Cost_Register!$H$5:$H$500,"Indirect Cost")</f>
        <v/>
      </c>
    </row>
    <row r="12">
      <c r="A12" t="inlineStr">
        <is>
          <t>Owner Cost</t>
        </is>
      </c>
      <c r="B12" s="134">
        <f>SUMIFS(Cost_Register!$P$5:$P$500,Cost_Register!$H$5:$H$500,"Owner Cost")</f>
        <v/>
      </c>
    </row>
    <row r="13">
      <c r="A13" t="inlineStr">
        <is>
          <t>Manpower Cost</t>
        </is>
      </c>
      <c r="B13" s="134">
        <f>SUMIFS(Cost_Register!$P$5:$P$500,Cost_Register!$H$5:$H$500,"Manpower Cost")</f>
        <v/>
      </c>
    </row>
    <row r="14">
      <c r="A14" t="inlineStr">
        <is>
          <t>Other Cost</t>
        </is>
      </c>
      <c r="B14" s="134">
        <f>SUMIFS(Cost_Register!$P$5:$P$500,Cost_Register!$H$5:$H$500,"Other Cost")</f>
        <v/>
      </c>
    </row>
    <row r="15">
      <c r="A15" t="inlineStr">
        <is>
          <t>Base Cost</t>
        </is>
      </c>
      <c r="B15" s="134">
        <f>SUM(Cost_Register!$P$5:$P$500)</f>
        <v/>
      </c>
    </row>
    <row r="16">
      <c r="A16" t="inlineStr">
        <is>
          <t>Escalation</t>
        </is>
      </c>
      <c r="B16" s="134">
        <f>Escalation!B7</f>
        <v/>
      </c>
    </row>
    <row r="17">
      <c r="A17" t="inlineStr">
        <is>
          <t>Contingency</t>
        </is>
      </c>
      <c r="B17" s="134">
        <f>Contingency!B11</f>
        <v/>
      </c>
    </row>
    <row r="18">
      <c r="A18" t="inlineStr">
        <is>
          <t>Total Project Cost</t>
        </is>
      </c>
      <c r="B18" s="134">
        <f>B15+B16+B17</f>
        <v/>
      </c>
    </row>
    <row r="19">
      <c r="A19" t="inlineStr">
        <is>
          <t>P50</t>
        </is>
      </c>
      <c r="B19" s="134">
        <f>MonteCarlo_Results!B11</f>
        <v/>
      </c>
    </row>
    <row r="20">
      <c r="A20" t="inlineStr">
        <is>
          <t>P80</t>
        </is>
      </c>
      <c r="B20" s="134">
        <f>MonteCarlo_Results!B12</f>
        <v/>
      </c>
    </row>
    <row r="21">
      <c r="A21" t="inlineStr">
        <is>
          <t>P90</t>
        </is>
      </c>
      <c r="B21" s="134">
        <f>MonteCarlo_Results!B13</f>
        <v/>
      </c>
    </row>
    <row r="22">
      <c r="A22" t="inlineStr">
        <is>
          <t>Recommended Contingency</t>
        </is>
      </c>
      <c r="B22" s="134">
        <f>Contingency!B10</f>
        <v/>
      </c>
    </row>
    <row r="23">
      <c r="A23" t="inlineStr">
        <is>
          <t>QA Status</t>
        </is>
      </c>
      <c r="B23">
        <f>IF(COUNTIF(QA_Checks!$D$5:$D$30,"FAIL")=0,"PASS","FAIL")</f>
        <v/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00F4B183"/>
    <outlinePr summaryBelow="1" summaryRight="1"/>
    <pageSetUpPr/>
  </sheetPr>
  <dimension ref="A1:AT128"/>
  <sheetViews>
    <sheetView showGridLines="0" workbookViewId="0">
      <selection activeCell="A1" sqref="A1"/>
    </sheetView>
  </sheetViews>
  <sheetFormatPr baseColWidth="8" defaultRowHeight="14.25"/>
  <cols>
    <col width="14" customWidth="1" style="70" min="1" max="1"/>
    <col width="14" customWidth="1" style="70" min="2" max="2"/>
    <col width="14" customWidth="1" style="70" min="3" max="3"/>
    <col width="14" customWidth="1" style="70" min="4" max="12"/>
    <col width="14" customWidth="1" style="70" min="5" max="5"/>
    <col width="14" customWidth="1" style="70" min="6" max="6"/>
    <col width="14" customWidth="1" style="70" min="7" max="7"/>
    <col width="14" customWidth="1" style="70" min="8" max="8"/>
    <col width="14" customWidth="1" style="70" min="9" max="9"/>
    <col width="14" customWidth="1" style="70" min="10" max="10"/>
    <col width="14" customWidth="1" style="70" min="11" max="11"/>
    <col width="14" customWidth="1" style="70" min="12" max="12"/>
    <col width="14" customWidth="1" style="70" min="13" max="13"/>
    <col width="14" customWidth="1" style="70" min="14" max="14"/>
    <col width="14" customWidth="1" style="70" min="15" max="15"/>
    <col width="14" customWidth="1" style="70" min="16" max="16"/>
    <col width="14" customWidth="1" style="70" min="17" max="17"/>
    <col hidden="1" width="13" customWidth="1" style="70" min="27" max="27"/>
    <col hidden="1" width="13" customWidth="1" style="70" min="28" max="28"/>
    <col hidden="1" width="13" customWidth="1" style="70" min="29" max="29"/>
    <col hidden="1" width="13" customWidth="1" style="70" min="30" max="30"/>
    <col hidden="1" width="13" customWidth="1" style="70" min="31" max="31"/>
    <col hidden="1" width="13" customWidth="1" style="70" min="32" max="32"/>
    <col hidden="1" width="13" customWidth="1" style="70" min="33" max="33"/>
    <col hidden="1" width="13" customWidth="1" style="70" min="34" max="34"/>
    <col hidden="1" width="13" customWidth="1" style="70" min="35" max="35"/>
    <col hidden="1" width="13" customWidth="1" style="70" min="36" max="36"/>
    <col hidden="1" width="13" customWidth="1" style="70" min="37" max="37"/>
    <col hidden="1" width="13" customWidth="1" style="70" min="38" max="38"/>
    <col hidden="1" width="13" customWidth="1" style="70" min="39" max="39"/>
    <col hidden="1" width="13" customWidth="1" style="70" min="40" max="40"/>
    <col hidden="1" width="13" customWidth="1" style="70" min="41" max="41"/>
    <col hidden="1" width="13" customWidth="1" style="70" min="42" max="42"/>
    <col hidden="1" width="13" customWidth="1" style="70" min="43" max="43"/>
    <col hidden="1" width="13" customWidth="1" style="70" min="44" max="44"/>
    <col hidden="1" width="13" customWidth="1" style="70" min="45" max="45"/>
    <col hidden="1" width="13" customWidth="1" style="70" min="46" max="46"/>
  </cols>
  <sheetData>
    <row r="1" ht="27.95000076293945" customHeight="1" s="70">
      <c r="A1" s="158" t="inlineStr">
        <is>
          <t>Industrial CAPEX Estimating Dashboard</t>
        </is>
      </c>
      <c r="B1" s="159" t="n"/>
      <c r="C1" s="159" t="n"/>
      <c r="D1" s="159" t="n"/>
      <c r="E1" s="159" t="n"/>
      <c r="F1" s="159" t="n"/>
      <c r="G1" s="159" t="n"/>
      <c r="H1" s="159" t="n"/>
      <c r="I1" s="159" t="n"/>
      <c r="J1" s="159" t="n"/>
      <c r="K1" s="159" t="n"/>
      <c r="L1" s="159" t="n"/>
      <c r="M1" s="160" t="n"/>
      <c r="N1" s="160" t="n"/>
      <c r="O1" s="160" t="n"/>
      <c r="P1" s="160" t="n"/>
      <c r="Q1" s="16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161" t="inlineStr">
        <is>
          <t>Final patch: corrected S-curves, clean chart ranges, dropdown/WBS prepopulation and professional layout.</t>
        </is>
      </c>
      <c r="M2" s="109" t="n"/>
    </row>
    <row r="4" ht="28" customHeight="1" s="70">
      <c r="A4" s="157" t="inlineStr">
        <is>
          <t>Metric</t>
        </is>
      </c>
      <c r="B4" s="157" t="inlineStr">
        <is>
          <t>Value</t>
        </is>
      </c>
      <c r="C4" s="110" t="n"/>
    </row>
    <row r="5" ht="15" customHeight="1" s="70">
      <c r="A5" s="162" t="inlineStr">
        <is>
          <t>Base Cost</t>
        </is>
      </c>
      <c r="B5" s="163">
        <f>Estimate_Summary!B15</f>
        <v/>
      </c>
      <c r="C5" s="119" t="n"/>
    </row>
    <row r="6" ht="15" customHeight="1" s="70">
      <c r="A6" s="162" t="inlineStr">
        <is>
          <t>Escalation</t>
        </is>
      </c>
      <c r="B6" s="163">
        <f>Estimate_Summary!B16</f>
        <v/>
      </c>
      <c r="C6" s="119" t="n"/>
    </row>
    <row r="7" ht="15" customHeight="1" s="70">
      <c r="A7" s="162" t="inlineStr">
        <is>
          <t>Contingency</t>
        </is>
      </c>
      <c r="B7" s="163">
        <f>Estimate_Summary!B17</f>
        <v/>
      </c>
      <c r="C7" s="119" t="n"/>
    </row>
    <row r="8" ht="15" customHeight="1" s="70">
      <c r="A8" s="162" t="inlineStr">
        <is>
          <t>Total Project Cost</t>
        </is>
      </c>
      <c r="B8" s="163">
        <f>Estimate_Summary!B18</f>
        <v/>
      </c>
      <c r="C8" s="119" t="n"/>
    </row>
    <row r="9" ht="15" customHeight="1" s="70">
      <c r="A9" s="162" t="inlineStr">
        <is>
          <t>P50</t>
        </is>
      </c>
      <c r="B9" s="163">
        <f>Estimate_Summary!B19</f>
        <v/>
      </c>
      <c r="C9" s="119" t="n"/>
    </row>
    <row r="10" ht="15" customHeight="1" s="70">
      <c r="A10" s="162" t="inlineStr">
        <is>
          <t>P80</t>
        </is>
      </c>
      <c r="B10" s="163">
        <f>Estimate_Summary!B20</f>
        <v/>
      </c>
      <c r="C10" s="119" t="n"/>
    </row>
    <row r="11">
      <c r="A11" s="164" t="inlineStr">
        <is>
          <t>P90</t>
        </is>
      </c>
      <c r="B11" s="165">
        <f>Estimate_Summary!B21</f>
        <v/>
      </c>
      <c r="C11" s="121" t="n"/>
    </row>
    <row r="12">
      <c r="A12" s="164" t="inlineStr">
        <is>
          <t>QA Status</t>
        </is>
      </c>
      <c r="B12" s="165">
        <f>Estimate_Summary!B23</f>
        <v/>
      </c>
      <c r="C12" s="121" t="n"/>
    </row>
    <row r="68">
      <c r="AA68">
        <f>Charts!A68</f>
        <v/>
      </c>
      <c r="AB68">
        <f>Charts!B68</f>
        <v/>
      </c>
      <c r="AD68">
        <f>Charts!D68</f>
        <v/>
      </c>
      <c r="AE68">
        <f>Charts!E68</f>
        <v/>
      </c>
      <c r="AG68">
        <f>Charts!G68</f>
        <v/>
      </c>
      <c r="AJ68">
        <f>Charts!J68</f>
        <v/>
      </c>
      <c r="AL68">
        <f>Charts!L68</f>
        <v/>
      </c>
      <c r="AM68">
        <f>Charts!M68</f>
        <v/>
      </c>
      <c r="AP68">
        <f>Charts!P68</f>
        <v/>
      </c>
      <c r="AQ68">
        <f>Charts!Q68</f>
        <v/>
      </c>
      <c r="AS68">
        <f>Charts!S68</f>
        <v/>
      </c>
      <c r="AT68">
        <f>Charts!T68</f>
        <v/>
      </c>
    </row>
    <row r="69">
      <c r="AA69">
        <f>Charts!A69</f>
        <v/>
      </c>
      <c r="AB69">
        <f>Charts!B69</f>
        <v/>
      </c>
      <c r="AD69">
        <f>Charts!D69</f>
        <v/>
      </c>
      <c r="AE69">
        <f>Charts!E69</f>
        <v/>
      </c>
      <c r="AG69">
        <f>Charts!G69</f>
        <v/>
      </c>
      <c r="AJ69">
        <f>Charts!J69</f>
        <v/>
      </c>
      <c r="AL69">
        <f>Charts!L69</f>
        <v/>
      </c>
      <c r="AM69">
        <f>Charts!M69</f>
        <v/>
      </c>
      <c r="AP69">
        <f>Charts!P69</f>
        <v/>
      </c>
      <c r="AQ69">
        <f>Charts!Q69</f>
        <v/>
      </c>
      <c r="AS69">
        <f>Charts!S69</f>
        <v/>
      </c>
      <c r="AT69">
        <f>Charts!T69</f>
        <v/>
      </c>
    </row>
    <row r="70">
      <c r="AA70">
        <f>Charts!A70</f>
        <v/>
      </c>
      <c r="AB70">
        <f>Charts!B70</f>
        <v/>
      </c>
      <c r="AD70">
        <f>Charts!D70</f>
        <v/>
      </c>
      <c r="AE70">
        <f>Charts!E70</f>
        <v/>
      </c>
      <c r="AG70">
        <f>Charts!G70</f>
        <v/>
      </c>
      <c r="AJ70">
        <f>Charts!J70</f>
        <v/>
      </c>
      <c r="AL70">
        <f>Charts!L70</f>
        <v/>
      </c>
      <c r="AM70">
        <f>Charts!M70</f>
        <v/>
      </c>
      <c r="AP70">
        <f>Charts!P70</f>
        <v/>
      </c>
      <c r="AQ70">
        <f>Charts!Q70</f>
        <v/>
      </c>
      <c r="AS70">
        <f>Charts!S70</f>
        <v/>
      </c>
      <c r="AT70">
        <f>Charts!T70</f>
        <v/>
      </c>
    </row>
    <row r="71">
      <c r="AA71">
        <f>Charts!A71</f>
        <v/>
      </c>
      <c r="AB71">
        <f>Charts!B71</f>
        <v/>
      </c>
      <c r="AD71">
        <f>Charts!D71</f>
        <v/>
      </c>
      <c r="AE71">
        <f>Charts!E71</f>
        <v/>
      </c>
      <c r="AG71">
        <f>Charts!G71</f>
        <v/>
      </c>
      <c r="AJ71">
        <f>Charts!J71</f>
        <v/>
      </c>
      <c r="AL71">
        <f>Charts!L71</f>
        <v/>
      </c>
      <c r="AM71">
        <f>Charts!M71</f>
        <v/>
      </c>
      <c r="AP71">
        <f>Charts!P71</f>
        <v/>
      </c>
      <c r="AQ71">
        <f>Charts!Q71</f>
        <v/>
      </c>
      <c r="AS71">
        <f>Charts!S71</f>
        <v/>
      </c>
      <c r="AT71">
        <f>Charts!T71</f>
        <v/>
      </c>
    </row>
    <row r="72">
      <c r="AA72">
        <f>Charts!A72</f>
        <v/>
      </c>
      <c r="AB72">
        <f>Charts!B72</f>
        <v/>
      </c>
      <c r="AD72">
        <f>Charts!D72</f>
        <v/>
      </c>
      <c r="AE72">
        <f>Charts!E72</f>
        <v/>
      </c>
      <c r="AG72">
        <f>Charts!G72</f>
        <v/>
      </c>
      <c r="AJ72">
        <f>Charts!J72</f>
        <v/>
      </c>
      <c r="AL72">
        <f>Charts!L72</f>
        <v/>
      </c>
      <c r="AM72">
        <f>Charts!M72</f>
        <v/>
      </c>
      <c r="AP72">
        <f>Charts!P72</f>
        <v/>
      </c>
      <c r="AQ72">
        <f>Charts!Q72</f>
        <v/>
      </c>
      <c r="AS72">
        <f>Charts!S72</f>
        <v/>
      </c>
      <c r="AT72">
        <f>Charts!T72</f>
        <v/>
      </c>
    </row>
    <row r="73">
      <c r="AA73">
        <f>Charts!A73</f>
        <v/>
      </c>
      <c r="AB73">
        <f>Charts!B73</f>
        <v/>
      </c>
      <c r="AD73">
        <f>Charts!D73</f>
        <v/>
      </c>
      <c r="AE73">
        <f>Charts!E73</f>
        <v/>
      </c>
      <c r="AG73">
        <f>Charts!G73</f>
        <v/>
      </c>
      <c r="AJ73">
        <f>Charts!J73</f>
        <v/>
      </c>
      <c r="AL73">
        <f>Charts!L73</f>
        <v/>
      </c>
      <c r="AM73">
        <f>Charts!M73</f>
        <v/>
      </c>
      <c r="AP73">
        <f>Charts!P73</f>
        <v/>
      </c>
      <c r="AQ73">
        <f>Charts!Q73</f>
        <v/>
      </c>
      <c r="AS73">
        <f>Charts!S73</f>
        <v/>
      </c>
      <c r="AT73">
        <f>Charts!T73</f>
        <v/>
      </c>
    </row>
    <row r="74">
      <c r="AA74">
        <f>Charts!A74</f>
        <v/>
      </c>
      <c r="AB74">
        <f>Charts!B74</f>
        <v/>
      </c>
      <c r="AD74">
        <f>Charts!D74</f>
        <v/>
      </c>
      <c r="AE74">
        <f>Charts!E74</f>
        <v/>
      </c>
      <c r="AG74">
        <f>Charts!G74</f>
        <v/>
      </c>
      <c r="AJ74">
        <f>Charts!J74</f>
        <v/>
      </c>
      <c r="AL74">
        <f>Charts!L74</f>
        <v/>
      </c>
      <c r="AM74">
        <f>Charts!M74</f>
        <v/>
      </c>
      <c r="AP74">
        <f>Charts!P74</f>
        <v/>
      </c>
      <c r="AQ74">
        <f>Charts!Q74</f>
        <v/>
      </c>
      <c r="AS74">
        <f>Charts!S74</f>
        <v/>
      </c>
      <c r="AT74">
        <f>Charts!T74</f>
        <v/>
      </c>
    </row>
    <row r="75">
      <c r="AA75">
        <f>Charts!A75</f>
        <v/>
      </c>
      <c r="AB75">
        <f>Charts!B75</f>
        <v/>
      </c>
      <c r="AD75">
        <f>Charts!D75</f>
        <v/>
      </c>
      <c r="AE75">
        <f>Charts!E75</f>
        <v/>
      </c>
      <c r="AG75">
        <f>Charts!G75</f>
        <v/>
      </c>
      <c r="AJ75">
        <f>Charts!J75</f>
        <v/>
      </c>
      <c r="AL75">
        <f>Charts!L75</f>
        <v/>
      </c>
      <c r="AM75">
        <f>Charts!M75</f>
        <v/>
      </c>
      <c r="AP75">
        <f>Charts!P75</f>
        <v/>
      </c>
      <c r="AQ75">
        <f>Charts!Q75</f>
        <v/>
      </c>
      <c r="AS75">
        <f>Charts!S75</f>
        <v/>
      </c>
      <c r="AT75">
        <f>Charts!T75</f>
        <v/>
      </c>
    </row>
    <row r="76">
      <c r="AA76">
        <f>Charts!A76</f>
        <v/>
      </c>
      <c r="AB76">
        <f>Charts!B76</f>
        <v/>
      </c>
      <c r="AD76">
        <f>Charts!D76</f>
        <v/>
      </c>
      <c r="AE76">
        <f>Charts!E76</f>
        <v/>
      </c>
      <c r="AG76">
        <f>Charts!G76</f>
        <v/>
      </c>
      <c r="AJ76">
        <f>Charts!J76</f>
        <v/>
      </c>
      <c r="AL76">
        <f>Charts!L76</f>
        <v/>
      </c>
      <c r="AM76">
        <f>Charts!M76</f>
        <v/>
      </c>
      <c r="AP76">
        <f>Charts!P76</f>
        <v/>
      </c>
      <c r="AQ76">
        <f>Charts!Q76</f>
        <v/>
      </c>
      <c r="AS76">
        <f>Charts!S76</f>
        <v/>
      </c>
      <c r="AT76">
        <f>Charts!T76</f>
        <v/>
      </c>
    </row>
    <row r="77">
      <c r="AA77">
        <f>Charts!A77</f>
        <v/>
      </c>
      <c r="AB77">
        <f>Charts!B77</f>
        <v/>
      </c>
      <c r="AG77">
        <f>Charts!G77</f>
        <v/>
      </c>
      <c r="AJ77">
        <f>Charts!J77</f>
        <v/>
      </c>
      <c r="AL77">
        <f>Charts!L77</f>
        <v/>
      </c>
      <c r="AM77">
        <f>Charts!M77</f>
        <v/>
      </c>
      <c r="AP77">
        <f>Charts!P77</f>
        <v/>
      </c>
      <c r="AQ77">
        <f>Charts!Q77</f>
        <v/>
      </c>
      <c r="AS77">
        <f>Charts!S77</f>
        <v/>
      </c>
      <c r="AT77">
        <f>Charts!T77</f>
        <v/>
      </c>
    </row>
    <row r="78">
      <c r="AG78">
        <f>Charts!G78</f>
        <v/>
      </c>
      <c r="AJ78">
        <f>Charts!J78</f>
        <v/>
      </c>
      <c r="AL78">
        <f>Charts!L78</f>
        <v/>
      </c>
      <c r="AM78">
        <f>Charts!M78</f>
        <v/>
      </c>
      <c r="AP78">
        <f>Charts!P78</f>
        <v/>
      </c>
      <c r="AQ78">
        <f>Charts!Q78</f>
        <v/>
      </c>
      <c r="AS78">
        <f>Charts!S78</f>
        <v/>
      </c>
      <c r="AT78">
        <f>Charts!T78</f>
        <v/>
      </c>
    </row>
    <row r="79">
      <c r="AG79">
        <f>Charts!G79</f>
        <v/>
      </c>
      <c r="AJ79">
        <f>Charts!J79</f>
        <v/>
      </c>
      <c r="AL79">
        <f>Charts!L79</f>
        <v/>
      </c>
      <c r="AM79">
        <f>Charts!M79</f>
        <v/>
      </c>
      <c r="AP79">
        <f>Charts!P79</f>
        <v/>
      </c>
      <c r="AQ79">
        <f>Charts!Q79</f>
        <v/>
      </c>
      <c r="AS79">
        <f>Charts!S79</f>
        <v/>
      </c>
      <c r="AT79">
        <f>Charts!T79</f>
        <v/>
      </c>
    </row>
    <row r="80">
      <c r="AG80">
        <f>Charts!G80</f>
        <v/>
      </c>
      <c r="AJ80">
        <f>Charts!J80</f>
        <v/>
      </c>
      <c r="AL80">
        <f>Charts!L80</f>
        <v/>
      </c>
      <c r="AM80">
        <f>Charts!M80</f>
        <v/>
      </c>
      <c r="AP80">
        <f>Charts!P80</f>
        <v/>
      </c>
      <c r="AQ80">
        <f>Charts!Q80</f>
        <v/>
      </c>
    </row>
    <row r="81">
      <c r="AG81">
        <f>Charts!G81</f>
        <v/>
      </c>
      <c r="AJ81">
        <f>Charts!J81</f>
        <v/>
      </c>
      <c r="AL81">
        <f>Charts!L81</f>
        <v/>
      </c>
      <c r="AM81">
        <f>Charts!M81</f>
        <v/>
      </c>
      <c r="AP81">
        <f>Charts!P81</f>
        <v/>
      </c>
      <c r="AQ81">
        <f>Charts!Q81</f>
        <v/>
      </c>
    </row>
    <row r="82">
      <c r="AG82">
        <f>Charts!G82</f>
        <v/>
      </c>
      <c r="AJ82">
        <f>Charts!J82</f>
        <v/>
      </c>
      <c r="AL82">
        <f>Charts!L82</f>
        <v/>
      </c>
      <c r="AM82">
        <f>Charts!M82</f>
        <v/>
      </c>
      <c r="AP82">
        <f>Charts!P82</f>
        <v/>
      </c>
      <c r="AQ82">
        <f>Charts!Q82</f>
        <v/>
      </c>
    </row>
    <row r="83">
      <c r="AG83">
        <f>Charts!G83</f>
        <v/>
      </c>
      <c r="AJ83">
        <f>Charts!J83</f>
        <v/>
      </c>
      <c r="AL83">
        <f>Charts!L83</f>
        <v/>
      </c>
      <c r="AM83">
        <f>Charts!M83</f>
        <v/>
      </c>
      <c r="AP83">
        <f>Charts!P83</f>
        <v/>
      </c>
      <c r="AQ83">
        <f>Charts!Q83</f>
        <v/>
      </c>
    </row>
    <row r="84">
      <c r="AG84">
        <f>Charts!G84</f>
        <v/>
      </c>
      <c r="AJ84">
        <f>Charts!J84</f>
        <v/>
      </c>
      <c r="AL84">
        <f>Charts!L84</f>
        <v/>
      </c>
      <c r="AM84">
        <f>Charts!M84</f>
        <v/>
      </c>
      <c r="AP84">
        <f>Charts!P84</f>
        <v/>
      </c>
      <c r="AQ84">
        <f>Charts!Q84</f>
        <v/>
      </c>
    </row>
    <row r="85">
      <c r="AG85">
        <f>Charts!G85</f>
        <v/>
      </c>
      <c r="AJ85">
        <f>Charts!J85</f>
        <v/>
      </c>
      <c r="AL85">
        <f>Charts!L85</f>
        <v/>
      </c>
      <c r="AM85">
        <f>Charts!M85</f>
        <v/>
      </c>
      <c r="AP85">
        <f>Charts!P85</f>
        <v/>
      </c>
      <c r="AQ85">
        <f>Charts!Q85</f>
        <v/>
      </c>
    </row>
    <row r="86">
      <c r="AG86">
        <f>Charts!G86</f>
        <v/>
      </c>
      <c r="AJ86">
        <f>Charts!J86</f>
        <v/>
      </c>
      <c r="AL86">
        <f>Charts!L86</f>
        <v/>
      </c>
      <c r="AM86">
        <f>Charts!M86</f>
        <v/>
      </c>
      <c r="AP86">
        <f>Charts!P86</f>
        <v/>
      </c>
      <c r="AQ86">
        <f>Charts!Q86</f>
        <v/>
      </c>
    </row>
    <row r="87">
      <c r="AG87">
        <f>Charts!G87</f>
        <v/>
      </c>
      <c r="AJ87">
        <f>Charts!J87</f>
        <v/>
      </c>
      <c r="AL87">
        <f>Charts!L87</f>
        <v/>
      </c>
      <c r="AM87">
        <f>Charts!M87</f>
        <v/>
      </c>
      <c r="AP87">
        <f>Charts!P87</f>
        <v/>
      </c>
      <c r="AQ87">
        <f>Charts!Q87</f>
        <v/>
      </c>
    </row>
    <row r="88">
      <c r="AG88">
        <f>Charts!G88</f>
        <v/>
      </c>
      <c r="AJ88">
        <f>Charts!J88</f>
        <v/>
      </c>
      <c r="AL88">
        <f>Charts!L88</f>
        <v/>
      </c>
      <c r="AM88">
        <f>Charts!M88</f>
        <v/>
      </c>
      <c r="AP88">
        <f>Charts!P88</f>
        <v/>
      </c>
      <c r="AQ88">
        <f>Charts!Q88</f>
        <v/>
      </c>
    </row>
    <row r="89">
      <c r="AG89">
        <f>Charts!G89</f>
        <v/>
      </c>
      <c r="AJ89">
        <f>Charts!J89</f>
        <v/>
      </c>
      <c r="AP89">
        <f>Charts!P89</f>
        <v/>
      </c>
      <c r="AQ89">
        <f>Charts!Q89</f>
        <v/>
      </c>
    </row>
    <row r="90">
      <c r="AG90">
        <f>Charts!G90</f>
        <v/>
      </c>
      <c r="AJ90">
        <f>Charts!J90</f>
        <v/>
      </c>
      <c r="AP90">
        <f>Charts!P90</f>
        <v/>
      </c>
      <c r="AQ90">
        <f>Charts!Q90</f>
        <v/>
      </c>
    </row>
    <row r="91">
      <c r="AG91">
        <f>Charts!G91</f>
        <v/>
      </c>
      <c r="AJ91">
        <f>Charts!J91</f>
        <v/>
      </c>
      <c r="AP91">
        <f>Charts!P91</f>
        <v/>
      </c>
      <c r="AQ91">
        <f>Charts!Q91</f>
        <v/>
      </c>
    </row>
    <row r="92">
      <c r="AG92">
        <f>Charts!G92</f>
        <v/>
      </c>
      <c r="AJ92">
        <f>Charts!J92</f>
        <v/>
      </c>
      <c r="AP92">
        <f>Charts!P92</f>
        <v/>
      </c>
      <c r="AQ92">
        <f>Charts!Q92</f>
        <v/>
      </c>
    </row>
    <row r="93">
      <c r="AG93">
        <f>Charts!G93</f>
        <v/>
      </c>
      <c r="AJ93">
        <f>Charts!J93</f>
        <v/>
      </c>
      <c r="AP93">
        <f>Charts!P93</f>
        <v/>
      </c>
      <c r="AQ93">
        <f>Charts!Q93</f>
        <v/>
      </c>
    </row>
    <row r="94">
      <c r="AG94">
        <f>Charts!G94</f>
        <v/>
      </c>
      <c r="AJ94">
        <f>Charts!J94</f>
        <v/>
      </c>
      <c r="AP94">
        <f>Charts!P94</f>
        <v/>
      </c>
      <c r="AQ94">
        <f>Charts!Q94</f>
        <v/>
      </c>
    </row>
    <row r="95">
      <c r="AG95">
        <f>Charts!G95</f>
        <v/>
      </c>
      <c r="AJ95">
        <f>Charts!J95</f>
        <v/>
      </c>
      <c r="AP95">
        <f>Charts!P95</f>
        <v/>
      </c>
      <c r="AQ95">
        <f>Charts!Q95</f>
        <v/>
      </c>
    </row>
    <row r="96">
      <c r="AG96">
        <f>Charts!G96</f>
        <v/>
      </c>
      <c r="AJ96">
        <f>Charts!J96</f>
        <v/>
      </c>
      <c r="AP96">
        <f>Charts!P96</f>
        <v/>
      </c>
      <c r="AQ96">
        <f>Charts!Q96</f>
        <v/>
      </c>
    </row>
    <row r="97">
      <c r="AG97">
        <f>Charts!G97</f>
        <v/>
      </c>
      <c r="AJ97">
        <f>Charts!J97</f>
        <v/>
      </c>
      <c r="AP97">
        <f>Charts!P97</f>
        <v/>
      </c>
      <c r="AQ97">
        <f>Charts!Q97</f>
        <v/>
      </c>
    </row>
    <row r="98">
      <c r="AG98">
        <f>Charts!G98</f>
        <v/>
      </c>
      <c r="AJ98">
        <f>Charts!J98</f>
        <v/>
      </c>
      <c r="AP98">
        <f>Charts!P98</f>
        <v/>
      </c>
      <c r="AQ98">
        <f>Charts!Q98</f>
        <v/>
      </c>
    </row>
    <row r="99">
      <c r="AG99">
        <f>Charts!G99</f>
        <v/>
      </c>
      <c r="AJ99">
        <f>Charts!J99</f>
        <v/>
      </c>
      <c r="AP99">
        <f>Charts!P99</f>
        <v/>
      </c>
      <c r="AQ99">
        <f>Charts!Q99</f>
        <v/>
      </c>
    </row>
    <row r="100">
      <c r="AG100">
        <f>Charts!G100</f>
        <v/>
      </c>
      <c r="AJ100">
        <f>Charts!J100</f>
        <v/>
      </c>
      <c r="AP100">
        <f>Charts!P100</f>
        <v/>
      </c>
      <c r="AQ100">
        <f>Charts!Q100</f>
        <v/>
      </c>
    </row>
    <row r="101">
      <c r="AG101">
        <f>Charts!G101</f>
        <v/>
      </c>
      <c r="AJ101">
        <f>Charts!J101</f>
        <v/>
      </c>
      <c r="AP101">
        <f>Charts!P101</f>
        <v/>
      </c>
      <c r="AQ101">
        <f>Charts!Q101</f>
        <v/>
      </c>
    </row>
    <row r="102">
      <c r="AG102">
        <f>Charts!G102</f>
        <v/>
      </c>
      <c r="AJ102">
        <f>Charts!J102</f>
        <v/>
      </c>
      <c r="AP102">
        <f>Charts!P102</f>
        <v/>
      </c>
      <c r="AQ102">
        <f>Charts!Q102</f>
        <v/>
      </c>
    </row>
    <row r="103">
      <c r="AG103">
        <f>Charts!G103</f>
        <v/>
      </c>
      <c r="AJ103">
        <f>Charts!J103</f>
        <v/>
      </c>
      <c r="AP103">
        <f>Charts!P103</f>
        <v/>
      </c>
      <c r="AQ103">
        <f>Charts!Q103</f>
        <v/>
      </c>
    </row>
    <row r="104">
      <c r="AG104">
        <f>Charts!G104</f>
        <v/>
      </c>
      <c r="AJ104">
        <f>Charts!J104</f>
        <v/>
      </c>
      <c r="AP104">
        <f>Charts!P104</f>
        <v/>
      </c>
      <c r="AQ104">
        <f>Charts!Q104</f>
        <v/>
      </c>
    </row>
    <row r="105">
      <c r="AG105">
        <f>Charts!G105</f>
        <v/>
      </c>
      <c r="AJ105">
        <f>Charts!J105</f>
        <v/>
      </c>
      <c r="AP105">
        <f>Charts!P105</f>
        <v/>
      </c>
      <c r="AQ105">
        <f>Charts!Q105</f>
        <v/>
      </c>
    </row>
    <row r="106">
      <c r="AG106">
        <f>Charts!G106</f>
        <v/>
      </c>
      <c r="AJ106">
        <f>Charts!J106</f>
        <v/>
      </c>
      <c r="AP106">
        <f>Charts!P106</f>
        <v/>
      </c>
      <c r="AQ106">
        <f>Charts!Q106</f>
        <v/>
      </c>
    </row>
    <row r="107">
      <c r="AG107">
        <f>Charts!G107</f>
        <v/>
      </c>
      <c r="AJ107">
        <f>Charts!J107</f>
        <v/>
      </c>
      <c r="AP107">
        <f>Charts!P107</f>
        <v/>
      </c>
      <c r="AQ107">
        <f>Charts!Q107</f>
        <v/>
      </c>
    </row>
    <row r="108">
      <c r="AG108">
        <f>Charts!G108</f>
        <v/>
      </c>
      <c r="AJ108">
        <f>Charts!J108</f>
        <v/>
      </c>
      <c r="AP108">
        <f>Charts!P108</f>
        <v/>
      </c>
      <c r="AQ108">
        <f>Charts!Q108</f>
        <v/>
      </c>
    </row>
    <row r="109">
      <c r="AG109">
        <f>Charts!G109</f>
        <v/>
      </c>
      <c r="AJ109">
        <f>Charts!J109</f>
        <v/>
      </c>
      <c r="AP109">
        <f>Charts!P109</f>
        <v/>
      </c>
      <c r="AQ109">
        <f>Charts!Q109</f>
        <v/>
      </c>
    </row>
    <row r="110">
      <c r="AG110">
        <f>Charts!G110</f>
        <v/>
      </c>
      <c r="AJ110">
        <f>Charts!J110</f>
        <v/>
      </c>
      <c r="AP110">
        <f>Charts!P110</f>
        <v/>
      </c>
      <c r="AQ110">
        <f>Charts!Q110</f>
        <v/>
      </c>
    </row>
    <row r="111">
      <c r="AG111">
        <f>Charts!G111</f>
        <v/>
      </c>
      <c r="AJ111">
        <f>Charts!J111</f>
        <v/>
      </c>
      <c r="AP111">
        <f>Charts!P111</f>
        <v/>
      </c>
      <c r="AQ111">
        <f>Charts!Q111</f>
        <v/>
      </c>
    </row>
    <row r="112">
      <c r="AG112">
        <f>Charts!G112</f>
        <v/>
      </c>
      <c r="AJ112">
        <f>Charts!J112</f>
        <v/>
      </c>
      <c r="AP112">
        <f>Charts!P112</f>
        <v/>
      </c>
      <c r="AQ112">
        <f>Charts!Q112</f>
        <v/>
      </c>
    </row>
    <row r="113">
      <c r="AG113">
        <f>Charts!G113</f>
        <v/>
      </c>
      <c r="AJ113">
        <f>Charts!J113</f>
        <v/>
      </c>
      <c r="AP113">
        <f>Charts!P113</f>
        <v/>
      </c>
      <c r="AQ113">
        <f>Charts!Q113</f>
        <v/>
      </c>
    </row>
    <row r="114">
      <c r="AG114">
        <f>Charts!G114</f>
        <v/>
      </c>
      <c r="AJ114">
        <f>Charts!J114</f>
        <v/>
      </c>
      <c r="AP114">
        <f>Charts!P114</f>
        <v/>
      </c>
      <c r="AQ114">
        <f>Charts!Q114</f>
        <v/>
      </c>
    </row>
    <row r="115">
      <c r="AG115">
        <f>Charts!G115</f>
        <v/>
      </c>
      <c r="AJ115">
        <f>Charts!J115</f>
        <v/>
      </c>
      <c r="AP115">
        <f>Charts!P115</f>
        <v/>
      </c>
      <c r="AQ115">
        <f>Charts!Q115</f>
        <v/>
      </c>
    </row>
    <row r="116">
      <c r="AG116">
        <f>Charts!G116</f>
        <v/>
      </c>
      <c r="AJ116">
        <f>Charts!J116</f>
        <v/>
      </c>
      <c r="AP116">
        <f>Charts!P116</f>
        <v/>
      </c>
      <c r="AQ116">
        <f>Charts!Q116</f>
        <v/>
      </c>
    </row>
    <row r="117">
      <c r="AG117">
        <f>Charts!G117</f>
        <v/>
      </c>
      <c r="AJ117">
        <f>Charts!J117</f>
        <v/>
      </c>
      <c r="AP117">
        <f>Charts!P117</f>
        <v/>
      </c>
      <c r="AQ117">
        <f>Charts!Q117</f>
        <v/>
      </c>
    </row>
    <row r="118">
      <c r="AG118">
        <f>Charts!G118</f>
        <v/>
      </c>
      <c r="AJ118">
        <f>Charts!J118</f>
        <v/>
      </c>
      <c r="AP118">
        <f>Charts!P118</f>
        <v/>
      </c>
      <c r="AQ118">
        <f>Charts!Q118</f>
        <v/>
      </c>
    </row>
    <row r="119">
      <c r="AG119">
        <f>Charts!G119</f>
        <v/>
      </c>
      <c r="AJ119">
        <f>Charts!J119</f>
        <v/>
      </c>
      <c r="AP119">
        <f>Charts!P119</f>
        <v/>
      </c>
      <c r="AQ119">
        <f>Charts!Q119</f>
        <v/>
      </c>
    </row>
    <row r="120">
      <c r="AG120">
        <f>Charts!G120</f>
        <v/>
      </c>
      <c r="AJ120">
        <f>Charts!J120</f>
        <v/>
      </c>
    </row>
    <row r="121">
      <c r="AG121">
        <f>Charts!G121</f>
        <v/>
      </c>
      <c r="AJ121">
        <f>Charts!J121</f>
        <v/>
      </c>
    </row>
    <row r="122">
      <c r="AG122">
        <f>Charts!G122</f>
        <v/>
      </c>
      <c r="AJ122">
        <f>Charts!J122</f>
        <v/>
      </c>
    </row>
    <row r="123">
      <c r="AG123">
        <f>Charts!G123</f>
        <v/>
      </c>
      <c r="AJ123">
        <f>Charts!J123</f>
        <v/>
      </c>
    </row>
    <row r="124">
      <c r="AG124">
        <f>Charts!G124</f>
        <v/>
      </c>
      <c r="AJ124">
        <f>Charts!J124</f>
        <v/>
      </c>
    </row>
    <row r="125">
      <c r="AG125">
        <f>Charts!G125</f>
        <v/>
      </c>
      <c r="AJ125">
        <f>Charts!J125</f>
        <v/>
      </c>
    </row>
    <row r="126">
      <c r="AG126">
        <f>Charts!G126</f>
        <v/>
      </c>
      <c r="AJ126">
        <f>Charts!J126</f>
        <v/>
      </c>
    </row>
    <row r="127">
      <c r="AG127">
        <f>Charts!G127</f>
        <v/>
      </c>
      <c r="AJ127">
        <f>Charts!J127</f>
        <v/>
      </c>
    </row>
    <row r="128">
      <c r="AG128">
        <f>Charts!G128</f>
        <v/>
      </c>
      <c r="AJ128">
        <f>Charts!J128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tabColor rgb="00F4B183"/>
    <outlinePr summaryBelow="1" summaryRight="1"/>
    <pageSetUpPr/>
  </sheetPr>
  <dimension ref="A1:AT128"/>
  <sheetViews>
    <sheetView showGridLines="0" workbookViewId="0">
      <selection activeCell="A1" sqref="A1"/>
    </sheetView>
  </sheetViews>
  <sheetFormatPr baseColWidth="8" defaultRowHeight="14.25"/>
  <cols>
    <col width="16" customWidth="1" style="70" min="1" max="1"/>
    <col width="16" customWidth="1" style="70" min="2" max="2"/>
    <col width="16" customWidth="1" style="70" min="3" max="3"/>
    <col width="16" customWidth="1" style="70" min="4" max="4"/>
    <col width="16" customWidth="1" style="70" min="5" max="5"/>
    <col width="16" customWidth="1" style="70" min="6" max="6"/>
    <col width="16" customWidth="1" style="70" min="7" max="7"/>
    <col width="16" customWidth="1" style="70" min="8" max="8"/>
    <col width="16" customWidth="1" style="70" min="9" max="9"/>
    <col width="16" customWidth="1" style="70" min="10" max="10"/>
    <col width="16" customWidth="1" style="70" min="11" max="11"/>
    <col width="16" customWidth="1" style="70" min="12" max="12"/>
    <col width="16" customWidth="1" style="70" min="13" max="13"/>
    <col width="16" customWidth="1" style="70" min="14" max="14"/>
    <col width="16" customWidth="1" style="70" min="15" max="15"/>
    <col width="16" customWidth="1" style="70" min="16" max="16"/>
    <col width="16" customWidth="1" style="70" min="17" max="17"/>
    <col width="16" customWidth="1" style="70" min="18" max="18"/>
    <col width="16" customWidth="1" style="70" min="19" max="19"/>
    <col width="16" customWidth="1" style="70" min="20" max="21"/>
    <col width="16" customWidth="1" style="70" min="21" max="21"/>
    <col hidden="1" width="13" customWidth="1" style="70" min="27" max="27"/>
    <col hidden="1" width="13" customWidth="1" style="70" min="28" max="28"/>
    <col hidden="1" width="13" customWidth="1" style="70" min="29" max="29"/>
    <col hidden="1" width="13" customWidth="1" style="70" min="30" max="30"/>
    <col hidden="1" width="13" customWidth="1" style="70" min="31" max="31"/>
    <col hidden="1" width="13" customWidth="1" style="70" min="32" max="32"/>
    <col hidden="1" width="13" customWidth="1" style="70" min="33" max="33"/>
    <col hidden="1" width="13" customWidth="1" style="70" min="34" max="34"/>
    <col hidden="1" width="13" customWidth="1" style="70" min="35" max="35"/>
    <col hidden="1" width="13" customWidth="1" style="70" min="36" max="36"/>
    <col hidden="1" width="13" customWidth="1" style="70" min="37" max="37"/>
    <col hidden="1" width="13" customWidth="1" style="70" min="38" max="38"/>
    <col hidden="1" width="13" customWidth="1" style="70" min="39" max="39"/>
    <col hidden="1" width="13" customWidth="1" style="70" min="40" max="40"/>
    <col hidden="1" width="13" customWidth="1" style="70" min="41" max="41"/>
    <col hidden="1" width="13" customWidth="1" style="70" min="42" max="42"/>
    <col hidden="1" width="13" customWidth="1" style="70" min="43" max="43"/>
    <col hidden="1" width="13" customWidth="1" style="70" min="44" max="44"/>
    <col hidden="1" width="13" customWidth="1" style="70" min="45" max="45"/>
    <col hidden="1" width="13" customWidth="1" style="70" min="46" max="46"/>
  </cols>
  <sheetData>
    <row r="1" ht="24" customHeight="1" s="70">
      <c r="A1" s="144" t="inlineStr">
        <is>
          <t>Charts &amp; Stable Source Data</t>
        </is>
      </c>
      <c r="B1" s="145" t="n"/>
      <c r="C1" s="145" t="n"/>
      <c r="D1" s="145" t="n"/>
      <c r="E1" s="145" t="n"/>
      <c r="F1" s="145" t="n"/>
      <c r="G1" s="145" t="n"/>
      <c r="H1" s="145" t="n"/>
      <c r="I1" s="145" t="n"/>
      <c r="J1" s="145" t="n"/>
      <c r="K1" s="145" t="n"/>
      <c r="L1" s="145" t="n"/>
      <c r="M1" s="145" t="n"/>
      <c r="N1" s="145" t="n"/>
      <c r="O1" s="145" t="n"/>
      <c r="P1" s="145" t="n"/>
      <c r="Q1" s="145" t="n"/>
      <c r="R1" s="145" t="n"/>
      <c r="S1" s="145" t="n"/>
      <c r="T1" s="145" t="n"/>
      <c r="U1" s="145" t="n"/>
      <c r="V1" s="106" t="n"/>
      <c r="W1" s="106" t="n"/>
      <c r="X1" s="106" t="n"/>
      <c r="Y1" s="106" t="n"/>
      <c r="Z1" s="106" t="n"/>
      <c r="AA1" s="100" t="n"/>
      <c r="AB1" s="100" t="n"/>
      <c r="AC1" s="100" t="n"/>
      <c r="AD1" s="100" t="n"/>
    </row>
    <row r="2" ht="21.95000076293945" customHeight="1" s="70">
      <c r="A2" s="166" t="inlineStr">
        <is>
          <t>Clean chart patch: fixed S-curve source ranges, removed trailing blank points, and moved helper data to hidden columns.</t>
        </is>
      </c>
      <c r="U2" s="139" t="n"/>
      <c r="V2" s="109" t="n"/>
      <c r="W2" s="109" t="n"/>
      <c r="X2" s="109" t="n"/>
      <c r="Y2" s="109" t="n"/>
      <c r="Z2" s="109" t="n"/>
    </row>
    <row r="4" ht="24" customHeight="1" s="70">
      <c r="A4" s="136" t="inlineStr">
        <is>
          <t>CAPEX Component</t>
        </is>
      </c>
      <c r="B4" s="136" t="inlineStr">
        <is>
          <t>Amount M€</t>
        </is>
      </c>
      <c r="C4" s="71" t="n"/>
      <c r="D4" s="142" t="inlineStr">
        <is>
          <t>Cost Category</t>
        </is>
      </c>
      <c r="E4" s="136" t="inlineStr">
        <is>
          <t>Base Cost M€</t>
        </is>
      </c>
      <c r="F4" s="71" t="n"/>
      <c r="G4" s="142" t="inlineStr">
        <is>
          <t>Discipline</t>
        </is>
      </c>
      <c r="H4" s="136" t="inlineStr">
        <is>
          <t>Base Cost M€</t>
        </is>
      </c>
      <c r="I4" s="71" t="n"/>
      <c r="J4" s="142" t="inlineStr">
        <is>
          <t>Month</t>
        </is>
      </c>
      <c r="K4" s="136" t="inlineStr">
        <is>
          <t>Monthly Spend M€</t>
        </is>
      </c>
      <c r="L4" s="136" t="inlineStr">
        <is>
          <t>Cumulative M€</t>
        </is>
      </c>
      <c r="M4" s="138" t="inlineStr">
        <is>
          <t>Cumulative %</t>
        </is>
      </c>
      <c r="N4" s="136" t="inlineStr">
        <is>
          <t>Cost Bin M€</t>
        </is>
      </c>
      <c r="O4" s="136" t="inlineStr">
        <is>
          <t>Frequency</t>
        </is>
      </c>
      <c r="Q4" s="136" t="inlineStr">
        <is>
          <t>Cost M€</t>
        </is>
      </c>
      <c r="R4" s="136" t="inlineStr">
        <is>
          <t>Cumulative Probability</t>
        </is>
      </c>
      <c r="T4" s="136" t="inlineStr">
        <is>
          <t>Percentile</t>
        </is>
      </c>
      <c r="U4" s="136" t="inlineStr">
        <is>
          <t>Cost M€</t>
        </is>
      </c>
    </row>
    <row r="5">
      <c r="A5" s="95" t="inlineStr">
        <is>
          <t>Base Cost</t>
        </is>
      </c>
      <c r="B5" s="156" t="n">
        <v>40</v>
      </c>
      <c r="C5" s="114" t="n"/>
      <c r="D5" t="inlineStr">
        <is>
          <t>Direct Cost</t>
        </is>
      </c>
      <c r="E5" s="156" t="n">
        <v>31</v>
      </c>
      <c r="G5" t="inlineStr">
        <is>
          <t>Mechanical</t>
        </is>
      </c>
      <c r="H5" s="156" t="n">
        <v>12</v>
      </c>
      <c r="J5" s="167" t="inlineStr">
        <is>
          <t>Start</t>
        </is>
      </c>
      <c r="K5" s="156" t="n">
        <v>0</v>
      </c>
      <c r="L5" s="156" t="n">
        <v>0</v>
      </c>
      <c r="M5" s="116" t="n">
        <v>0</v>
      </c>
      <c r="N5" s="156" t="n">
        <v>38.41795967901452</v>
      </c>
      <c r="O5" s="115" t="n">
        <v>2</v>
      </c>
      <c r="Q5" s="167" t="n">
        <v>38.26052172820848</v>
      </c>
      <c r="R5" s="116" t="n">
        <v>0</v>
      </c>
      <c r="T5" t="inlineStr">
        <is>
          <t>P50</t>
        </is>
      </c>
      <c r="U5" s="156" t="n">
        <v>41.32250520627151</v>
      </c>
    </row>
    <row r="6">
      <c r="A6" s="95" t="inlineStr">
        <is>
          <t>Escalation</t>
        </is>
      </c>
      <c r="B6" s="156" t="n">
        <v>1.791623474523355</v>
      </c>
      <c r="C6" s="114" t="n"/>
      <c r="D6" t="inlineStr">
        <is>
          <t>Indirect Cost</t>
        </is>
      </c>
      <c r="E6" s="156" t="n">
        <v>3.4</v>
      </c>
      <c r="G6" t="inlineStr">
        <is>
          <t>Electrical</t>
        </is>
      </c>
      <c r="H6" s="156" t="n">
        <v>4.999999999999999</v>
      </c>
      <c r="J6" s="167" t="inlineStr">
        <is>
          <t>Jul-26</t>
        </is>
      </c>
      <c r="K6" s="156" t="n">
        <v>0.08535460036573309</v>
      </c>
      <c r="L6" s="156" t="n">
        <v>0.08535460036573309</v>
      </c>
      <c r="M6" s="116" t="n">
        <v>0.002042385369828148</v>
      </c>
      <c r="N6" s="156" t="n">
        <v>38.73283558062661</v>
      </c>
      <c r="O6" s="115" t="n">
        <v>16</v>
      </c>
      <c r="Q6" s="167" t="n">
        <v>39.62681731924997</v>
      </c>
      <c r="R6" s="116" t="n">
        <v>0.02</v>
      </c>
      <c r="T6" t="inlineStr">
        <is>
          <t>P80</t>
        </is>
      </c>
      <c r="U6" s="156" t="n">
        <v>42.04333630106834</v>
      </c>
    </row>
    <row r="7">
      <c r="A7" s="95" t="inlineStr">
        <is>
          <t>Selected Contingency</t>
        </is>
      </c>
      <c r="B7" s="156" t="n">
        <v>2.043336301068336</v>
      </c>
      <c r="C7" s="114" t="n"/>
      <c r="D7" t="inlineStr">
        <is>
          <t>Owner Cost</t>
        </is>
      </c>
      <c r="E7" s="156" t="n">
        <v>0.6</v>
      </c>
      <c r="G7" t="inlineStr">
        <is>
          <t>Construction</t>
        </is>
      </c>
      <c r="H7" s="156" t="n">
        <v>4.617460317460317</v>
      </c>
      <c r="J7" s="167" t="inlineStr">
        <is>
          <t>Aug-26</t>
        </is>
      </c>
      <c r="K7" s="156" t="n">
        <v>0.09303847558173005</v>
      </c>
      <c r="L7" s="156" t="n">
        <v>0.1783930759474631</v>
      </c>
      <c r="M7" s="116" t="n">
        <v>0.004268632350600439</v>
      </c>
      <c r="N7" s="156" t="n">
        <v>39.04771148223868</v>
      </c>
      <c r="O7" s="115" t="n">
        <v>41</v>
      </c>
      <c r="Q7" s="167" t="n">
        <v>39.87599027844443</v>
      </c>
      <c r="R7" s="116" t="n">
        <v>0.04</v>
      </c>
      <c r="T7" t="inlineStr">
        <is>
          <t>P90</t>
        </is>
      </c>
      <c r="U7" s="156" t="n">
        <v>42.41505301918222</v>
      </c>
    </row>
    <row r="8">
      <c r="A8" s="95" t="inlineStr">
        <is>
          <t>Total Project Cost</t>
        </is>
      </c>
      <c r="B8" s="156" t="n">
        <v>43.83495977559169</v>
      </c>
      <c r="C8" s="114" t="n"/>
      <c r="D8" t="inlineStr">
        <is>
          <t>Other Cost</t>
        </is>
      </c>
      <c r="E8" s="156" t="n">
        <v>1</v>
      </c>
      <c r="G8" t="inlineStr">
        <is>
          <t>Project Management</t>
        </is>
      </c>
      <c r="H8" s="156" t="n">
        <v>4.396273291925466</v>
      </c>
      <c r="J8" s="167" t="inlineStr">
        <is>
          <t>Sep-26</t>
        </is>
      </c>
      <c r="K8" s="156" t="n">
        <v>0.1048835151301254</v>
      </c>
      <c r="L8" s="156" t="n">
        <v>0.2832765910775885</v>
      </c>
      <c r="M8" s="116" t="n">
        <v>0.006778310281491627</v>
      </c>
      <c r="N8" s="156" t="n">
        <v>39.36258738385077</v>
      </c>
      <c r="O8" s="115" t="n">
        <v>97</v>
      </c>
      <c r="Q8" s="167" t="n">
        <v>40.03469084435221</v>
      </c>
      <c r="R8" s="116" t="n">
        <v>0.06</v>
      </c>
      <c r="U8" s="156" t="n"/>
    </row>
    <row r="9">
      <c r="A9" s="95" t="n"/>
      <c r="B9" s="156" t="n"/>
      <c r="C9" s="114" t="n"/>
      <c r="D9" t="inlineStr">
        <is>
          <t>Manpower Cost</t>
        </is>
      </c>
      <c r="E9" s="156" t="n">
        <v>4</v>
      </c>
      <c r="G9" t="inlineStr">
        <is>
          <t>Piping</t>
        </is>
      </c>
      <c r="H9" s="156" t="n">
        <v>4</v>
      </c>
      <c r="J9" s="167" t="inlineStr">
        <is>
          <t>Oct-26</t>
        </is>
      </c>
      <c r="K9" s="156" t="n">
        <v>0.1243640039550584</v>
      </c>
      <c r="L9" s="156" t="n">
        <v>0.4076405950326469</v>
      </c>
      <c r="M9" s="116" t="n">
        <v>0.009754122025940179</v>
      </c>
      <c r="N9" s="156" t="n">
        <v>39.67746328546284</v>
      </c>
      <c r="O9" s="115" t="n">
        <v>203</v>
      </c>
      <c r="Q9" s="167" t="n">
        <v>40.14807262339585</v>
      </c>
      <c r="R9" s="116" t="n">
        <v>0.08</v>
      </c>
      <c r="U9" s="156" t="n"/>
    </row>
    <row r="10">
      <c r="A10" s="95" t="n"/>
      <c r="B10" s="156" t="n"/>
      <c r="C10" s="114" t="n"/>
      <c r="E10" s="156" t="n"/>
      <c r="G10" t="inlineStr">
        <is>
          <t>Automation</t>
        </is>
      </c>
      <c r="H10" s="156" t="n">
        <v>2</v>
      </c>
      <c r="J10" s="167" t="inlineStr">
        <is>
          <t>Nov-26</t>
        </is>
      </c>
      <c r="K10" s="156" t="n">
        <v>0.147755756408773</v>
      </c>
      <c r="L10" s="156" t="n">
        <v>0.55539635144142</v>
      </c>
      <c r="M10" s="116" t="n">
        <v>0.01328965723908753</v>
      </c>
      <c r="N10" s="156" t="n">
        <v>39.99233918707493</v>
      </c>
      <c r="O10" s="115" t="n">
        <v>443</v>
      </c>
      <c r="Q10" s="167" t="n">
        <v>40.25594425566219</v>
      </c>
      <c r="R10" s="116" t="n">
        <v>0.1</v>
      </c>
      <c r="U10" s="156" t="n"/>
    </row>
    <row r="11">
      <c r="A11" s="95" t="n"/>
      <c r="B11" s="114" t="n"/>
      <c r="C11" s="114" t="n"/>
      <c r="E11" s="156" t="n"/>
      <c r="G11" t="inlineStr">
        <is>
          <t>Civil</t>
        </is>
      </c>
      <c r="H11" s="156" t="n">
        <v>2</v>
      </c>
      <c r="J11" s="167" t="inlineStr">
        <is>
          <t>Dec-26</t>
        </is>
      </c>
      <c r="K11" s="156" t="n">
        <v>0.4261660961960409</v>
      </c>
      <c r="L11" s="156" t="n">
        <v>0.9815624476374609</v>
      </c>
      <c r="M11" s="116" t="n">
        <v>0.02348706190454248</v>
      </c>
      <c r="N11" s="156" t="n">
        <v>40.307215088687</v>
      </c>
      <c r="O11" s="115" t="n">
        <v>709</v>
      </c>
      <c r="Q11" s="167" t="n">
        <v>40.34137864167934</v>
      </c>
      <c r="R11" s="116" t="n">
        <v>0.12</v>
      </c>
    </row>
    <row r="12">
      <c r="A12" s="95" t="n"/>
      <c r="B12" s="114" t="n"/>
      <c r="C12" s="114" t="n"/>
      <c r="E12" s="156" t="n"/>
      <c r="G12" t="inlineStr">
        <is>
          <t>Commissioning</t>
        </is>
      </c>
      <c r="H12" s="156" t="n">
        <v>1.682194616977226</v>
      </c>
      <c r="J12" s="167" t="inlineStr">
        <is>
          <t>Jan-27</t>
        </is>
      </c>
      <c r="K12" s="156" t="n">
        <v>0.4612100394578048</v>
      </c>
      <c r="L12" s="156" t="n">
        <v>1.442772487095266</v>
      </c>
      <c r="M12" s="116" t="n">
        <v>0.03452300645785623</v>
      </c>
      <c r="N12" s="156" t="n">
        <v>40.62209099029909</v>
      </c>
      <c r="O12" s="115" t="n">
        <v>1066</v>
      </c>
      <c r="Q12" s="167" t="n">
        <v>40.42585386313208</v>
      </c>
      <c r="R12" s="116" t="n">
        <v>0.14</v>
      </c>
    </row>
    <row r="13">
      <c r="A13" s="95" t="n"/>
      <c r="B13" s="114" t="n"/>
      <c r="C13" s="114" t="n"/>
      <c r="E13" s="156" t="n"/>
      <c r="G13" t="inlineStr">
        <is>
          <t>Owner</t>
        </is>
      </c>
      <c r="H13" s="156" t="n">
        <v>1.2</v>
      </c>
      <c r="J13" s="167" t="inlineStr">
        <is>
          <t>Feb-27</t>
        </is>
      </c>
      <c r="K13" s="156" t="n">
        <v>0.5944175437625689</v>
      </c>
      <c r="L13" s="156" t="n">
        <v>2.037190030857834</v>
      </c>
      <c r="M13" s="116" t="n">
        <v>0.04874637215516953</v>
      </c>
      <c r="N13" s="156" t="n">
        <v>40.93696689191116</v>
      </c>
      <c r="O13" s="115" t="n">
        <v>1314</v>
      </c>
      <c r="Q13" s="167" t="n">
        <v>40.49903628596423</v>
      </c>
      <c r="R13" s="116" t="n">
        <v>0.16</v>
      </c>
    </row>
    <row r="14">
      <c r="A14" s="95" t="n"/>
      <c r="B14" s="114" t="n"/>
      <c r="C14" s="114" t="n"/>
      <c r="E14" s="156" t="n"/>
      <c r="G14" t="inlineStr">
        <is>
          <t>Instrumentation</t>
        </is>
      </c>
      <c r="H14" s="156" t="n">
        <v>1</v>
      </c>
      <c r="J14" s="167" t="inlineStr">
        <is>
          <t>Mar-27</t>
        </is>
      </c>
      <c r="K14" s="156" t="n">
        <v>0.7612828299922226</v>
      </c>
      <c r="L14" s="156" t="n">
        <v>2.798472860850057</v>
      </c>
      <c r="M14" s="116" t="n">
        <v>0.06696253048307725</v>
      </c>
      <c r="N14" s="156" t="n">
        <v>41.25184279352325</v>
      </c>
      <c r="O14" s="115" t="n">
        <v>1508</v>
      </c>
      <c r="Q14" s="167" t="n">
        <v>40.57085901040558</v>
      </c>
      <c r="R14" s="116" t="n">
        <v>0.18</v>
      </c>
    </row>
    <row r="15">
      <c r="A15" s="95" t="n"/>
      <c r="B15" s="114" t="n"/>
      <c r="C15" s="114" t="n"/>
      <c r="E15" s="156" t="n"/>
      <c r="G15" t="inlineStr">
        <is>
          <t>Process</t>
        </is>
      </c>
      <c r="H15" s="156" t="n">
        <v>0.7826086956521739</v>
      </c>
      <c r="J15" s="167" t="inlineStr">
        <is>
          <t>Apr-27</t>
        </is>
      </c>
      <c r="K15" s="156" t="n">
        <v>1.157007533796413</v>
      </c>
      <c r="L15" s="156" t="n">
        <v>3.95548039464647</v>
      </c>
      <c r="M15" s="116" t="n">
        <v>0.09464768453079539</v>
      </c>
      <c r="N15" s="156" t="n">
        <v>41.56671869513534</v>
      </c>
      <c r="O15" s="115" t="n">
        <v>1394</v>
      </c>
      <c r="Q15" s="167" t="n">
        <v>40.62651697387052</v>
      </c>
      <c r="R15" s="116" t="n">
        <v>0.2</v>
      </c>
    </row>
    <row r="16">
      <c r="A16" s="95" t="n"/>
      <c r="B16" s="114" t="n"/>
      <c r="C16" s="114" t="n"/>
      <c r="E16" s="156" t="n"/>
      <c r="G16" t="inlineStr">
        <is>
          <t>Procurement</t>
        </is>
      </c>
      <c r="H16" s="156" t="n">
        <v>0.7055900621118012</v>
      </c>
      <c r="J16" s="167" t="inlineStr">
        <is>
          <t>May-27</t>
        </is>
      </c>
      <c r="K16" s="156" t="n">
        <v>1.35225398644055</v>
      </c>
      <c r="L16" s="156" t="n">
        <v>5.30773438108702</v>
      </c>
      <c r="M16" s="116" t="n">
        <v>0.1270047425729387</v>
      </c>
      <c r="N16" s="156" t="n">
        <v>41.88159459674741</v>
      </c>
      <c r="O16" s="115" t="n">
        <v>1190</v>
      </c>
      <c r="Q16" s="167" t="n">
        <v>40.68482197874189</v>
      </c>
      <c r="R16" s="116" t="n">
        <v>0.22</v>
      </c>
    </row>
    <row r="17">
      <c r="A17" s="95" t="n"/>
      <c r="B17" s="114" t="n"/>
      <c r="C17" s="114" t="n"/>
      <c r="E17" s="156" t="n"/>
      <c r="G17" t="inlineStr">
        <is>
          <t>Other</t>
        </is>
      </c>
      <c r="H17" s="156" t="n">
        <v>0.4</v>
      </c>
      <c r="J17" s="167" t="inlineStr">
        <is>
          <t>Jun-27</t>
        </is>
      </c>
      <c r="K17" s="156" t="n">
        <v>1.798903341539953</v>
      </c>
      <c r="L17" s="156" t="n">
        <v>7.106637722626973</v>
      </c>
      <c r="M17" s="116" t="n">
        <v>0.17004933361728</v>
      </c>
      <c r="N17" s="156" t="n">
        <v>42.1964704983595</v>
      </c>
      <c r="O17" s="115" t="n">
        <v>875</v>
      </c>
      <c r="Q17" s="167" t="n">
        <v>40.73623134403853</v>
      </c>
      <c r="R17" s="116" t="n">
        <v>0.24</v>
      </c>
    </row>
    <row r="18">
      <c r="A18" s="95" t="n"/>
      <c r="B18" s="114" t="n"/>
      <c r="C18" s="114" t="n"/>
      <c r="E18" s="156" t="n"/>
      <c r="G18" t="inlineStr">
        <is>
          <t>HSE</t>
        </is>
      </c>
      <c r="H18" s="156" t="n">
        <v>0.2158730158730159</v>
      </c>
      <c r="J18" s="167" t="inlineStr">
        <is>
          <t>Jul-27</t>
        </is>
      </c>
      <c r="K18" s="156" t="n">
        <v>1.964705686793025</v>
      </c>
      <c r="L18" s="156" t="n">
        <v>9.071343409419999</v>
      </c>
      <c r="M18" s="116" t="n">
        <v>0.2170612829853329</v>
      </c>
      <c r="N18" s="156" t="n">
        <v>42.51134639997157</v>
      </c>
      <c r="O18" s="115" t="n">
        <v>585</v>
      </c>
      <c r="Q18" s="167" t="n">
        <v>40.78453050961743</v>
      </c>
      <c r="R18" s="116" t="n">
        <v>0.26</v>
      </c>
    </row>
    <row r="19">
      <c r="A19" s="95" t="n"/>
      <c r="B19" s="114" t="n"/>
      <c r="C19" s="114" t="n"/>
      <c r="E19" s="156" t="n"/>
      <c r="H19" s="156" t="n"/>
      <c r="J19" s="167" t="inlineStr">
        <is>
          <t>Aug-27</t>
        </is>
      </c>
      <c r="K19" s="156" t="n">
        <v>2.17730316477993</v>
      </c>
      <c r="L19" s="156" t="n">
        <v>11.24864657419993</v>
      </c>
      <c r="M19" s="116" t="n">
        <v>0.2691603158479169</v>
      </c>
      <c r="N19" s="156" t="n">
        <v>42.82622230158366</v>
      </c>
      <c r="O19" s="115" t="n">
        <v>322</v>
      </c>
      <c r="Q19" s="167" t="n">
        <v>40.83720838334077</v>
      </c>
      <c r="R19" s="116" t="n">
        <v>0.28</v>
      </c>
    </row>
    <row r="20">
      <c r="A20" s="95" t="n"/>
      <c r="B20" s="114" t="n"/>
      <c r="C20" s="114" t="n"/>
      <c r="E20" s="156" t="n"/>
      <c r="H20" s="156" t="n"/>
      <c r="J20" s="167" t="inlineStr">
        <is>
          <t>Sep-27</t>
        </is>
      </c>
      <c r="K20" s="156" t="n">
        <v>2.447878118238398</v>
      </c>
      <c r="L20" s="156" t="n">
        <v>13.69652469243833</v>
      </c>
      <c r="M20" s="116" t="n">
        <v>0.3277337311575819</v>
      </c>
      <c r="N20" s="156" t="n">
        <v>43.14109820319574</v>
      </c>
      <c r="O20" s="115" t="n">
        <v>134</v>
      </c>
      <c r="Q20" s="167" t="n">
        <v>40.88250261503735</v>
      </c>
      <c r="R20" s="116" t="n">
        <v>0.3</v>
      </c>
    </row>
    <row r="21">
      <c r="A21" s="95" t="n"/>
      <c r="B21" s="114" t="n"/>
      <c r="C21" s="114" t="n"/>
      <c r="H21" s="156" t="n"/>
      <c r="J21" s="167" t="inlineStr">
        <is>
          <t>Oct-27</t>
        </is>
      </c>
      <c r="K21" s="156" t="n">
        <v>2.619631617716525</v>
      </c>
      <c r="L21" s="156" t="n">
        <v>16.31615631015485</v>
      </c>
      <c r="M21" s="116" t="n">
        <v>0.3904169054380326</v>
      </c>
      <c r="N21" s="156" t="n">
        <v>43.45597410480782</v>
      </c>
      <c r="O21" s="115" t="n">
        <v>63</v>
      </c>
      <c r="Q21" s="167" t="n">
        <v>40.9323290808859</v>
      </c>
      <c r="R21" s="116" t="n">
        <v>0.32</v>
      </c>
    </row>
    <row r="22">
      <c r="A22" s="95" t="n"/>
      <c r="B22" s="114" t="n"/>
      <c r="C22" s="114" t="n"/>
      <c r="H22" s="156" t="n"/>
      <c r="J22" s="167" t="inlineStr">
        <is>
          <t>Nov-27</t>
        </is>
      </c>
      <c r="K22" s="156" t="n">
        <v>2.797540862921861</v>
      </c>
      <c r="L22" s="156" t="n">
        <v>19.11369717307671</v>
      </c>
      <c r="M22" s="116" t="n">
        <v>0.4573571348509262</v>
      </c>
      <c r="N22" s="156" t="n">
        <v>43.7708500064199</v>
      </c>
      <c r="O22" s="115" t="n">
        <v>27</v>
      </c>
      <c r="Q22" s="167" t="n">
        <v>40.97698755953479</v>
      </c>
      <c r="R22" s="116" t="n">
        <v>0.34</v>
      </c>
    </row>
    <row r="23">
      <c r="A23" s="95" t="n"/>
      <c r="B23" s="114" t="n"/>
      <c r="C23" s="114" t="n"/>
      <c r="H23" s="156" t="n"/>
      <c r="J23" s="167" t="inlineStr">
        <is>
          <t>Dec-27</t>
        </is>
      </c>
      <c r="K23" s="156" t="n">
        <v>3.123914800366757</v>
      </c>
      <c r="L23" s="156" t="n">
        <v>22.23761197344347</v>
      </c>
      <c r="M23" s="116" t="n">
        <v>0.5321069181961731</v>
      </c>
      <c r="N23" s="156" t="n">
        <v>44.08572590803198</v>
      </c>
      <c r="O23" s="115" t="n">
        <v>7</v>
      </c>
      <c r="Q23" s="167" t="n">
        <v>41.02534404477951</v>
      </c>
      <c r="R23" s="116" t="n">
        <v>0.36</v>
      </c>
    </row>
    <row r="24">
      <c r="A24" s="95" t="n"/>
      <c r="B24" s="114" t="n"/>
      <c r="C24" s="114" t="n"/>
      <c r="H24" s="156" t="n"/>
      <c r="J24" s="167" t="inlineStr">
        <is>
          <t>Jan-28</t>
        </is>
      </c>
      <c r="K24" s="156" t="n">
        <v>2.279708391496166</v>
      </c>
      <c r="L24" s="156" t="n">
        <v>24.51732036493963</v>
      </c>
      <c r="M24" s="116" t="n">
        <v>0.5866563279094833</v>
      </c>
      <c r="N24" s="156" t="n">
        <v>44.40060180964406</v>
      </c>
      <c r="O24" s="115" t="n">
        <v>4</v>
      </c>
      <c r="Q24" s="167" t="n">
        <v>41.07171411096721</v>
      </c>
      <c r="R24" s="116" t="n">
        <v>0.38</v>
      </c>
    </row>
    <row r="25">
      <c r="A25" s="95" t="n"/>
      <c r="B25" s="114" t="n"/>
      <c r="C25" s="114" t="n"/>
      <c r="H25" s="156" t="n"/>
      <c r="J25" s="167" t="inlineStr">
        <is>
          <t>Feb-28</t>
        </is>
      </c>
      <c r="K25" s="156" t="n">
        <v>2.430374591236008</v>
      </c>
      <c r="L25" s="156" t="n">
        <v>26.94769495617564</v>
      </c>
      <c r="M25" s="116" t="n">
        <v>0.6448109146227176</v>
      </c>
      <c r="N25" s="156" t="n"/>
      <c r="Q25" s="167" t="n">
        <v>41.11994818386295</v>
      </c>
      <c r="R25" s="116" t="n">
        <v>0.4</v>
      </c>
    </row>
    <row r="26">
      <c r="A26" s="95" t="n"/>
      <c r="B26" s="114" t="n"/>
      <c r="C26" s="114" t="n"/>
      <c r="J26" s="167" t="inlineStr">
        <is>
          <t>Mar-28</t>
        </is>
      </c>
      <c r="K26" s="156" t="n">
        <v>1.985821421086036</v>
      </c>
      <c r="L26" s="156" t="n">
        <v>28.93351637726168</v>
      </c>
      <c r="M26" s="116" t="n">
        <v>0.6923281263504844</v>
      </c>
      <c r="N26" s="156" t="n"/>
      <c r="Q26" s="167" t="n">
        <v>41.15646796006747</v>
      </c>
      <c r="R26" s="116" t="n">
        <v>0.42</v>
      </c>
    </row>
    <row r="27">
      <c r="A27" s="95" t="n"/>
      <c r="B27" s="114" t="n"/>
      <c r="C27" s="114" t="n"/>
      <c r="J27" s="167" t="inlineStr">
        <is>
          <t>Apr-28</t>
        </is>
      </c>
      <c r="K27" s="156" t="n">
        <v>1.682187423548221</v>
      </c>
      <c r="L27" s="156" t="n">
        <v>30.6157038008099</v>
      </c>
      <c r="M27" s="116" t="n">
        <v>0.732579910887491</v>
      </c>
      <c r="N27" s="156" t="n"/>
      <c r="Q27" s="167" t="n">
        <v>41.19677713203751</v>
      </c>
      <c r="R27" s="116" t="n">
        <v>0.44</v>
      </c>
    </row>
    <row r="28">
      <c r="A28" s="95" t="n"/>
      <c r="B28" s="114" t="n"/>
      <c r="C28" s="114" t="n"/>
      <c r="J28" s="167" t="inlineStr">
        <is>
          <t>May-28</t>
        </is>
      </c>
      <c r="K28" s="156" t="n">
        <v>1.544002330407958</v>
      </c>
      <c r="L28" s="156" t="n">
        <v>32.15970613121785</v>
      </c>
      <c r="M28" s="116" t="n">
        <v>0.7695251693398026</v>
      </c>
      <c r="N28" s="156" t="n"/>
      <c r="Q28" s="167" t="n">
        <v>41.23896185947773</v>
      </c>
      <c r="R28" s="116" t="n">
        <v>0.46</v>
      </c>
    </row>
    <row r="29">
      <c r="A29" s="95" t="n"/>
      <c r="B29" s="114" t="n"/>
      <c r="C29" s="114" t="n"/>
      <c r="J29" s="167" t="inlineStr">
        <is>
          <t>Jun-28</t>
        </is>
      </c>
      <c r="K29" s="156" t="n">
        <v>1.523769725419736</v>
      </c>
      <c r="L29" s="156" t="n">
        <v>33.68347585663759</v>
      </c>
      <c r="M29" s="116" t="n">
        <v>0.8059862971624305</v>
      </c>
      <c r="N29" s="156" t="n"/>
      <c r="Q29" s="167" t="n">
        <v>41.27848521535834</v>
      </c>
      <c r="R29" s="116" t="n">
        <v>0.48</v>
      </c>
    </row>
    <row r="30">
      <c r="A30" s="95" t="n"/>
      <c r="B30" s="114" t="n"/>
      <c r="C30" s="114" t="n"/>
      <c r="J30" s="167" t="inlineStr">
        <is>
          <t>Jul-28</t>
        </is>
      </c>
      <c r="K30" s="156" t="n">
        <v>1.3093659294137</v>
      </c>
      <c r="L30" s="156" t="n">
        <v>34.99284178605129</v>
      </c>
      <c r="M30" s="116" t="n">
        <v>0.8373171194792974</v>
      </c>
      <c r="N30" s="156" t="n"/>
      <c r="Q30" s="167" t="n">
        <v>41.32250520627151</v>
      </c>
      <c r="R30" s="116" t="n">
        <v>0.5</v>
      </c>
    </row>
    <row r="31">
      <c r="A31" s="95" t="n"/>
      <c r="B31" s="114" t="n"/>
      <c r="C31" s="114" t="n"/>
      <c r="J31" s="167" t="inlineStr">
        <is>
          <t>Aug-28</t>
        </is>
      </c>
      <c r="K31" s="156" t="n">
        <v>0.9887758855407855</v>
      </c>
      <c r="L31" s="156" t="n">
        <v>35.98161767159207</v>
      </c>
      <c r="M31" s="116" t="n">
        <v>0.8609767862578219</v>
      </c>
      <c r="Q31" s="167" t="n">
        <v>41.36273781354889</v>
      </c>
      <c r="R31" s="116" t="n">
        <v>0.52</v>
      </c>
    </row>
    <row r="32">
      <c r="A32" s="95" t="n"/>
      <c r="B32" s="114" t="n"/>
      <c r="C32" s="114" t="n"/>
      <c r="J32" s="167" t="inlineStr">
        <is>
          <t>Sep-28</t>
        </is>
      </c>
      <c r="K32" s="156" t="n">
        <v>0.8431699524019756</v>
      </c>
      <c r="L32" s="156" t="n">
        <v>36.82478762399405</v>
      </c>
      <c r="M32" s="116" t="n">
        <v>0.8811523593105409</v>
      </c>
      <c r="Q32" s="167" t="n">
        <v>41.41015349206768</v>
      </c>
      <c r="R32" s="116" t="n">
        <v>0.54</v>
      </c>
    </row>
    <row r="33">
      <c r="A33" s="95" t="n"/>
      <c r="B33" s="114" t="n"/>
      <c r="C33" s="114" t="n"/>
      <c r="J33" s="167" t="inlineStr">
        <is>
          <t>Oct-28</t>
        </is>
      </c>
      <c r="K33" s="156" t="n">
        <v>0.7270689633689388</v>
      </c>
      <c r="L33" s="156" t="n">
        <v>37.55185658736298</v>
      </c>
      <c r="M33" s="116" t="n">
        <v>0.8985498400236835</v>
      </c>
      <c r="Q33" s="167" t="n">
        <v>41.45593094053284</v>
      </c>
      <c r="R33" s="116" t="n">
        <v>0.5600000000000001</v>
      </c>
    </row>
    <row r="34">
      <c r="A34" s="95" t="n"/>
      <c r="B34" s="114" t="n"/>
      <c r="C34" s="114" t="n"/>
      <c r="J34" s="167" t="inlineStr">
        <is>
          <t>Nov-28</t>
        </is>
      </c>
      <c r="K34" s="156" t="n">
        <v>0.5953323251165471</v>
      </c>
      <c r="L34" s="156" t="n">
        <v>38.14718891247953</v>
      </c>
      <c r="M34" s="116" t="n">
        <v>0.9127950948288592</v>
      </c>
      <c r="Q34" s="167" t="n">
        <v>41.50748035865</v>
      </c>
      <c r="R34" s="116" t="n">
        <v>0.58</v>
      </c>
    </row>
    <row r="35">
      <c r="A35" s="95" t="n"/>
      <c r="B35" s="114" t="n"/>
      <c r="C35" s="114" t="n"/>
      <c r="J35" s="167" t="inlineStr">
        <is>
          <t>Dec-28</t>
        </is>
      </c>
      <c r="K35" s="156" t="n">
        <v>0.5681031967710523</v>
      </c>
      <c r="L35" s="156" t="n">
        <v>38.71529210925058</v>
      </c>
      <c r="M35" s="116" t="n">
        <v>0.926388804513705</v>
      </c>
      <c r="Q35" s="167" t="n">
        <v>41.54712219563751</v>
      </c>
      <c r="R35" s="116" t="n">
        <v>0.6</v>
      </c>
    </row>
    <row r="36">
      <c r="A36" s="95" t="n"/>
      <c r="B36" s="114" t="n"/>
      <c r="C36" s="114" t="n"/>
      <c r="J36" s="167" t="inlineStr">
        <is>
          <t>Jan-29</t>
        </is>
      </c>
      <c r="K36" s="156" t="n">
        <v>0.4830060311718268</v>
      </c>
      <c r="L36" s="156" t="n">
        <v>39.19829814042241</v>
      </c>
      <c r="M36" s="116" t="n">
        <v>0.9379462887896215</v>
      </c>
      <c r="Q36" s="167" t="n">
        <v>41.58902785411413</v>
      </c>
      <c r="R36" s="116" t="n">
        <v>0.62</v>
      </c>
    </row>
    <row r="37">
      <c r="A37" s="95" t="n"/>
      <c r="B37" s="114" t="n"/>
      <c r="C37" s="114" t="n"/>
      <c r="J37" s="167" t="inlineStr">
        <is>
          <t>Feb-29</t>
        </is>
      </c>
      <c r="K37" s="156" t="n">
        <v>0.4577680473108905</v>
      </c>
      <c r="L37" s="156" t="n">
        <v>39.6560661877333</v>
      </c>
      <c r="M37" s="116" t="n">
        <v>0.9488998725284765</v>
      </c>
      <c r="Q37" s="167" t="n">
        <v>41.6341424912623</v>
      </c>
      <c r="R37" s="116" t="n">
        <v>0.64</v>
      </c>
    </row>
    <row r="38">
      <c r="A38" s="95" t="n"/>
      <c r="B38" s="114" t="n"/>
      <c r="C38" s="114" t="n"/>
      <c r="J38" s="167" t="inlineStr">
        <is>
          <t>Mar-29</t>
        </is>
      </c>
      <c r="K38" s="156" t="n">
        <v>0.5217398608528184</v>
      </c>
      <c r="L38" s="156" t="n">
        <v>40.17780604858611</v>
      </c>
      <c r="M38" s="116" t="n">
        <v>0.9613841891803738</v>
      </c>
      <c r="Q38" s="167" t="n">
        <v>41.6805860499561</v>
      </c>
      <c r="R38" s="116" t="n">
        <v>0.66</v>
      </c>
    </row>
    <row r="39">
      <c r="A39" s="95" t="n"/>
      <c r="B39" s="114" t="n"/>
      <c r="C39" s="114" t="n"/>
      <c r="J39" s="167" t="inlineStr">
        <is>
          <t>Apr-29</t>
        </is>
      </c>
      <c r="K39" s="156" t="n">
        <v>0.5456866390327766</v>
      </c>
      <c r="L39" s="156" t="n">
        <v>40.72349268761889</v>
      </c>
      <c r="M39" s="116" t="n">
        <v>0.9744415100898003</v>
      </c>
      <c r="Q39" s="167" t="n">
        <v>41.72610926692651</v>
      </c>
      <c r="R39" s="116" t="n">
        <v>0.68</v>
      </c>
    </row>
    <row r="40">
      <c r="A40" s="95" t="n"/>
      <c r="B40" s="114" t="n"/>
      <c r="C40" s="114" t="n"/>
      <c r="J40" s="167" t="inlineStr">
        <is>
          <t>May-29</t>
        </is>
      </c>
      <c r="K40" s="156" t="n">
        <v>0.4978130490425224</v>
      </c>
      <c r="L40" s="156" t="n">
        <v>41.22130573666141</v>
      </c>
      <c r="M40" s="116" t="n">
        <v>0.9863533002442555</v>
      </c>
      <c r="Q40" s="167" t="n">
        <v>41.77584229809198</v>
      </c>
      <c r="R40" s="116" t="n">
        <v>0.7</v>
      </c>
    </row>
    <row r="41">
      <c r="J41" t="inlineStr">
        <is>
          <t>Jun-29</t>
        </is>
      </c>
      <c r="K41" s="156" t="n">
        <v>0.5703177378619451</v>
      </c>
      <c r="L41" s="156" t="n">
        <v>41.79162347452336</v>
      </c>
      <c r="M41" s="116" t="n">
        <v>1</v>
      </c>
      <c r="Q41" s="167" t="n">
        <v>41.82364934316934</v>
      </c>
      <c r="R41" s="116" t="n">
        <v>0.72</v>
      </c>
    </row>
    <row r="42">
      <c r="K42" s="156" t="n"/>
      <c r="L42" s="156" t="n"/>
      <c r="M42" s="116" t="n"/>
      <c r="Q42" s="167" t="n">
        <v>41.8738279172951</v>
      </c>
      <c r="R42" s="116" t="n">
        <v>0.74</v>
      </c>
    </row>
    <row r="43">
      <c r="K43" s="156" t="n"/>
      <c r="L43" s="156" t="n"/>
      <c r="M43" s="116" t="n"/>
      <c r="Q43" s="167" t="n">
        <v>41.92954549826179</v>
      </c>
      <c r="R43" s="116" t="n">
        <v>0.76</v>
      </c>
    </row>
    <row r="44">
      <c r="K44" s="156" t="n"/>
      <c r="L44" s="156" t="n"/>
      <c r="M44" s="116" t="n"/>
      <c r="Q44" s="167" t="n">
        <v>41.98545886287526</v>
      </c>
      <c r="R44" s="116" t="n">
        <v>0.78</v>
      </c>
    </row>
    <row r="45">
      <c r="K45" s="156" t="n"/>
      <c r="L45" s="156" t="n"/>
      <c r="M45" s="116" t="n"/>
      <c r="Q45" s="167" t="n">
        <v>42.04333630106834</v>
      </c>
      <c r="R45" s="116" t="n">
        <v>0.8</v>
      </c>
    </row>
    <row r="46">
      <c r="K46" s="156" t="n"/>
      <c r="L46" s="156" t="n"/>
      <c r="M46" s="116" t="n"/>
      <c r="Q46" s="167" t="n">
        <v>42.10521302858582</v>
      </c>
      <c r="R46" s="116" t="n">
        <v>0.82</v>
      </c>
    </row>
    <row r="47">
      <c r="K47" s="156" t="n"/>
      <c r="L47" s="156" t="n"/>
      <c r="M47" s="116" t="n"/>
      <c r="Q47" s="167" t="n">
        <v>42.17002369397734</v>
      </c>
      <c r="R47" s="116" t="n">
        <v>0.84</v>
      </c>
    </row>
    <row r="48">
      <c r="K48" s="156" t="n"/>
      <c r="L48" s="156" t="n"/>
      <c r="M48" s="116" t="n"/>
      <c r="Q48" s="167" t="n">
        <v>42.25016921445888</v>
      </c>
      <c r="R48" s="116" t="n">
        <v>0.86</v>
      </c>
    </row>
    <row r="49">
      <c r="K49" s="156" t="n"/>
      <c r="L49" s="156" t="n"/>
      <c r="M49" s="116" t="n"/>
      <c r="Q49" s="167" t="n">
        <v>42.33183985560721</v>
      </c>
      <c r="R49" s="116" t="n">
        <v>0.88</v>
      </c>
    </row>
    <row r="50">
      <c r="K50" s="156" t="n"/>
      <c r="L50" s="156" t="n"/>
      <c r="M50" s="116" t="n"/>
      <c r="Q50" s="167" t="n">
        <v>42.41505301918222</v>
      </c>
      <c r="R50" s="116" t="n">
        <v>0.9</v>
      </c>
    </row>
    <row r="51">
      <c r="K51" s="156" t="n"/>
      <c r="L51" s="156" t="n"/>
      <c r="M51" s="116" t="n"/>
      <c r="Q51" s="167" t="n">
        <v>42.51703938343743</v>
      </c>
      <c r="R51" s="116" t="n">
        <v>0.92</v>
      </c>
    </row>
    <row r="52">
      <c r="K52" s="156" t="n"/>
      <c r="L52" s="156" t="n"/>
      <c r="M52" s="116" t="n"/>
      <c r="Q52" s="167" t="n">
        <v>42.63913840065427</v>
      </c>
      <c r="R52" s="116" t="n">
        <v>0.9399999999999999</v>
      </c>
    </row>
    <row r="53">
      <c r="K53" s="156" t="n"/>
      <c r="L53" s="156" t="n"/>
      <c r="M53" s="116" t="n"/>
      <c r="Q53" s="167" t="n">
        <v>42.78950974357998</v>
      </c>
      <c r="R53" s="116" t="n">
        <v>0.96</v>
      </c>
    </row>
    <row r="54">
      <c r="K54" s="156" t="n"/>
      <c r="L54" s="156" t="n"/>
      <c r="M54" s="116" t="n"/>
      <c r="Q54" s="167" t="n">
        <v>43.04213055870183</v>
      </c>
      <c r="R54" s="116" t="n">
        <v>0.98</v>
      </c>
    </row>
    <row r="55">
      <c r="K55" s="156" t="n"/>
      <c r="L55" s="156" t="n"/>
      <c r="M55" s="116" t="n"/>
      <c r="Q55" s="167" t="n">
        <v>44.5580397604501</v>
      </c>
      <c r="R55" s="116" t="n">
        <v>1</v>
      </c>
    </row>
    <row r="56">
      <c r="K56" s="156" t="n"/>
      <c r="L56" s="156" t="n"/>
      <c r="M56" s="116" t="n"/>
      <c r="R56" s="116" t="n"/>
    </row>
    <row r="57">
      <c r="K57" s="156" t="n"/>
      <c r="L57" s="156" t="n"/>
      <c r="M57" s="116" t="n"/>
      <c r="R57" s="116" t="n"/>
    </row>
    <row r="58">
      <c r="K58" s="156" t="n"/>
      <c r="L58" s="156" t="n"/>
      <c r="M58" s="116" t="n"/>
      <c r="R58" s="116" t="n"/>
    </row>
    <row r="59">
      <c r="K59" s="156" t="n"/>
      <c r="L59" s="156" t="n"/>
      <c r="M59" s="116" t="n"/>
      <c r="R59" s="116" t="n"/>
    </row>
    <row r="60">
      <c r="K60" s="156" t="n"/>
      <c r="L60" s="156" t="n"/>
      <c r="M60" s="116" t="n"/>
      <c r="R60" s="116" t="n"/>
    </row>
    <row r="61">
      <c r="K61" s="156" t="n"/>
      <c r="L61" s="156" t="n"/>
      <c r="M61" s="116" t="n"/>
      <c r="R61" s="116" t="n"/>
    </row>
    <row r="62">
      <c r="K62" s="156" t="n"/>
      <c r="L62" s="156" t="n"/>
      <c r="M62" s="116" t="n"/>
      <c r="R62" s="116" t="n"/>
    </row>
    <row r="63">
      <c r="K63" s="156" t="n"/>
      <c r="L63" s="156" t="n"/>
      <c r="M63" s="116" t="n"/>
      <c r="R63" s="116" t="n"/>
    </row>
    <row r="64">
      <c r="K64" s="156" t="n"/>
      <c r="L64" s="156" t="n"/>
      <c r="M64" s="116" t="n"/>
      <c r="R64" s="116" t="n"/>
    </row>
    <row r="65">
      <c r="K65" s="156" t="n"/>
      <c r="L65" s="156" t="n"/>
      <c r="M65" s="116" t="n"/>
      <c r="R65" s="116" t="n"/>
    </row>
    <row r="66">
      <c r="K66" s="156" t="n"/>
      <c r="L66" s="156" t="n"/>
      <c r="M66" s="116" t="n"/>
      <c r="R66" s="116" t="n"/>
    </row>
    <row r="67">
      <c r="K67" s="156" t="n"/>
      <c r="L67" s="156" t="n"/>
      <c r="M67" s="116" t="n"/>
      <c r="R67" s="116" t="n"/>
    </row>
    <row r="68">
      <c r="A68" s="168" t="n"/>
      <c r="B68" s="168" t="n"/>
      <c r="D68" s="168" t="n"/>
      <c r="E68" s="168" t="n"/>
      <c r="G68" s="168" t="n"/>
      <c r="H68" s="168" t="n"/>
      <c r="I68" s="168" t="n"/>
      <c r="J68" s="168" t="n"/>
      <c r="K68" s="156" t="n"/>
      <c r="L68" s="169" t="n"/>
      <c r="M68" s="170" t="n"/>
      <c r="P68" s="168" t="n"/>
      <c r="Q68" s="168" t="n"/>
      <c r="R68" s="116" t="n"/>
      <c r="S68" s="168" t="n"/>
      <c r="T68" s="168" t="n"/>
    </row>
    <row r="69">
      <c r="A69" s="147" t="n"/>
      <c r="B69" s="171" t="n"/>
      <c r="C69" s="147" t="n"/>
      <c r="D69" s="147" t="n"/>
      <c r="E69" s="171" t="n"/>
      <c r="F69" s="147" t="n"/>
      <c r="G69" s="147" t="n"/>
      <c r="H69" s="171" t="n"/>
      <c r="I69" s="171" t="n"/>
      <c r="J69" s="172" t="n"/>
      <c r="K69" s="171" t="n"/>
      <c r="L69" s="171" t="n"/>
      <c r="M69" s="173" t="n"/>
      <c r="N69" s="147" t="n"/>
      <c r="O69" s="147" t="n"/>
      <c r="P69" s="171" t="n"/>
      <c r="Q69" s="172" t="n"/>
      <c r="R69" s="172" t="n"/>
      <c r="S69" s="147" t="n"/>
      <c r="T69" s="171" t="n"/>
      <c r="AA69">
        <f>Charts!A69</f>
        <v/>
      </c>
      <c r="AB69">
        <f>Charts!B69</f>
        <v/>
      </c>
      <c r="AD69">
        <f>Charts!D69</f>
        <v/>
      </c>
      <c r="AE69">
        <f>Charts!E69</f>
        <v/>
      </c>
      <c r="AG69">
        <f>Charts!G69</f>
        <v/>
      </c>
      <c r="AJ69">
        <f>Charts!J69</f>
        <v/>
      </c>
      <c r="AL69">
        <f>Charts!L69</f>
        <v/>
      </c>
      <c r="AM69">
        <f>Charts!M69</f>
        <v/>
      </c>
      <c r="AP69">
        <f>Charts!P69</f>
        <v/>
      </c>
      <c r="AQ69">
        <f>Charts!Q69</f>
        <v/>
      </c>
      <c r="AS69">
        <f>Charts!S69</f>
        <v/>
      </c>
      <c r="AT69">
        <f>Charts!T69</f>
        <v/>
      </c>
    </row>
    <row r="70">
      <c r="A70" s="147" t="n"/>
      <c r="B70" s="171" t="n"/>
      <c r="C70" s="147" t="n"/>
      <c r="D70" s="147" t="n"/>
      <c r="E70" s="171" t="n"/>
      <c r="F70" s="147" t="n"/>
      <c r="G70" s="147" t="n"/>
      <c r="H70" s="171" t="n"/>
      <c r="I70" s="171" t="n"/>
      <c r="J70" s="172" t="n"/>
      <c r="K70" s="171" t="n"/>
      <c r="L70" s="171" t="n"/>
      <c r="M70" s="173" t="n"/>
      <c r="N70" s="147" t="n"/>
      <c r="O70" s="147" t="n"/>
      <c r="P70" s="171" t="n"/>
      <c r="Q70" s="172" t="n"/>
      <c r="R70" s="172" t="n"/>
      <c r="S70" s="147" t="n"/>
      <c r="T70" s="171" t="n"/>
      <c r="AA70">
        <f>Charts!A70</f>
        <v/>
      </c>
      <c r="AB70">
        <f>Charts!B70</f>
        <v/>
      </c>
      <c r="AD70">
        <f>Charts!D70</f>
        <v/>
      </c>
      <c r="AE70">
        <f>Charts!E70</f>
        <v/>
      </c>
      <c r="AG70">
        <f>Charts!G70</f>
        <v/>
      </c>
      <c r="AJ70">
        <f>Charts!J70</f>
        <v/>
      </c>
      <c r="AL70">
        <f>Charts!L70</f>
        <v/>
      </c>
      <c r="AM70">
        <f>Charts!M70</f>
        <v/>
      </c>
      <c r="AP70">
        <f>Charts!P70</f>
        <v/>
      </c>
      <c r="AQ70">
        <f>Charts!Q70</f>
        <v/>
      </c>
      <c r="AS70">
        <f>Charts!S70</f>
        <v/>
      </c>
      <c r="AT70">
        <f>Charts!T70</f>
        <v/>
      </c>
    </row>
    <row r="71">
      <c r="A71" s="147" t="n"/>
      <c r="B71" s="171" t="n"/>
      <c r="C71" s="147" t="n"/>
      <c r="D71" s="147" t="n"/>
      <c r="E71" s="171" t="n"/>
      <c r="F71" s="147" t="n"/>
      <c r="G71" s="147" t="n"/>
      <c r="H71" s="171" t="n"/>
      <c r="I71" s="171" t="n"/>
      <c r="J71" s="172" t="n"/>
      <c r="K71" s="147" t="n"/>
      <c r="L71" s="171" t="n"/>
      <c r="M71" s="173" t="n"/>
      <c r="N71" s="147" t="n"/>
      <c r="O71" s="147" t="n"/>
      <c r="P71" s="171" t="n"/>
      <c r="Q71" s="172" t="n"/>
      <c r="R71" s="147" t="n"/>
      <c r="S71" s="147" t="n"/>
      <c r="T71" s="171" t="n"/>
      <c r="AA71">
        <f>Charts!A71</f>
        <v/>
      </c>
      <c r="AB71">
        <f>Charts!B71</f>
        <v/>
      </c>
      <c r="AD71">
        <f>Charts!D71</f>
        <v/>
      </c>
      <c r="AE71">
        <f>Charts!E71</f>
        <v/>
      </c>
      <c r="AG71">
        <f>Charts!G71</f>
        <v/>
      </c>
      <c r="AJ71">
        <f>Charts!J71</f>
        <v/>
      </c>
      <c r="AL71">
        <f>Charts!L71</f>
        <v/>
      </c>
      <c r="AM71">
        <f>Charts!M71</f>
        <v/>
      </c>
      <c r="AP71">
        <f>Charts!P71</f>
        <v/>
      </c>
      <c r="AQ71">
        <f>Charts!Q71</f>
        <v/>
      </c>
      <c r="AS71">
        <f>Charts!S71</f>
        <v/>
      </c>
      <c r="AT71">
        <f>Charts!T71</f>
        <v/>
      </c>
    </row>
    <row r="72">
      <c r="A72" s="147" t="n"/>
      <c r="B72" s="171" t="n"/>
      <c r="C72" s="147" t="n"/>
      <c r="D72" s="147" t="n"/>
      <c r="E72" s="171" t="n"/>
      <c r="F72" s="147" t="n"/>
      <c r="G72" s="147" t="n"/>
      <c r="H72" s="171" t="n"/>
      <c r="I72" s="171" t="n"/>
      <c r="J72" s="172" t="n"/>
      <c r="K72" s="147" t="n"/>
      <c r="L72" s="171" t="n"/>
      <c r="M72" s="173" t="n"/>
      <c r="N72" s="147" t="n"/>
      <c r="O72" s="147" t="n"/>
      <c r="P72" s="171" t="n"/>
      <c r="Q72" s="172" t="n"/>
      <c r="R72" s="147" t="n"/>
      <c r="S72" s="147" t="n"/>
      <c r="T72" s="171" t="n"/>
      <c r="AA72">
        <f>Charts!A72</f>
        <v/>
      </c>
      <c r="AB72">
        <f>Charts!B72</f>
        <v/>
      </c>
      <c r="AD72">
        <f>Charts!D72</f>
        <v/>
      </c>
      <c r="AE72">
        <f>Charts!E72</f>
        <v/>
      </c>
      <c r="AG72">
        <f>Charts!G72</f>
        <v/>
      </c>
      <c r="AJ72">
        <f>Charts!J72</f>
        <v/>
      </c>
      <c r="AL72">
        <f>Charts!L72</f>
        <v/>
      </c>
      <c r="AM72">
        <f>Charts!M72</f>
        <v/>
      </c>
      <c r="AP72">
        <f>Charts!P72</f>
        <v/>
      </c>
      <c r="AQ72">
        <f>Charts!Q72</f>
        <v/>
      </c>
      <c r="AS72">
        <f>Charts!S72</f>
        <v/>
      </c>
      <c r="AT72">
        <f>Charts!T72</f>
        <v/>
      </c>
    </row>
    <row r="73">
      <c r="A73" s="147" t="n"/>
      <c r="B73" s="171" t="n"/>
      <c r="C73" s="147" t="n"/>
      <c r="D73" s="147" t="n"/>
      <c r="E73" s="171" t="n"/>
      <c r="F73" s="147" t="n"/>
      <c r="G73" s="147" t="n"/>
      <c r="H73" s="171" t="n"/>
      <c r="I73" s="171" t="n"/>
      <c r="J73" s="172" t="n"/>
      <c r="K73" s="147" t="n"/>
      <c r="L73" s="171" t="n"/>
      <c r="M73" s="173" t="n"/>
      <c r="N73" s="147" t="n"/>
      <c r="O73" s="147" t="n"/>
      <c r="P73" s="171" t="n"/>
      <c r="Q73" s="172" t="n"/>
      <c r="R73" s="147" t="n"/>
      <c r="S73" s="147" t="n"/>
      <c r="T73" s="171" t="n"/>
      <c r="AA73">
        <f>Charts!A73</f>
        <v/>
      </c>
      <c r="AB73">
        <f>Charts!B73</f>
        <v/>
      </c>
      <c r="AD73">
        <f>Charts!D73</f>
        <v/>
      </c>
      <c r="AE73">
        <f>Charts!E73</f>
        <v/>
      </c>
      <c r="AG73">
        <f>Charts!G73</f>
        <v/>
      </c>
      <c r="AJ73">
        <f>Charts!J73</f>
        <v/>
      </c>
      <c r="AL73">
        <f>Charts!L73</f>
        <v/>
      </c>
      <c r="AM73">
        <f>Charts!M73</f>
        <v/>
      </c>
      <c r="AP73">
        <f>Charts!P73</f>
        <v/>
      </c>
      <c r="AQ73">
        <f>Charts!Q73</f>
        <v/>
      </c>
      <c r="AS73">
        <f>Charts!S73</f>
        <v/>
      </c>
      <c r="AT73">
        <f>Charts!T73</f>
        <v/>
      </c>
    </row>
    <row r="74">
      <c r="A74" s="147" t="n"/>
      <c r="B74" s="171" t="n"/>
      <c r="C74" s="147" t="n"/>
      <c r="D74" s="147" t="n"/>
      <c r="E74" s="171" t="n"/>
      <c r="F74" s="147" t="n"/>
      <c r="G74" s="147" t="n"/>
      <c r="H74" s="171" t="n"/>
      <c r="I74" s="171" t="n"/>
      <c r="J74" s="172" t="n"/>
      <c r="K74" s="147" t="n"/>
      <c r="L74" s="171" t="n"/>
      <c r="M74" s="173" t="n"/>
      <c r="N74" s="147" t="n"/>
      <c r="O74" s="147" t="n"/>
      <c r="P74" s="171" t="n"/>
      <c r="Q74" s="172" t="n"/>
      <c r="R74" s="147" t="n"/>
      <c r="S74" s="147" t="n"/>
      <c r="T74" s="171" t="n"/>
      <c r="AA74">
        <f>Charts!A74</f>
        <v/>
      </c>
      <c r="AB74">
        <f>Charts!B74</f>
        <v/>
      </c>
      <c r="AD74">
        <f>Charts!D74</f>
        <v/>
      </c>
      <c r="AE74">
        <f>Charts!E74</f>
        <v/>
      </c>
      <c r="AG74">
        <f>Charts!G74</f>
        <v/>
      </c>
      <c r="AJ74">
        <f>Charts!J74</f>
        <v/>
      </c>
      <c r="AL74">
        <f>Charts!L74</f>
        <v/>
      </c>
      <c r="AM74">
        <f>Charts!M74</f>
        <v/>
      </c>
      <c r="AP74">
        <f>Charts!P74</f>
        <v/>
      </c>
      <c r="AQ74">
        <f>Charts!Q74</f>
        <v/>
      </c>
      <c r="AS74">
        <f>Charts!S74</f>
        <v/>
      </c>
      <c r="AT74">
        <f>Charts!T74</f>
        <v/>
      </c>
    </row>
    <row r="75">
      <c r="A75" s="147" t="n"/>
      <c r="B75" s="171" t="n"/>
      <c r="C75" s="147" t="n"/>
      <c r="D75" s="147" t="n"/>
      <c r="E75" s="171" t="n"/>
      <c r="F75" s="147" t="n"/>
      <c r="G75" s="147" t="n"/>
      <c r="H75" s="171" t="n"/>
      <c r="I75" s="171" t="n"/>
      <c r="J75" s="172" t="n"/>
      <c r="K75" s="147" t="n"/>
      <c r="L75" s="171" t="n"/>
      <c r="M75" s="173" t="n"/>
      <c r="N75" s="147" t="n"/>
      <c r="O75" s="147" t="n"/>
      <c r="P75" s="171" t="n"/>
      <c r="Q75" s="172" t="n"/>
      <c r="R75" s="147" t="n"/>
      <c r="S75" s="147" t="n"/>
      <c r="T75" s="171" t="n"/>
      <c r="AA75">
        <f>Charts!A75</f>
        <v/>
      </c>
      <c r="AB75">
        <f>Charts!B75</f>
        <v/>
      </c>
      <c r="AD75">
        <f>Charts!D75</f>
        <v/>
      </c>
      <c r="AE75">
        <f>Charts!E75</f>
        <v/>
      </c>
      <c r="AG75">
        <f>Charts!G75</f>
        <v/>
      </c>
      <c r="AJ75">
        <f>Charts!J75</f>
        <v/>
      </c>
      <c r="AL75">
        <f>Charts!L75</f>
        <v/>
      </c>
      <c r="AM75">
        <f>Charts!M75</f>
        <v/>
      </c>
      <c r="AP75">
        <f>Charts!P75</f>
        <v/>
      </c>
      <c r="AQ75">
        <f>Charts!Q75</f>
        <v/>
      </c>
      <c r="AS75">
        <f>Charts!S75</f>
        <v/>
      </c>
      <c r="AT75">
        <f>Charts!T75</f>
        <v/>
      </c>
    </row>
    <row r="76">
      <c r="A76" s="147" t="n"/>
      <c r="B76" s="171" t="n"/>
      <c r="C76" s="147" t="n"/>
      <c r="D76" s="147" t="n"/>
      <c r="E76" s="171" t="n"/>
      <c r="F76" s="147" t="n"/>
      <c r="G76" s="147" t="n"/>
      <c r="H76" s="171" t="n"/>
      <c r="I76" s="171" t="n"/>
      <c r="J76" s="172" t="n"/>
      <c r="K76" s="147" t="n"/>
      <c r="L76" s="171" t="n"/>
      <c r="M76" s="173" t="n"/>
      <c r="N76" s="147" t="n"/>
      <c r="O76" s="147" t="n"/>
      <c r="P76" s="171" t="n"/>
      <c r="Q76" s="172" t="n"/>
      <c r="R76" s="147" t="n"/>
      <c r="S76" s="147" t="n"/>
      <c r="T76" s="171" t="n"/>
      <c r="AA76">
        <f>Charts!A76</f>
        <v/>
      </c>
      <c r="AB76">
        <f>Charts!B76</f>
        <v/>
      </c>
      <c r="AD76">
        <f>Charts!D76</f>
        <v/>
      </c>
      <c r="AE76">
        <f>Charts!E76</f>
        <v/>
      </c>
      <c r="AG76">
        <f>Charts!G76</f>
        <v/>
      </c>
      <c r="AJ76">
        <f>Charts!J76</f>
        <v/>
      </c>
      <c r="AL76">
        <f>Charts!L76</f>
        <v/>
      </c>
      <c r="AM76">
        <f>Charts!M76</f>
        <v/>
      </c>
      <c r="AP76">
        <f>Charts!P76</f>
        <v/>
      </c>
      <c r="AQ76">
        <f>Charts!Q76</f>
        <v/>
      </c>
      <c r="AS76">
        <f>Charts!S76</f>
        <v/>
      </c>
      <c r="AT76">
        <f>Charts!T76</f>
        <v/>
      </c>
    </row>
    <row r="77">
      <c r="A77" s="147" t="n"/>
      <c r="B77" s="171" t="n"/>
      <c r="C77" s="147" t="n"/>
      <c r="D77" s="147" t="n"/>
      <c r="E77" s="171" t="n"/>
      <c r="F77" s="147" t="n"/>
      <c r="G77" s="147" t="n"/>
      <c r="H77" s="171" t="n"/>
      <c r="I77" s="171" t="n"/>
      <c r="J77" s="172" t="n"/>
      <c r="K77" s="147" t="n"/>
      <c r="L77" s="171" t="n"/>
      <c r="M77" s="173" t="n"/>
      <c r="N77" s="147" t="n"/>
      <c r="O77" s="147" t="n"/>
      <c r="P77" s="171" t="n"/>
      <c r="Q77" s="172" t="n"/>
      <c r="R77" s="147" t="n"/>
      <c r="S77" s="147" t="n"/>
      <c r="T77" s="171" t="n"/>
      <c r="AA77">
        <f>Charts!A77</f>
        <v/>
      </c>
      <c r="AB77">
        <f>Charts!B77</f>
        <v/>
      </c>
      <c r="AG77">
        <f>Charts!G77</f>
        <v/>
      </c>
      <c r="AJ77">
        <f>Charts!J77</f>
        <v/>
      </c>
      <c r="AL77">
        <f>Charts!L77</f>
        <v/>
      </c>
      <c r="AM77">
        <f>Charts!M77</f>
        <v/>
      </c>
      <c r="AP77">
        <f>Charts!P77</f>
        <v/>
      </c>
      <c r="AQ77">
        <f>Charts!Q77</f>
        <v/>
      </c>
      <c r="AS77">
        <f>Charts!S77</f>
        <v/>
      </c>
      <c r="AT77">
        <f>Charts!T77</f>
        <v/>
      </c>
    </row>
    <row r="78">
      <c r="A78" s="147" t="n"/>
      <c r="B78" s="171" t="n"/>
      <c r="C78" s="147" t="n"/>
      <c r="D78" s="147" t="n"/>
      <c r="E78" s="171" t="n"/>
      <c r="F78" s="147" t="n"/>
      <c r="G78" s="147" t="n"/>
      <c r="H78" s="171" t="n"/>
      <c r="I78" s="171" t="n"/>
      <c r="J78" s="172" t="n"/>
      <c r="K78" s="147" t="n"/>
      <c r="L78" s="171" t="n"/>
      <c r="M78" s="173" t="n"/>
      <c r="N78" s="147" t="n"/>
      <c r="O78" s="147" t="n"/>
      <c r="P78" s="171" t="n"/>
      <c r="Q78" s="172" t="n"/>
      <c r="R78" s="147" t="n"/>
      <c r="S78" s="147" t="n"/>
      <c r="T78" s="171" t="n"/>
      <c r="AG78">
        <f>Charts!G78</f>
        <v/>
      </c>
      <c r="AJ78">
        <f>Charts!J78</f>
        <v/>
      </c>
      <c r="AL78">
        <f>Charts!L78</f>
        <v/>
      </c>
      <c r="AM78">
        <f>Charts!M78</f>
        <v/>
      </c>
      <c r="AP78">
        <f>Charts!P78</f>
        <v/>
      </c>
      <c r="AQ78">
        <f>Charts!Q78</f>
        <v/>
      </c>
      <c r="AS78">
        <f>Charts!S78</f>
        <v/>
      </c>
      <c r="AT78">
        <f>Charts!T78</f>
        <v/>
      </c>
    </row>
    <row r="79">
      <c r="A79" s="147" t="n"/>
      <c r="B79" s="171" t="n"/>
      <c r="C79" s="147" t="n"/>
      <c r="D79" s="147" t="n"/>
      <c r="E79" s="171" t="n"/>
      <c r="F79" s="147" t="n"/>
      <c r="G79" s="147" t="n"/>
      <c r="H79" s="171" t="n"/>
      <c r="I79" s="171" t="n"/>
      <c r="J79" s="172" t="n"/>
      <c r="K79" s="147" t="n"/>
      <c r="L79" s="171" t="n"/>
      <c r="M79" s="173" t="n"/>
      <c r="N79" s="147" t="n"/>
      <c r="O79" s="147" t="n"/>
      <c r="P79" s="171" t="n"/>
      <c r="Q79" s="172" t="n"/>
      <c r="R79" s="147" t="n"/>
      <c r="S79" s="147" t="n"/>
      <c r="T79" s="171" t="n"/>
      <c r="AG79">
        <f>Charts!G79</f>
        <v/>
      </c>
      <c r="AJ79">
        <f>Charts!J79</f>
        <v/>
      </c>
      <c r="AL79">
        <f>Charts!L79</f>
        <v/>
      </c>
      <c r="AM79">
        <f>Charts!M79</f>
        <v/>
      </c>
      <c r="AP79">
        <f>Charts!P79</f>
        <v/>
      </c>
      <c r="AQ79">
        <f>Charts!Q79</f>
        <v/>
      </c>
      <c r="AS79">
        <f>Charts!S79</f>
        <v/>
      </c>
      <c r="AT79">
        <f>Charts!T79</f>
        <v/>
      </c>
    </row>
    <row r="80">
      <c r="A80" s="147" t="n"/>
      <c r="B80" s="171" t="n"/>
      <c r="C80" s="147" t="n"/>
      <c r="D80" s="147" t="n"/>
      <c r="E80" s="171" t="n"/>
      <c r="F80" s="147" t="n"/>
      <c r="G80" s="147" t="n"/>
      <c r="H80" s="171" t="n"/>
      <c r="I80" s="171" t="n"/>
      <c r="J80" s="172" t="n"/>
      <c r="K80" s="147" t="n"/>
      <c r="L80" s="171" t="n"/>
      <c r="M80" s="173" t="n"/>
      <c r="N80" s="147" t="n"/>
      <c r="O80" s="147" t="n"/>
      <c r="P80" s="171" t="n"/>
      <c r="Q80" s="172" t="n"/>
      <c r="R80" s="147" t="n"/>
      <c r="S80" s="147" t="n"/>
      <c r="T80" s="171" t="n"/>
      <c r="AG80">
        <f>Charts!G80</f>
        <v/>
      </c>
      <c r="AJ80">
        <f>Charts!J80</f>
        <v/>
      </c>
      <c r="AL80">
        <f>Charts!L80</f>
        <v/>
      </c>
      <c r="AM80">
        <f>Charts!M80</f>
        <v/>
      </c>
      <c r="AP80">
        <f>Charts!P80</f>
        <v/>
      </c>
      <c r="AQ80">
        <f>Charts!Q80</f>
        <v/>
      </c>
    </row>
    <row r="81">
      <c r="A81" s="147" t="n"/>
      <c r="B81" s="171" t="n"/>
      <c r="C81" s="147" t="n"/>
      <c r="D81" s="147" t="n"/>
      <c r="E81" s="171" t="n"/>
      <c r="F81" s="147" t="n"/>
      <c r="G81" s="147" t="n"/>
      <c r="H81" s="171" t="n"/>
      <c r="I81" s="171" t="n"/>
      <c r="J81" s="172" t="n"/>
      <c r="K81" s="147" t="n"/>
      <c r="L81" s="171" t="n"/>
      <c r="M81" s="173" t="n"/>
      <c r="N81" s="147" t="n"/>
      <c r="O81" s="147" t="n"/>
      <c r="P81" s="171" t="n"/>
      <c r="Q81" s="172" t="n"/>
      <c r="R81" s="147" t="n"/>
      <c r="S81" s="147" t="n"/>
      <c r="T81" s="171" t="n"/>
      <c r="AG81">
        <f>Charts!G81</f>
        <v/>
      </c>
      <c r="AJ81">
        <f>Charts!J81</f>
        <v/>
      </c>
      <c r="AL81">
        <f>Charts!L81</f>
        <v/>
      </c>
      <c r="AM81">
        <f>Charts!M81</f>
        <v/>
      </c>
      <c r="AP81">
        <f>Charts!P81</f>
        <v/>
      </c>
      <c r="AQ81">
        <f>Charts!Q81</f>
        <v/>
      </c>
    </row>
    <row r="82">
      <c r="A82" s="147" t="n"/>
      <c r="B82" s="171" t="n"/>
      <c r="C82" s="147" t="n"/>
      <c r="D82" s="147" t="n"/>
      <c r="E82" s="171" t="n"/>
      <c r="F82" s="147" t="n"/>
      <c r="G82" s="147" t="n"/>
      <c r="H82" s="171" t="n"/>
      <c r="I82" s="171" t="n"/>
      <c r="J82" s="172" t="n"/>
      <c r="K82" s="147" t="n"/>
      <c r="L82" s="171" t="n"/>
      <c r="M82" s="173" t="n"/>
      <c r="N82" s="147" t="n"/>
      <c r="O82" s="147" t="n"/>
      <c r="P82" s="171" t="n"/>
      <c r="Q82" s="172" t="n"/>
      <c r="R82" s="147" t="n"/>
      <c r="S82" s="147" t="n"/>
      <c r="T82" s="171" t="n"/>
      <c r="AG82">
        <f>Charts!G82</f>
        <v/>
      </c>
      <c r="AJ82">
        <f>Charts!J82</f>
        <v/>
      </c>
      <c r="AL82">
        <f>Charts!L82</f>
        <v/>
      </c>
      <c r="AM82">
        <f>Charts!M82</f>
        <v/>
      </c>
      <c r="AP82">
        <f>Charts!P82</f>
        <v/>
      </c>
      <c r="AQ82">
        <f>Charts!Q82</f>
        <v/>
      </c>
    </row>
    <row r="83">
      <c r="A83" s="147" t="n"/>
      <c r="B83" s="171" t="n"/>
      <c r="C83" s="147" t="n"/>
      <c r="D83" s="147" t="n"/>
      <c r="E83" s="171" t="n"/>
      <c r="F83" s="147" t="n"/>
      <c r="G83" s="147" t="n"/>
      <c r="H83" s="171" t="n"/>
      <c r="I83" s="171" t="n"/>
      <c r="J83" s="172" t="n"/>
      <c r="K83" s="147" t="n"/>
      <c r="L83" s="171" t="n"/>
      <c r="M83" s="173" t="n"/>
      <c r="N83" s="147" t="n"/>
      <c r="O83" s="147" t="n"/>
      <c r="P83" s="171" t="n"/>
      <c r="Q83" s="172" t="n"/>
      <c r="R83" s="147" t="n"/>
      <c r="S83" s="147" t="n"/>
      <c r="T83" s="171" t="n"/>
      <c r="AG83">
        <f>Charts!G83</f>
        <v/>
      </c>
      <c r="AJ83">
        <f>Charts!J83</f>
        <v/>
      </c>
      <c r="AL83">
        <f>Charts!L83</f>
        <v/>
      </c>
      <c r="AM83">
        <f>Charts!M83</f>
        <v/>
      </c>
      <c r="AP83">
        <f>Charts!P83</f>
        <v/>
      </c>
      <c r="AQ83">
        <f>Charts!Q83</f>
        <v/>
      </c>
    </row>
    <row r="84">
      <c r="A84" s="147" t="n"/>
      <c r="B84" s="171" t="n"/>
      <c r="C84" s="147" t="n"/>
      <c r="D84" s="147" t="n"/>
      <c r="E84" s="171" t="n"/>
      <c r="F84" s="147" t="n"/>
      <c r="G84" s="147" t="n"/>
      <c r="H84" s="171" t="n"/>
      <c r="I84" s="171" t="n"/>
      <c r="J84" s="172" t="n"/>
      <c r="K84" s="147" t="n"/>
      <c r="L84" s="171" t="n"/>
      <c r="M84" s="173" t="n"/>
      <c r="N84" s="147" t="n"/>
      <c r="O84" s="147" t="n"/>
      <c r="P84" s="171" t="n"/>
      <c r="Q84" s="172" t="n"/>
      <c r="R84" s="147" t="n"/>
      <c r="S84" s="147" t="n"/>
      <c r="T84" s="171" t="n"/>
      <c r="AG84">
        <f>Charts!G84</f>
        <v/>
      </c>
      <c r="AJ84">
        <f>Charts!J84</f>
        <v/>
      </c>
      <c r="AL84">
        <f>Charts!L84</f>
        <v/>
      </c>
      <c r="AM84">
        <f>Charts!M84</f>
        <v/>
      </c>
      <c r="AP84">
        <f>Charts!P84</f>
        <v/>
      </c>
      <c r="AQ84">
        <f>Charts!Q84</f>
        <v/>
      </c>
    </row>
    <row r="85">
      <c r="A85" s="147" t="n"/>
      <c r="B85" s="171" t="n"/>
      <c r="C85" s="147" t="n"/>
      <c r="D85" s="147" t="n"/>
      <c r="E85" s="171" t="n"/>
      <c r="F85" s="147" t="n"/>
      <c r="G85" s="147" t="n"/>
      <c r="H85" s="171" t="n"/>
      <c r="I85" s="171" t="n"/>
      <c r="J85" s="172" t="n"/>
      <c r="K85" s="147" t="n"/>
      <c r="L85" s="171" t="n"/>
      <c r="M85" s="173" t="n"/>
      <c r="N85" s="147" t="n"/>
      <c r="O85" s="147" t="n"/>
      <c r="P85" s="171" t="n"/>
      <c r="Q85" s="172" t="n"/>
      <c r="R85" s="147" t="n"/>
      <c r="S85" s="147" t="n"/>
      <c r="T85" s="171" t="n"/>
      <c r="AG85">
        <f>Charts!G85</f>
        <v/>
      </c>
      <c r="AJ85">
        <f>Charts!J85</f>
        <v/>
      </c>
      <c r="AL85">
        <f>Charts!L85</f>
        <v/>
      </c>
      <c r="AM85">
        <f>Charts!M85</f>
        <v/>
      </c>
      <c r="AP85">
        <f>Charts!P85</f>
        <v/>
      </c>
      <c r="AQ85">
        <f>Charts!Q85</f>
        <v/>
      </c>
    </row>
    <row r="86">
      <c r="A86" s="147" t="n"/>
      <c r="B86" s="171" t="n"/>
      <c r="C86" s="147" t="n"/>
      <c r="D86" s="147" t="n"/>
      <c r="E86" s="171" t="n"/>
      <c r="F86" s="147" t="n"/>
      <c r="G86" s="147" t="n"/>
      <c r="H86" s="171" t="n"/>
      <c r="I86" s="171" t="n"/>
      <c r="J86" s="172" t="n"/>
      <c r="K86" s="147" t="n"/>
      <c r="L86" s="171" t="n"/>
      <c r="M86" s="173" t="n"/>
      <c r="N86" s="147" t="n"/>
      <c r="O86" s="147" t="n"/>
      <c r="P86" s="171" t="n"/>
      <c r="Q86" s="172" t="n"/>
      <c r="R86" s="147" t="n"/>
      <c r="S86" s="147" t="n"/>
      <c r="T86" s="171" t="n"/>
      <c r="AG86">
        <f>Charts!G86</f>
        <v/>
      </c>
      <c r="AJ86">
        <f>Charts!J86</f>
        <v/>
      </c>
      <c r="AL86">
        <f>Charts!L86</f>
        <v/>
      </c>
      <c r="AM86">
        <f>Charts!M86</f>
        <v/>
      </c>
      <c r="AP86">
        <f>Charts!P86</f>
        <v/>
      </c>
      <c r="AQ86">
        <f>Charts!Q86</f>
        <v/>
      </c>
    </row>
    <row r="87">
      <c r="A87" s="147" t="n"/>
      <c r="B87" s="171" t="n"/>
      <c r="C87" s="147" t="n"/>
      <c r="D87" s="147" t="n"/>
      <c r="E87" s="171" t="n"/>
      <c r="F87" s="147" t="n"/>
      <c r="G87" s="147" t="n"/>
      <c r="H87" s="171" t="n"/>
      <c r="I87" s="171" t="n"/>
      <c r="J87" s="172" t="n"/>
      <c r="K87" s="147" t="n"/>
      <c r="L87" s="171" t="n"/>
      <c r="M87" s="173" t="n"/>
      <c r="N87" s="147" t="n"/>
      <c r="O87" s="147" t="n"/>
      <c r="P87" s="171" t="n"/>
      <c r="Q87" s="172" t="n"/>
      <c r="R87" s="147" t="n"/>
      <c r="S87" s="147" t="n"/>
      <c r="T87" s="171" t="n"/>
      <c r="AG87">
        <f>Charts!G87</f>
        <v/>
      </c>
      <c r="AJ87">
        <f>Charts!J87</f>
        <v/>
      </c>
      <c r="AL87">
        <f>Charts!L87</f>
        <v/>
      </c>
      <c r="AM87">
        <f>Charts!M87</f>
        <v/>
      </c>
      <c r="AP87">
        <f>Charts!P87</f>
        <v/>
      </c>
      <c r="AQ87">
        <f>Charts!Q87</f>
        <v/>
      </c>
    </row>
    <row r="88">
      <c r="A88" s="147" t="n"/>
      <c r="B88" s="171" t="n"/>
      <c r="C88" s="147" t="n"/>
      <c r="D88" s="147" t="n"/>
      <c r="E88" s="171" t="n"/>
      <c r="F88" s="147" t="n"/>
      <c r="G88" s="147" t="n"/>
      <c r="H88" s="171" t="n"/>
      <c r="I88" s="171" t="n"/>
      <c r="J88" s="172" t="n"/>
      <c r="K88" s="147" t="n"/>
      <c r="L88" s="171" t="n"/>
      <c r="M88" s="173" t="n"/>
      <c r="N88" s="147" t="n"/>
      <c r="O88" s="147" t="n"/>
      <c r="P88" s="171" t="n"/>
      <c r="Q88" s="172" t="n"/>
      <c r="R88" s="147" t="n"/>
      <c r="S88" s="147" t="n"/>
      <c r="T88" s="171" t="n"/>
      <c r="AG88">
        <f>Charts!G88</f>
        <v/>
      </c>
      <c r="AJ88">
        <f>Charts!J88</f>
        <v/>
      </c>
      <c r="AL88">
        <f>Charts!L88</f>
        <v/>
      </c>
      <c r="AM88">
        <f>Charts!M88</f>
        <v/>
      </c>
      <c r="AP88">
        <f>Charts!P88</f>
        <v/>
      </c>
      <c r="AQ88">
        <f>Charts!Q88</f>
        <v/>
      </c>
    </row>
    <row r="89">
      <c r="A89" s="147" t="n"/>
      <c r="B89" s="171" t="n"/>
      <c r="C89" s="147" t="n"/>
      <c r="D89" s="147" t="n"/>
      <c r="E89" s="171" t="n"/>
      <c r="F89" s="147" t="n"/>
      <c r="G89" s="147" t="n"/>
      <c r="H89" s="171" t="n"/>
      <c r="I89" s="171" t="n"/>
      <c r="J89" s="172" t="n"/>
      <c r="K89" s="147" t="n"/>
      <c r="L89" s="171" t="n"/>
      <c r="M89" s="147" t="n"/>
      <c r="N89" s="147" t="n"/>
      <c r="O89" s="147" t="n"/>
      <c r="P89" s="171" t="n"/>
      <c r="Q89" s="172" t="n"/>
      <c r="R89" s="147" t="n"/>
      <c r="S89" s="147" t="n"/>
      <c r="T89" s="171" t="n"/>
      <c r="AG89">
        <f>Charts!G89</f>
        <v/>
      </c>
      <c r="AJ89">
        <f>Charts!J89</f>
        <v/>
      </c>
      <c r="AP89">
        <f>Charts!P89</f>
        <v/>
      </c>
      <c r="AQ89">
        <f>Charts!Q89</f>
        <v/>
      </c>
    </row>
    <row r="90">
      <c r="A90" s="147" t="n"/>
      <c r="B90" s="171" t="n"/>
      <c r="C90" s="147" t="n"/>
      <c r="D90" s="147" t="n"/>
      <c r="E90" s="171" t="n"/>
      <c r="F90" s="147" t="n"/>
      <c r="G90" s="147" t="n"/>
      <c r="H90" s="171" t="n"/>
      <c r="I90" s="171" t="n"/>
      <c r="J90" s="172" t="n"/>
      <c r="K90" s="147" t="n"/>
      <c r="L90" s="171" t="n"/>
      <c r="M90" s="147" t="n"/>
      <c r="N90" s="147" t="n"/>
      <c r="O90" s="147" t="n"/>
      <c r="P90" s="171" t="n"/>
      <c r="Q90" s="172" t="n"/>
      <c r="R90" s="147" t="n"/>
      <c r="S90" s="147" t="n"/>
      <c r="T90" s="171" t="n"/>
      <c r="AG90">
        <f>Charts!G90</f>
        <v/>
      </c>
      <c r="AJ90">
        <f>Charts!J90</f>
        <v/>
      </c>
      <c r="AP90">
        <f>Charts!P90</f>
        <v/>
      </c>
      <c r="AQ90">
        <f>Charts!Q90</f>
        <v/>
      </c>
    </row>
    <row r="91">
      <c r="A91" s="147" t="n"/>
      <c r="B91" s="171" t="n"/>
      <c r="C91" s="147" t="n"/>
      <c r="D91" s="147" t="n"/>
      <c r="E91" s="171" t="n"/>
      <c r="F91" s="147" t="n"/>
      <c r="G91" s="147" t="n"/>
      <c r="H91" s="171" t="n"/>
      <c r="I91" s="171" t="n"/>
      <c r="J91" s="172" t="n"/>
      <c r="K91" s="147" t="n"/>
      <c r="L91" s="171" t="n"/>
      <c r="M91" s="147" t="n"/>
      <c r="N91" s="147" t="n"/>
      <c r="O91" s="147" t="n"/>
      <c r="P91" s="171" t="n"/>
      <c r="Q91" s="172" t="n"/>
      <c r="R91" s="147" t="n"/>
      <c r="S91" s="147" t="n"/>
      <c r="T91" s="171" t="n"/>
      <c r="AG91">
        <f>Charts!G91</f>
        <v/>
      </c>
      <c r="AJ91">
        <f>Charts!J91</f>
        <v/>
      </c>
      <c r="AP91">
        <f>Charts!P91</f>
        <v/>
      </c>
      <c r="AQ91">
        <f>Charts!Q91</f>
        <v/>
      </c>
    </row>
    <row r="92">
      <c r="A92" s="147" t="n"/>
      <c r="B92" s="171" t="n"/>
      <c r="C92" s="147" t="n"/>
      <c r="D92" s="147" t="n"/>
      <c r="E92" s="171" t="n"/>
      <c r="F92" s="147" t="n"/>
      <c r="G92" s="147" t="n"/>
      <c r="H92" s="171" t="n"/>
      <c r="I92" s="171" t="n"/>
      <c r="J92" s="172" t="n"/>
      <c r="K92" s="147" t="n"/>
      <c r="L92" s="171" t="n"/>
      <c r="M92" s="147" t="n"/>
      <c r="N92" s="147" t="n"/>
      <c r="O92" s="147" t="n"/>
      <c r="P92" s="171" t="n"/>
      <c r="Q92" s="172" t="n"/>
      <c r="R92" s="147" t="n"/>
      <c r="S92" s="147" t="n"/>
      <c r="T92" s="171" t="n"/>
      <c r="AG92">
        <f>Charts!G92</f>
        <v/>
      </c>
      <c r="AJ92">
        <f>Charts!J92</f>
        <v/>
      </c>
      <c r="AP92">
        <f>Charts!P92</f>
        <v/>
      </c>
      <c r="AQ92">
        <f>Charts!Q92</f>
        <v/>
      </c>
    </row>
    <row r="93">
      <c r="A93" s="147" t="n"/>
      <c r="B93" s="171" t="n"/>
      <c r="C93" s="147" t="n"/>
      <c r="D93" s="147" t="n"/>
      <c r="E93" s="171" t="n"/>
      <c r="F93" s="147" t="n"/>
      <c r="G93" s="147" t="n"/>
      <c r="H93" s="171" t="n"/>
      <c r="I93" s="171" t="n"/>
      <c r="J93" s="172" t="n"/>
      <c r="K93" s="147" t="n"/>
      <c r="L93" s="171" t="n"/>
      <c r="M93" s="147" t="n"/>
      <c r="N93" s="147" t="n"/>
      <c r="O93" s="147" t="n"/>
      <c r="P93" s="171" t="n"/>
      <c r="Q93" s="172" t="n"/>
      <c r="R93" s="147" t="n"/>
      <c r="S93" s="147" t="n"/>
      <c r="T93" s="171" t="n"/>
      <c r="AG93">
        <f>Charts!G93</f>
        <v/>
      </c>
      <c r="AJ93">
        <f>Charts!J93</f>
        <v/>
      </c>
      <c r="AP93">
        <f>Charts!P93</f>
        <v/>
      </c>
      <c r="AQ93">
        <f>Charts!Q93</f>
        <v/>
      </c>
    </row>
    <row r="94">
      <c r="A94" s="147" t="n"/>
      <c r="B94" s="171" t="n"/>
      <c r="C94" s="147" t="n"/>
      <c r="D94" s="147" t="n"/>
      <c r="E94" s="171" t="n"/>
      <c r="F94" s="147" t="n"/>
      <c r="G94" s="147" t="n"/>
      <c r="H94" s="171" t="n"/>
      <c r="I94" s="171" t="n"/>
      <c r="J94" s="172" t="n"/>
      <c r="K94" s="147" t="n"/>
      <c r="L94" s="171" t="n"/>
      <c r="M94" s="147" t="n"/>
      <c r="N94" s="147" t="n"/>
      <c r="O94" s="147" t="n"/>
      <c r="P94" s="171" t="n"/>
      <c r="Q94" s="172" t="n"/>
      <c r="R94" s="147" t="n"/>
      <c r="S94" s="147" t="n"/>
      <c r="T94" s="171" t="n"/>
      <c r="AG94">
        <f>Charts!G94</f>
        <v/>
      </c>
      <c r="AJ94">
        <f>Charts!J94</f>
        <v/>
      </c>
      <c r="AP94">
        <f>Charts!P94</f>
        <v/>
      </c>
      <c r="AQ94">
        <f>Charts!Q94</f>
        <v/>
      </c>
    </row>
    <row r="95">
      <c r="A95" s="147" t="n"/>
      <c r="B95" s="171" t="n"/>
      <c r="C95" s="147" t="n"/>
      <c r="D95" s="147" t="n"/>
      <c r="E95" s="171" t="n"/>
      <c r="F95" s="147" t="n"/>
      <c r="G95" s="147" t="n"/>
      <c r="H95" s="171" t="n"/>
      <c r="I95" s="171" t="n"/>
      <c r="J95" s="172" t="n"/>
      <c r="K95" s="147" t="n"/>
      <c r="L95" s="171" t="n"/>
      <c r="M95" s="147" t="n"/>
      <c r="N95" s="147" t="n"/>
      <c r="O95" s="147" t="n"/>
      <c r="P95" s="171" t="n"/>
      <c r="Q95" s="172" t="n"/>
      <c r="R95" s="147" t="n"/>
      <c r="S95" s="147" t="n"/>
      <c r="T95" s="171" t="n"/>
      <c r="AG95">
        <f>Charts!G95</f>
        <v/>
      </c>
      <c r="AJ95">
        <f>Charts!J95</f>
        <v/>
      </c>
      <c r="AP95">
        <f>Charts!P95</f>
        <v/>
      </c>
      <c r="AQ95">
        <f>Charts!Q95</f>
        <v/>
      </c>
    </row>
    <row r="96">
      <c r="A96" s="147" t="n"/>
      <c r="B96" s="171" t="n"/>
      <c r="C96" s="147" t="n"/>
      <c r="D96" s="147" t="n"/>
      <c r="E96" s="171" t="n"/>
      <c r="F96" s="147" t="n"/>
      <c r="G96" s="147" t="n"/>
      <c r="H96" s="171" t="n"/>
      <c r="I96" s="171" t="n"/>
      <c r="J96" s="172" t="n"/>
      <c r="K96" s="147" t="n"/>
      <c r="L96" s="171" t="n"/>
      <c r="M96" s="147" t="n"/>
      <c r="N96" s="147" t="n"/>
      <c r="O96" s="147" t="n"/>
      <c r="P96" s="171" t="n"/>
      <c r="Q96" s="172" t="n"/>
      <c r="R96" s="147" t="n"/>
      <c r="S96" s="147" t="n"/>
      <c r="T96" s="171" t="n"/>
      <c r="AG96">
        <f>Charts!G96</f>
        <v/>
      </c>
      <c r="AJ96">
        <f>Charts!J96</f>
        <v/>
      </c>
      <c r="AP96">
        <f>Charts!P96</f>
        <v/>
      </c>
      <c r="AQ96">
        <f>Charts!Q96</f>
        <v/>
      </c>
    </row>
    <row r="97">
      <c r="A97" s="147" t="n"/>
      <c r="B97" s="171" t="n"/>
      <c r="C97" s="147" t="n"/>
      <c r="D97" s="147" t="n"/>
      <c r="E97" s="171" t="n"/>
      <c r="F97" s="147" t="n"/>
      <c r="G97" s="147" t="n"/>
      <c r="H97" s="171" t="n"/>
      <c r="I97" s="171" t="n"/>
      <c r="J97" s="172" t="n"/>
      <c r="K97" s="147" t="n"/>
      <c r="L97" s="171" t="n"/>
      <c r="M97" s="147" t="n"/>
      <c r="N97" s="147" t="n"/>
      <c r="O97" s="147" t="n"/>
      <c r="P97" s="171" t="n"/>
      <c r="Q97" s="172" t="n"/>
      <c r="R97" s="147" t="n"/>
      <c r="S97" s="147" t="n"/>
      <c r="T97" s="171" t="n"/>
      <c r="AG97">
        <f>Charts!G97</f>
        <v/>
      </c>
      <c r="AJ97">
        <f>Charts!J97</f>
        <v/>
      </c>
      <c r="AP97">
        <f>Charts!P97</f>
        <v/>
      </c>
      <c r="AQ97">
        <f>Charts!Q97</f>
        <v/>
      </c>
    </row>
    <row r="98">
      <c r="A98" s="147" t="n"/>
      <c r="B98" s="171" t="n"/>
      <c r="C98" s="147" t="n"/>
      <c r="D98" s="147" t="n"/>
      <c r="E98" s="171" t="n"/>
      <c r="F98" s="147" t="n"/>
      <c r="G98" s="147" t="n"/>
      <c r="H98" s="171" t="n"/>
      <c r="I98" s="171" t="n"/>
      <c r="J98" s="172" t="n"/>
      <c r="K98" s="147" t="n"/>
      <c r="L98" s="171" t="n"/>
      <c r="M98" s="147" t="n"/>
      <c r="N98" s="147" t="n"/>
      <c r="O98" s="147" t="n"/>
      <c r="P98" s="171" t="n"/>
      <c r="Q98" s="172" t="n"/>
      <c r="R98" s="147" t="n"/>
      <c r="S98" s="147" t="n"/>
      <c r="T98" s="171" t="n"/>
      <c r="AG98">
        <f>Charts!G98</f>
        <v/>
      </c>
      <c r="AJ98">
        <f>Charts!J98</f>
        <v/>
      </c>
      <c r="AP98">
        <f>Charts!P98</f>
        <v/>
      </c>
      <c r="AQ98">
        <f>Charts!Q98</f>
        <v/>
      </c>
    </row>
    <row r="99">
      <c r="A99" s="147" t="n"/>
      <c r="B99" s="171" t="n"/>
      <c r="C99" s="147" t="n"/>
      <c r="D99" s="147" t="n"/>
      <c r="E99" s="171" t="n"/>
      <c r="F99" s="147" t="n"/>
      <c r="G99" s="147" t="n"/>
      <c r="H99" s="171" t="n"/>
      <c r="I99" s="171" t="n"/>
      <c r="J99" s="172" t="n"/>
      <c r="K99" s="147" t="n"/>
      <c r="L99" s="171" t="n"/>
      <c r="M99" s="147" t="n"/>
      <c r="N99" s="147" t="n"/>
      <c r="O99" s="147" t="n"/>
      <c r="P99" s="171" t="n"/>
      <c r="Q99" s="172" t="n"/>
      <c r="R99" s="147" t="n"/>
      <c r="S99" s="147" t="n"/>
      <c r="T99" s="171" t="n"/>
      <c r="AG99">
        <f>Charts!G99</f>
        <v/>
      </c>
      <c r="AJ99">
        <f>Charts!J99</f>
        <v/>
      </c>
      <c r="AP99">
        <f>Charts!P99</f>
        <v/>
      </c>
      <c r="AQ99">
        <f>Charts!Q99</f>
        <v/>
      </c>
    </row>
    <row r="100">
      <c r="A100" s="147" t="n"/>
      <c r="B100" s="171" t="n"/>
      <c r="C100" s="147" t="n"/>
      <c r="D100" s="147" t="n"/>
      <c r="E100" s="171" t="n"/>
      <c r="F100" s="147" t="n"/>
      <c r="G100" s="147" t="n"/>
      <c r="H100" s="171" t="n"/>
      <c r="I100" s="171" t="n"/>
      <c r="J100" s="172" t="n"/>
      <c r="K100" s="147" t="n"/>
      <c r="L100" s="171" t="n"/>
      <c r="M100" s="147" t="n"/>
      <c r="N100" s="147" t="n"/>
      <c r="O100" s="147" t="n"/>
      <c r="P100" s="171" t="n"/>
      <c r="Q100" s="172" t="n"/>
      <c r="R100" s="147" t="n"/>
      <c r="S100" s="147" t="n"/>
      <c r="T100" s="171" t="n"/>
      <c r="AG100">
        <f>Charts!G100</f>
        <v/>
      </c>
      <c r="AJ100">
        <f>Charts!J100</f>
        <v/>
      </c>
      <c r="AP100">
        <f>Charts!P100</f>
        <v/>
      </c>
      <c r="AQ100">
        <f>Charts!Q100</f>
        <v/>
      </c>
    </row>
    <row r="101">
      <c r="A101" s="147" t="n"/>
      <c r="B101" s="171" t="n"/>
      <c r="C101" s="147" t="n"/>
      <c r="D101" s="147" t="n"/>
      <c r="E101" s="171" t="n"/>
      <c r="F101" s="147" t="n"/>
      <c r="G101" s="147" t="n"/>
      <c r="H101" s="171" t="n"/>
      <c r="I101" s="171" t="n"/>
      <c r="J101" s="172" t="n"/>
      <c r="K101" s="147" t="n"/>
      <c r="L101" s="171" t="n"/>
      <c r="M101" s="147" t="n"/>
      <c r="N101" s="147" t="n"/>
      <c r="O101" s="147" t="n"/>
      <c r="P101" s="171" t="n"/>
      <c r="Q101" s="172" t="n"/>
      <c r="R101" s="147" t="n"/>
      <c r="S101" s="147" t="n"/>
      <c r="T101" s="171" t="n"/>
      <c r="AG101">
        <f>Charts!G101</f>
        <v/>
      </c>
      <c r="AJ101">
        <f>Charts!J101</f>
        <v/>
      </c>
      <c r="AP101">
        <f>Charts!P101</f>
        <v/>
      </c>
      <c r="AQ101">
        <f>Charts!Q101</f>
        <v/>
      </c>
    </row>
    <row r="102">
      <c r="A102" s="147" t="n"/>
      <c r="B102" s="171" t="n"/>
      <c r="C102" s="147" t="n"/>
      <c r="D102" s="147" t="n"/>
      <c r="E102" s="171" t="n"/>
      <c r="F102" s="147" t="n"/>
      <c r="G102" s="147" t="n"/>
      <c r="H102" s="171" t="n"/>
      <c r="I102" s="171" t="n"/>
      <c r="J102" s="172" t="n"/>
      <c r="K102" s="147" t="n"/>
      <c r="L102" s="171" t="n"/>
      <c r="M102" s="147" t="n"/>
      <c r="N102" s="147" t="n"/>
      <c r="O102" s="147" t="n"/>
      <c r="P102" s="171" t="n"/>
      <c r="Q102" s="172" t="n"/>
      <c r="R102" s="147" t="n"/>
      <c r="S102" s="147" t="n"/>
      <c r="T102" s="171" t="n"/>
      <c r="AG102">
        <f>Charts!G102</f>
        <v/>
      </c>
      <c r="AJ102">
        <f>Charts!J102</f>
        <v/>
      </c>
      <c r="AP102">
        <f>Charts!P102</f>
        <v/>
      </c>
      <c r="AQ102">
        <f>Charts!Q102</f>
        <v/>
      </c>
    </row>
    <row r="103">
      <c r="A103" s="147" t="n"/>
      <c r="B103" s="171" t="n"/>
      <c r="C103" s="147" t="n"/>
      <c r="D103" s="147" t="n"/>
      <c r="E103" s="171" t="n"/>
      <c r="F103" s="147" t="n"/>
      <c r="G103" s="147" t="n"/>
      <c r="H103" s="171" t="n"/>
      <c r="I103" s="171" t="n"/>
      <c r="J103" s="172" t="n"/>
      <c r="K103" s="147" t="n"/>
      <c r="L103" s="171" t="n"/>
      <c r="M103" s="147" t="n"/>
      <c r="N103" s="147" t="n"/>
      <c r="O103" s="147" t="n"/>
      <c r="P103" s="171" t="n"/>
      <c r="Q103" s="172" t="n"/>
      <c r="R103" s="147" t="n"/>
      <c r="S103" s="147" t="n"/>
      <c r="T103" s="171" t="n"/>
      <c r="AG103">
        <f>Charts!G103</f>
        <v/>
      </c>
      <c r="AJ103">
        <f>Charts!J103</f>
        <v/>
      </c>
      <c r="AP103">
        <f>Charts!P103</f>
        <v/>
      </c>
      <c r="AQ103">
        <f>Charts!Q103</f>
        <v/>
      </c>
    </row>
    <row r="104">
      <c r="A104" s="147" t="n"/>
      <c r="B104" s="171" t="n"/>
      <c r="C104" s="147" t="n"/>
      <c r="D104" s="147" t="n"/>
      <c r="E104" s="171" t="n"/>
      <c r="F104" s="147" t="n"/>
      <c r="G104" s="147" t="n"/>
      <c r="H104" s="171" t="n"/>
      <c r="I104" s="171" t="n"/>
      <c r="J104" s="172" t="n"/>
      <c r="K104" s="147" t="n"/>
      <c r="L104" s="171" t="n"/>
      <c r="M104" s="147" t="n"/>
      <c r="N104" s="147" t="n"/>
      <c r="O104" s="147" t="n"/>
      <c r="P104" s="171" t="n"/>
      <c r="Q104" s="172" t="n"/>
      <c r="R104" s="147" t="n"/>
      <c r="S104" s="147" t="n"/>
      <c r="T104" s="171" t="n"/>
      <c r="AG104">
        <f>Charts!G104</f>
        <v/>
      </c>
      <c r="AJ104">
        <f>Charts!J104</f>
        <v/>
      </c>
      <c r="AP104">
        <f>Charts!P104</f>
        <v/>
      </c>
      <c r="AQ104">
        <f>Charts!Q104</f>
        <v/>
      </c>
    </row>
    <row r="105">
      <c r="A105" s="147" t="n"/>
      <c r="B105" s="171" t="n"/>
      <c r="C105" s="147" t="n"/>
      <c r="D105" s="147" t="n"/>
      <c r="E105" s="171" t="n"/>
      <c r="F105" s="147" t="n"/>
      <c r="G105" s="147" t="n"/>
      <c r="H105" s="171" t="n"/>
      <c r="I105" s="171" t="n"/>
      <c r="J105" s="172" t="n"/>
      <c r="K105" s="147" t="n"/>
      <c r="L105" s="171" t="n"/>
      <c r="M105" s="147" t="n"/>
      <c r="N105" s="147" t="n"/>
      <c r="O105" s="147" t="n"/>
      <c r="P105" s="171" t="n"/>
      <c r="Q105" s="172" t="n"/>
      <c r="R105" s="147" t="n"/>
      <c r="S105" s="147" t="n"/>
      <c r="T105" s="171" t="n"/>
      <c r="AG105">
        <f>Charts!G105</f>
        <v/>
      </c>
      <c r="AJ105">
        <f>Charts!J105</f>
        <v/>
      </c>
      <c r="AP105">
        <f>Charts!P105</f>
        <v/>
      </c>
      <c r="AQ105">
        <f>Charts!Q105</f>
        <v/>
      </c>
    </row>
    <row r="106">
      <c r="A106" s="147" t="n"/>
      <c r="B106" s="171" t="n"/>
      <c r="C106" s="147" t="n"/>
      <c r="D106" s="147" t="n"/>
      <c r="E106" s="171" t="n"/>
      <c r="F106" s="147" t="n"/>
      <c r="G106" s="147" t="n"/>
      <c r="H106" s="171" t="n"/>
      <c r="I106" s="171" t="n"/>
      <c r="J106" s="172" t="n"/>
      <c r="K106" s="147" t="n"/>
      <c r="L106" s="171" t="n"/>
      <c r="M106" s="147" t="n"/>
      <c r="N106" s="147" t="n"/>
      <c r="O106" s="147" t="n"/>
      <c r="P106" s="171" t="n"/>
      <c r="Q106" s="172" t="n"/>
      <c r="R106" s="147" t="n"/>
      <c r="S106" s="147" t="n"/>
      <c r="T106" s="171" t="n"/>
      <c r="AG106">
        <f>Charts!G106</f>
        <v/>
      </c>
      <c r="AJ106">
        <f>Charts!J106</f>
        <v/>
      </c>
      <c r="AP106">
        <f>Charts!P106</f>
        <v/>
      </c>
      <c r="AQ106">
        <f>Charts!Q106</f>
        <v/>
      </c>
    </row>
    <row r="107">
      <c r="A107" s="147" t="n"/>
      <c r="B107" s="171" t="n"/>
      <c r="C107" s="147" t="n"/>
      <c r="D107" s="147" t="n"/>
      <c r="E107" s="171" t="n"/>
      <c r="F107" s="147" t="n"/>
      <c r="G107" s="147" t="n"/>
      <c r="H107" s="171" t="n"/>
      <c r="I107" s="171" t="n"/>
      <c r="J107" s="172" t="n"/>
      <c r="K107" s="147" t="n"/>
      <c r="L107" s="171" t="n"/>
      <c r="M107" s="147" t="n"/>
      <c r="N107" s="147" t="n"/>
      <c r="O107" s="147" t="n"/>
      <c r="P107" s="171" t="n"/>
      <c r="Q107" s="172" t="n"/>
      <c r="R107" s="147" t="n"/>
      <c r="S107" s="147" t="n"/>
      <c r="T107" s="171" t="n"/>
      <c r="AG107">
        <f>Charts!G107</f>
        <v/>
      </c>
      <c r="AJ107">
        <f>Charts!J107</f>
        <v/>
      </c>
      <c r="AP107">
        <f>Charts!P107</f>
        <v/>
      </c>
      <c r="AQ107">
        <f>Charts!Q107</f>
        <v/>
      </c>
    </row>
    <row r="108">
      <c r="A108" s="147" t="n"/>
      <c r="B108" s="171" t="n"/>
      <c r="C108" s="147" t="n"/>
      <c r="D108" s="147" t="n"/>
      <c r="E108" s="171" t="n"/>
      <c r="F108" s="147" t="n"/>
      <c r="G108" s="147" t="n"/>
      <c r="H108" s="171" t="n"/>
      <c r="I108" s="171" t="n"/>
      <c r="J108" s="172" t="n"/>
      <c r="K108" s="147" t="n"/>
      <c r="L108" s="171" t="n"/>
      <c r="M108" s="147" t="n"/>
      <c r="N108" s="147" t="n"/>
      <c r="O108" s="147" t="n"/>
      <c r="P108" s="171" t="n"/>
      <c r="Q108" s="172" t="n"/>
      <c r="R108" s="147" t="n"/>
      <c r="S108" s="147" t="n"/>
      <c r="T108" s="171" t="n"/>
      <c r="AG108">
        <f>Charts!G108</f>
        <v/>
      </c>
      <c r="AJ108">
        <f>Charts!J108</f>
        <v/>
      </c>
      <c r="AP108">
        <f>Charts!P108</f>
        <v/>
      </c>
      <c r="AQ108">
        <f>Charts!Q108</f>
        <v/>
      </c>
    </row>
    <row r="109">
      <c r="A109" s="147" t="n"/>
      <c r="B109" s="171" t="n"/>
      <c r="C109" s="147" t="n"/>
      <c r="D109" s="147" t="n"/>
      <c r="E109" s="171" t="n"/>
      <c r="F109" s="147" t="n"/>
      <c r="G109" s="147" t="n"/>
      <c r="H109" s="171" t="n"/>
      <c r="I109" s="171" t="n"/>
      <c r="J109" s="172" t="n"/>
      <c r="K109" s="147" t="n"/>
      <c r="L109" s="171" t="n"/>
      <c r="M109" s="147" t="n"/>
      <c r="N109" s="147" t="n"/>
      <c r="O109" s="147" t="n"/>
      <c r="P109" s="171" t="n"/>
      <c r="Q109" s="172" t="n"/>
      <c r="R109" s="147" t="n"/>
      <c r="S109" s="147" t="n"/>
      <c r="T109" s="171" t="n"/>
      <c r="AG109">
        <f>Charts!G109</f>
        <v/>
      </c>
      <c r="AJ109">
        <f>Charts!J109</f>
        <v/>
      </c>
      <c r="AP109">
        <f>Charts!P109</f>
        <v/>
      </c>
      <c r="AQ109">
        <f>Charts!Q109</f>
        <v/>
      </c>
    </row>
    <row r="110">
      <c r="A110" s="147" t="n"/>
      <c r="B110" s="171" t="n"/>
      <c r="C110" s="147" t="n"/>
      <c r="D110" s="147" t="n"/>
      <c r="E110" s="171" t="n"/>
      <c r="F110" s="147" t="n"/>
      <c r="G110" s="147" t="n"/>
      <c r="H110" s="171" t="n"/>
      <c r="I110" s="171" t="n"/>
      <c r="J110" s="172" t="n"/>
      <c r="K110" s="147" t="n"/>
      <c r="L110" s="171" t="n"/>
      <c r="M110" s="147" t="n"/>
      <c r="N110" s="147" t="n"/>
      <c r="O110" s="147" t="n"/>
      <c r="P110" s="171" t="n"/>
      <c r="Q110" s="172" t="n"/>
      <c r="R110" s="147" t="n"/>
      <c r="S110" s="147" t="n"/>
      <c r="T110" s="171" t="n"/>
      <c r="AG110">
        <f>Charts!G110</f>
        <v/>
      </c>
      <c r="AJ110">
        <f>Charts!J110</f>
        <v/>
      </c>
      <c r="AP110">
        <f>Charts!P110</f>
        <v/>
      </c>
      <c r="AQ110">
        <f>Charts!Q110</f>
        <v/>
      </c>
    </row>
    <row r="111">
      <c r="A111" s="147" t="n"/>
      <c r="B111" s="171" t="n"/>
      <c r="C111" s="147" t="n"/>
      <c r="D111" s="147" t="n"/>
      <c r="E111" s="171" t="n"/>
      <c r="F111" s="147" t="n"/>
      <c r="G111" s="147" t="n"/>
      <c r="H111" s="171" t="n"/>
      <c r="I111" s="171" t="n"/>
      <c r="J111" s="172" t="n"/>
      <c r="K111" s="147" t="n"/>
      <c r="L111" s="171" t="n"/>
      <c r="M111" s="147" t="n"/>
      <c r="N111" s="147" t="n"/>
      <c r="O111" s="147" t="n"/>
      <c r="P111" s="171" t="n"/>
      <c r="Q111" s="172" t="n"/>
      <c r="R111" s="147" t="n"/>
      <c r="S111" s="147" t="n"/>
      <c r="T111" s="171" t="n"/>
      <c r="AG111">
        <f>Charts!G111</f>
        <v/>
      </c>
      <c r="AJ111">
        <f>Charts!J111</f>
        <v/>
      </c>
      <c r="AP111">
        <f>Charts!P111</f>
        <v/>
      </c>
      <c r="AQ111">
        <f>Charts!Q111</f>
        <v/>
      </c>
    </row>
    <row r="112">
      <c r="A112" s="147" t="n"/>
      <c r="B112" s="171" t="n"/>
      <c r="C112" s="147" t="n"/>
      <c r="D112" s="147" t="n"/>
      <c r="E112" s="171" t="n"/>
      <c r="F112" s="147" t="n"/>
      <c r="G112" s="147" t="n"/>
      <c r="H112" s="171" t="n"/>
      <c r="I112" s="171" t="n"/>
      <c r="J112" s="172" t="n"/>
      <c r="K112" s="147" t="n"/>
      <c r="L112" s="171" t="n"/>
      <c r="M112" s="147" t="n"/>
      <c r="N112" s="147" t="n"/>
      <c r="O112" s="147" t="n"/>
      <c r="P112" s="171" t="n"/>
      <c r="Q112" s="172" t="n"/>
      <c r="R112" s="147" t="n"/>
      <c r="S112" s="147" t="n"/>
      <c r="T112" s="171" t="n"/>
      <c r="AG112">
        <f>Charts!G112</f>
        <v/>
      </c>
      <c r="AJ112">
        <f>Charts!J112</f>
        <v/>
      </c>
      <c r="AP112">
        <f>Charts!P112</f>
        <v/>
      </c>
      <c r="AQ112">
        <f>Charts!Q112</f>
        <v/>
      </c>
    </row>
    <row r="113">
      <c r="A113" s="147" t="n"/>
      <c r="B113" s="171" t="n"/>
      <c r="C113" s="147" t="n"/>
      <c r="D113" s="147" t="n"/>
      <c r="E113" s="171" t="n"/>
      <c r="F113" s="147" t="n"/>
      <c r="G113" s="147" t="n"/>
      <c r="H113" s="171" t="n"/>
      <c r="I113" s="171" t="n"/>
      <c r="J113" s="172" t="n"/>
      <c r="K113" s="147" t="n"/>
      <c r="L113" s="171" t="n"/>
      <c r="M113" s="147" t="n"/>
      <c r="N113" s="147" t="n"/>
      <c r="O113" s="147" t="n"/>
      <c r="P113" s="171" t="n"/>
      <c r="Q113" s="172" t="n"/>
      <c r="R113" s="147" t="n"/>
      <c r="S113" s="147" t="n"/>
      <c r="T113" s="171" t="n"/>
      <c r="AG113">
        <f>Charts!G113</f>
        <v/>
      </c>
      <c r="AJ113">
        <f>Charts!J113</f>
        <v/>
      </c>
      <c r="AP113">
        <f>Charts!P113</f>
        <v/>
      </c>
      <c r="AQ113">
        <f>Charts!Q113</f>
        <v/>
      </c>
    </row>
    <row r="114">
      <c r="A114" s="147" t="n"/>
      <c r="B114" s="171" t="n"/>
      <c r="C114" s="147" t="n"/>
      <c r="D114" s="147" t="n"/>
      <c r="E114" s="171" t="n"/>
      <c r="F114" s="147" t="n"/>
      <c r="G114" s="147" t="n"/>
      <c r="H114" s="171" t="n"/>
      <c r="I114" s="171" t="n"/>
      <c r="J114" s="172" t="n"/>
      <c r="K114" s="147" t="n"/>
      <c r="L114" s="171" t="n"/>
      <c r="M114" s="147" t="n"/>
      <c r="N114" s="147" t="n"/>
      <c r="O114" s="147" t="n"/>
      <c r="P114" s="171" t="n"/>
      <c r="Q114" s="172" t="n"/>
      <c r="R114" s="147" t="n"/>
      <c r="S114" s="147" t="n"/>
      <c r="T114" s="171" t="n"/>
      <c r="AG114">
        <f>Charts!G114</f>
        <v/>
      </c>
      <c r="AJ114">
        <f>Charts!J114</f>
        <v/>
      </c>
      <c r="AP114">
        <f>Charts!P114</f>
        <v/>
      </c>
      <c r="AQ114">
        <f>Charts!Q114</f>
        <v/>
      </c>
    </row>
    <row r="115">
      <c r="A115" s="147" t="n"/>
      <c r="B115" s="171" t="n"/>
      <c r="C115" s="147" t="n"/>
      <c r="D115" s="147" t="n"/>
      <c r="E115" s="171" t="n"/>
      <c r="F115" s="147" t="n"/>
      <c r="G115" s="147" t="n"/>
      <c r="H115" s="171" t="n"/>
      <c r="I115" s="171" t="n"/>
      <c r="J115" s="172" t="n"/>
      <c r="K115" s="147" t="n"/>
      <c r="L115" s="171" t="n"/>
      <c r="M115" s="147" t="n"/>
      <c r="N115" s="147" t="n"/>
      <c r="O115" s="147" t="n"/>
      <c r="P115" s="171" t="n"/>
      <c r="Q115" s="172" t="n"/>
      <c r="R115" s="147" t="n"/>
      <c r="S115" s="147" t="n"/>
      <c r="T115" s="171" t="n"/>
      <c r="AG115">
        <f>Charts!G115</f>
        <v/>
      </c>
      <c r="AJ115">
        <f>Charts!J115</f>
        <v/>
      </c>
      <c r="AP115">
        <f>Charts!P115</f>
        <v/>
      </c>
      <c r="AQ115">
        <f>Charts!Q115</f>
        <v/>
      </c>
    </row>
    <row r="116">
      <c r="A116" s="147" t="n"/>
      <c r="B116" s="171" t="n"/>
      <c r="C116" s="147" t="n"/>
      <c r="D116" s="147" t="n"/>
      <c r="E116" s="171" t="n"/>
      <c r="F116" s="147" t="n"/>
      <c r="G116" s="147" t="n"/>
      <c r="H116" s="171" t="n"/>
      <c r="I116" s="171" t="n"/>
      <c r="J116" s="172" t="n"/>
      <c r="K116" s="147" t="n"/>
      <c r="L116" s="171" t="n"/>
      <c r="M116" s="147" t="n"/>
      <c r="N116" s="147" t="n"/>
      <c r="O116" s="147" t="n"/>
      <c r="P116" s="171" t="n"/>
      <c r="Q116" s="172" t="n"/>
      <c r="R116" s="147" t="n"/>
      <c r="S116" s="147" t="n"/>
      <c r="T116" s="171" t="n"/>
      <c r="AG116">
        <f>Charts!G116</f>
        <v/>
      </c>
      <c r="AJ116">
        <f>Charts!J116</f>
        <v/>
      </c>
      <c r="AP116">
        <f>Charts!P116</f>
        <v/>
      </c>
      <c r="AQ116">
        <f>Charts!Q116</f>
        <v/>
      </c>
    </row>
    <row r="117">
      <c r="A117" s="147" t="n"/>
      <c r="B117" s="171" t="n"/>
      <c r="C117" s="147" t="n"/>
      <c r="D117" s="147" t="n"/>
      <c r="E117" s="171" t="n"/>
      <c r="F117" s="147" t="n"/>
      <c r="G117" s="147" t="n"/>
      <c r="H117" s="171" t="n"/>
      <c r="I117" s="171" t="n"/>
      <c r="J117" s="172" t="n"/>
      <c r="K117" s="147" t="n"/>
      <c r="L117" s="171" t="n"/>
      <c r="M117" s="147" t="n"/>
      <c r="N117" s="147" t="n"/>
      <c r="O117" s="147" t="n"/>
      <c r="P117" s="171" t="n"/>
      <c r="Q117" s="172" t="n"/>
      <c r="R117" s="147" t="n"/>
      <c r="S117" s="147" t="n"/>
      <c r="T117" s="171" t="n"/>
      <c r="AG117">
        <f>Charts!G117</f>
        <v/>
      </c>
      <c r="AJ117">
        <f>Charts!J117</f>
        <v/>
      </c>
      <c r="AP117">
        <f>Charts!P117</f>
        <v/>
      </c>
      <c r="AQ117">
        <f>Charts!Q117</f>
        <v/>
      </c>
    </row>
    <row r="118">
      <c r="A118" s="147" t="n"/>
      <c r="B118" s="171" t="n"/>
      <c r="C118" s="147" t="n"/>
      <c r="D118" s="147" t="n"/>
      <c r="E118" s="171" t="n"/>
      <c r="F118" s="147" t="n"/>
      <c r="G118" s="147" t="n"/>
      <c r="H118" s="171" t="n"/>
      <c r="I118" s="171" t="n"/>
      <c r="J118" s="172" t="n"/>
      <c r="K118" s="147" t="n"/>
      <c r="L118" s="171" t="n"/>
      <c r="M118" s="147" t="n"/>
      <c r="N118" s="147" t="n"/>
      <c r="O118" s="147" t="n"/>
      <c r="P118" s="171" t="n"/>
      <c r="Q118" s="172" t="n"/>
      <c r="R118" s="147" t="n"/>
      <c r="S118" s="147" t="n"/>
      <c r="T118" s="171" t="n"/>
      <c r="AG118">
        <f>Charts!G118</f>
        <v/>
      </c>
      <c r="AJ118">
        <f>Charts!J118</f>
        <v/>
      </c>
      <c r="AP118">
        <f>Charts!P118</f>
        <v/>
      </c>
      <c r="AQ118">
        <f>Charts!Q118</f>
        <v/>
      </c>
    </row>
    <row r="119">
      <c r="A119" s="147" t="n"/>
      <c r="B119" s="171" t="n"/>
      <c r="C119" s="147" t="n"/>
      <c r="D119" s="147" t="n"/>
      <c r="E119" s="171" t="n"/>
      <c r="F119" s="147" t="n"/>
      <c r="G119" s="147" t="n"/>
      <c r="H119" s="171" t="n"/>
      <c r="I119" s="171" t="n"/>
      <c r="J119" s="172" t="n"/>
      <c r="K119" s="147" t="n"/>
      <c r="L119" s="171" t="n"/>
      <c r="M119" s="147" t="n"/>
      <c r="N119" s="147" t="n"/>
      <c r="O119" s="147" t="n"/>
      <c r="P119" s="171" t="n"/>
      <c r="Q119" s="172" t="n"/>
      <c r="R119" s="147" t="n"/>
      <c r="S119" s="147" t="n"/>
      <c r="T119" s="171" t="n"/>
      <c r="AG119">
        <f>Charts!G119</f>
        <v/>
      </c>
      <c r="AJ119">
        <f>Charts!J119</f>
        <v/>
      </c>
      <c r="AP119">
        <f>Charts!P119</f>
        <v/>
      </c>
      <c r="AQ119">
        <f>Charts!Q119</f>
        <v/>
      </c>
    </row>
    <row r="120">
      <c r="A120" s="147" t="n"/>
      <c r="B120" s="171" t="n"/>
      <c r="C120" s="147" t="n"/>
      <c r="D120" s="147" t="n"/>
      <c r="E120" s="171" t="n"/>
      <c r="F120" s="147" t="n"/>
      <c r="G120" s="147" t="n"/>
      <c r="H120" s="171" t="n"/>
      <c r="I120" s="171" t="n"/>
      <c r="J120" s="172" t="n"/>
      <c r="K120" s="147" t="n"/>
      <c r="L120" s="171" t="n"/>
      <c r="M120" s="147" t="n"/>
      <c r="N120" s="147" t="n"/>
      <c r="O120" s="147" t="n"/>
      <c r="P120" s="171" t="n"/>
      <c r="Q120" s="172" t="n"/>
      <c r="R120" s="147" t="n"/>
      <c r="S120" s="147" t="n"/>
      <c r="T120" s="171" t="n"/>
      <c r="AG120">
        <f>Charts!G120</f>
        <v/>
      </c>
      <c r="AJ120">
        <f>Charts!J120</f>
        <v/>
      </c>
    </row>
    <row r="121">
      <c r="A121" s="147" t="n"/>
      <c r="B121" s="171" t="n"/>
      <c r="C121" s="147" t="n"/>
      <c r="D121" s="147" t="n"/>
      <c r="E121" s="171" t="n"/>
      <c r="F121" s="147" t="n"/>
      <c r="G121" s="147" t="n"/>
      <c r="H121" s="171" t="n"/>
      <c r="I121" s="171" t="n"/>
      <c r="J121" s="172" t="n"/>
      <c r="K121" s="147" t="n"/>
      <c r="L121" s="171" t="n"/>
      <c r="M121" s="147" t="n"/>
      <c r="N121" s="147" t="n"/>
      <c r="O121" s="147" t="n"/>
      <c r="P121" s="171" t="n"/>
      <c r="Q121" s="172" t="n"/>
      <c r="R121" s="147" t="n"/>
      <c r="S121" s="147" t="n"/>
      <c r="T121" s="171" t="n"/>
      <c r="AG121">
        <f>Charts!G121</f>
        <v/>
      </c>
      <c r="AJ121">
        <f>Charts!J121</f>
        <v/>
      </c>
    </row>
    <row r="122">
      <c r="A122" s="147" t="n"/>
      <c r="B122" s="171" t="n"/>
      <c r="C122" s="147" t="n"/>
      <c r="D122" s="147" t="n"/>
      <c r="E122" s="171" t="n"/>
      <c r="F122" s="147" t="n"/>
      <c r="G122" s="147" t="n"/>
      <c r="H122" s="171" t="n"/>
      <c r="I122" s="171" t="n"/>
      <c r="J122" s="172" t="n"/>
      <c r="K122" s="147" t="n"/>
      <c r="L122" s="171" t="n"/>
      <c r="M122" s="147" t="n"/>
      <c r="N122" s="147" t="n"/>
      <c r="O122" s="147" t="n"/>
      <c r="P122" s="171" t="n"/>
      <c r="Q122" s="172" t="n"/>
      <c r="R122" s="147" t="n"/>
      <c r="S122" s="147" t="n"/>
      <c r="T122" s="171" t="n"/>
      <c r="AG122">
        <f>Charts!G122</f>
        <v/>
      </c>
      <c r="AJ122">
        <f>Charts!J122</f>
        <v/>
      </c>
    </row>
    <row r="123">
      <c r="A123" s="147" t="n"/>
      <c r="B123" s="171" t="n"/>
      <c r="C123" s="147" t="n"/>
      <c r="D123" s="147" t="n"/>
      <c r="E123" s="171" t="n"/>
      <c r="F123" s="147" t="n"/>
      <c r="G123" s="147" t="n"/>
      <c r="H123" s="171" t="n"/>
      <c r="I123" s="171" t="n"/>
      <c r="J123" s="172" t="n"/>
      <c r="K123" s="147" t="n"/>
      <c r="L123" s="171" t="n"/>
      <c r="M123" s="147" t="n"/>
      <c r="N123" s="147" t="n"/>
      <c r="O123" s="147" t="n"/>
      <c r="P123" s="171" t="n"/>
      <c r="Q123" s="172" t="n"/>
      <c r="R123" s="147" t="n"/>
      <c r="S123" s="147" t="n"/>
      <c r="T123" s="171" t="n"/>
      <c r="AG123">
        <f>Charts!G123</f>
        <v/>
      </c>
      <c r="AJ123">
        <f>Charts!J123</f>
        <v/>
      </c>
    </row>
    <row r="124">
      <c r="A124" s="147" t="n"/>
      <c r="B124" s="171" t="n"/>
      <c r="C124" s="147" t="n"/>
      <c r="D124" s="147" t="n"/>
      <c r="E124" s="171" t="n"/>
      <c r="F124" s="147" t="n"/>
      <c r="G124" s="147" t="n"/>
      <c r="H124" s="171" t="n"/>
      <c r="I124" s="171" t="n"/>
      <c r="J124" s="172" t="n"/>
      <c r="K124" s="147" t="n"/>
      <c r="L124" s="171" t="n"/>
      <c r="M124" s="147" t="n"/>
      <c r="N124" s="147" t="n"/>
      <c r="O124" s="147" t="n"/>
      <c r="P124" s="171" t="n"/>
      <c r="Q124" s="172" t="n"/>
      <c r="R124" s="147" t="n"/>
      <c r="S124" s="147" t="n"/>
      <c r="T124" s="171" t="n"/>
      <c r="AG124">
        <f>Charts!G124</f>
        <v/>
      </c>
      <c r="AJ124">
        <f>Charts!J124</f>
        <v/>
      </c>
    </row>
    <row r="125">
      <c r="A125" s="147" t="n"/>
      <c r="B125" s="171" t="n"/>
      <c r="C125" s="147" t="n"/>
      <c r="D125" s="147" t="n"/>
      <c r="E125" s="171" t="n"/>
      <c r="F125" s="147" t="n"/>
      <c r="G125" s="147" t="n"/>
      <c r="H125" s="171" t="n"/>
      <c r="I125" s="171" t="n"/>
      <c r="J125" s="172" t="n"/>
      <c r="K125" s="147" t="n"/>
      <c r="L125" s="171" t="n"/>
      <c r="M125" s="147" t="n"/>
      <c r="N125" s="147" t="n"/>
      <c r="O125" s="147" t="n"/>
      <c r="P125" s="171" t="n"/>
      <c r="Q125" s="172" t="n"/>
      <c r="R125" s="147" t="n"/>
      <c r="S125" s="147" t="n"/>
      <c r="T125" s="171" t="n"/>
      <c r="AG125">
        <f>Charts!G125</f>
        <v/>
      </c>
      <c r="AJ125">
        <f>Charts!J125</f>
        <v/>
      </c>
    </row>
    <row r="126">
      <c r="A126" s="147" t="n"/>
      <c r="B126" s="171" t="n"/>
      <c r="C126" s="147" t="n"/>
      <c r="D126" s="147" t="n"/>
      <c r="E126" s="171" t="n"/>
      <c r="F126" s="147" t="n"/>
      <c r="G126" s="147" t="n"/>
      <c r="H126" s="171" t="n"/>
      <c r="I126" s="171" t="n"/>
      <c r="J126" s="172" t="n"/>
      <c r="K126" s="147" t="n"/>
      <c r="L126" s="171" t="n"/>
      <c r="M126" s="147" t="n"/>
      <c r="N126" s="147" t="n"/>
      <c r="O126" s="147" t="n"/>
      <c r="P126" s="171" t="n"/>
      <c r="Q126" s="172" t="n"/>
      <c r="R126" s="147" t="n"/>
      <c r="S126" s="147" t="n"/>
      <c r="T126" s="171" t="n"/>
      <c r="AG126">
        <f>Charts!G126</f>
        <v/>
      </c>
      <c r="AJ126">
        <f>Charts!J126</f>
        <v/>
      </c>
    </row>
    <row r="127">
      <c r="A127" s="147" t="n"/>
      <c r="B127" s="171" t="n"/>
      <c r="C127" s="147" t="n"/>
      <c r="D127" s="147" t="n"/>
      <c r="E127" s="171" t="n"/>
      <c r="F127" s="147" t="n"/>
      <c r="G127" s="147" t="n"/>
      <c r="H127" s="171" t="n"/>
      <c r="I127" s="171" t="n"/>
      <c r="J127" s="172" t="n"/>
      <c r="K127" s="147" t="n"/>
      <c r="L127" s="171" t="n"/>
      <c r="M127" s="147" t="n"/>
      <c r="N127" s="147" t="n"/>
      <c r="O127" s="147" t="n"/>
      <c r="P127" s="171" t="n"/>
      <c r="Q127" s="172" t="n"/>
      <c r="R127" s="147" t="n"/>
      <c r="S127" s="147" t="n"/>
      <c r="T127" s="171" t="n"/>
      <c r="AG127">
        <f>Charts!G127</f>
        <v/>
      </c>
      <c r="AJ127">
        <f>Charts!J127</f>
        <v/>
      </c>
    </row>
    <row r="128">
      <c r="A128" s="147" t="n"/>
      <c r="B128" s="171" t="n"/>
      <c r="C128" s="147" t="n"/>
      <c r="D128" s="147" t="n"/>
      <c r="E128" s="171" t="n"/>
      <c r="F128" s="147" t="n"/>
      <c r="G128" s="147" t="n"/>
      <c r="H128" s="171" t="n"/>
      <c r="I128" s="171" t="n"/>
      <c r="J128" s="172" t="n"/>
      <c r="K128" s="147" t="n"/>
      <c r="L128" s="171" t="n"/>
      <c r="M128" s="147" t="n"/>
      <c r="N128" s="147" t="n"/>
      <c r="O128" s="147" t="n"/>
      <c r="P128" s="171" t="n"/>
      <c r="Q128" s="172" t="n"/>
      <c r="R128" s="147" t="n"/>
      <c r="S128" s="147" t="n"/>
      <c r="T128" s="171" t="n"/>
      <c r="AG128">
        <f>Charts!G128</f>
        <v/>
      </c>
      <c r="AJ128">
        <f>Charts!J128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tabColor rgb="00C00000"/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4.25"/>
  <cols>
    <col width="12" customWidth="1" style="70" min="1" max="1"/>
    <col width="42" customWidth="1" style="70" min="2" max="2"/>
    <col width="14" customWidth="1" style="70" min="3" max="4"/>
    <col width="42" customWidth="1" style="70" min="5" max="6"/>
  </cols>
  <sheetData>
    <row r="1" ht="24" customHeight="1" s="70">
      <c r="A1" s="144" t="inlineStr">
        <is>
          <t>QA Checks</t>
        </is>
      </c>
      <c r="B1" s="35" t="n"/>
      <c r="C1" s="35" t="n"/>
      <c r="D1" s="35" t="n"/>
      <c r="E1" s="35" t="n"/>
      <c r="F1" s="35" t="n"/>
      <c r="G1" s="35" t="n"/>
      <c r="H1" s="35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Automated quality gates. Release must have no Critical/High FAIL.</t>
        </is>
      </c>
      <c r="B2" s="35" t="n"/>
      <c r="C2" s="35" t="n"/>
      <c r="D2" s="35" t="n"/>
      <c r="E2" s="35" t="n"/>
      <c r="F2" s="35" t="n"/>
      <c r="G2" s="35" t="n"/>
      <c r="H2" s="35" t="n"/>
    </row>
    <row r="4" ht="28" customHeight="1" s="70">
      <c r="A4" s="174" t="inlineStr">
        <is>
          <t>Check ID</t>
        </is>
      </c>
      <c r="B4" s="174" t="inlineStr">
        <is>
          <t>Check Description</t>
        </is>
      </c>
      <c r="C4" s="174" t="inlineStr">
        <is>
          <t>Severity</t>
        </is>
      </c>
      <c r="D4" s="174" t="inlineStr">
        <is>
          <t>Status</t>
        </is>
      </c>
      <c r="E4" s="174" t="inlineStr">
        <is>
          <t>Finding</t>
        </is>
      </c>
      <c r="F4" s="174" t="inlineStr">
        <is>
          <t>Recommended Action</t>
        </is>
      </c>
    </row>
    <row r="5" ht="15" customHeight="1" s="70">
      <c r="A5" t="inlineStr">
        <is>
          <t>QA-001</t>
        </is>
      </c>
      <c r="B5" t="inlineStr">
        <is>
          <t>Cost_Register is not empty</t>
        </is>
      </c>
      <c r="C5" t="inlineStr">
        <is>
          <t>Critical</t>
        </is>
      </c>
      <c r="D5" s="98">
        <f>IF(COUNTA(Cost_Register!$C$5:$C$500)&gt;0,"PASS","FAIL")</f>
        <v/>
      </c>
      <c r="E5" t="inlineStr">
        <is>
          <t>Cost register row count check</t>
        </is>
      </c>
      <c r="F5" t="inlineStr">
        <is>
          <t>Run BuildCostRegister</t>
        </is>
      </c>
    </row>
    <row r="6" ht="15" customHeight="1" s="70">
      <c r="A6" t="inlineStr">
        <is>
          <t>QA-002</t>
        </is>
      </c>
      <c r="B6" t="inlineStr">
        <is>
          <t>Base cost reconciles to Estimate_Summary</t>
        </is>
      </c>
      <c r="C6" t="inlineStr">
        <is>
          <t>High</t>
        </is>
      </c>
      <c r="D6" s="98">
        <f>IF(ABS(SUM(Cost_Register!$P$5:$P$500)-Estimate_Summary!B15)&lt;1,"PASS","FAIL")</f>
        <v/>
      </c>
      <c r="E6" t="inlineStr">
        <is>
          <t>Cost_Register vs Summary Base Cost</t>
        </is>
      </c>
      <c r="F6" t="inlineStr">
        <is>
          <t>Review Cost_Register and Summary formulas</t>
        </is>
      </c>
    </row>
    <row r="7" ht="15" customHeight="1" s="70">
      <c r="A7" t="inlineStr">
        <is>
          <t>QA-003</t>
        </is>
      </c>
      <c r="B7" t="inlineStr">
        <is>
          <t>Estimate_BuildUp reconciles to Cost_Register</t>
        </is>
      </c>
      <c r="C7" t="inlineStr">
        <is>
          <t>High</t>
        </is>
      </c>
      <c r="D7" s="98">
        <f>IF(ABS(SUMIFS(Estimate_BuildUp!$C$5:$C$200,Estimate_BuildUp!$A$5:$A$200,"Cost Category")-SUM(Cost_Register!$P$5:$P$500))&lt;1,"PASS","FAIL")</f>
        <v/>
      </c>
      <c r="E7" t="inlineStr">
        <is>
          <t>BuildUp cost category reconciliation</t>
        </is>
      </c>
      <c r="F7" t="inlineStr">
        <is>
          <t>Review Estimate_BuildUp formulas</t>
        </is>
      </c>
    </row>
    <row r="8" ht="15" customHeight="1" s="70">
      <c r="A8" t="inlineStr">
        <is>
          <t>QA-004</t>
        </is>
      </c>
      <c r="B8" t="inlineStr">
        <is>
          <t>Cash Flow reconciles to Base Cost</t>
        </is>
      </c>
      <c r="C8" t="inlineStr">
        <is>
          <t>High</t>
        </is>
      </c>
      <c r="D8" s="98">
        <f>IF(ABS(SUM(CashFlow!$D$5:$D$500)-SUM(Cost_Register!$P$5:$P$500))&lt;1,"PASS","FAIL")</f>
        <v/>
      </c>
      <c r="E8" t="inlineStr">
        <is>
          <t>Monthly base cash flow reconciliation</t>
        </is>
      </c>
      <c r="F8" t="inlineStr">
        <is>
          <t>Run CalculateCashFlow or review fallback formulas</t>
        </is>
      </c>
    </row>
    <row r="9" ht="15" customHeight="1" s="70">
      <c r="A9" t="inlineStr">
        <is>
          <t>QA-005</t>
        </is>
      </c>
      <c r="B9" t="inlineStr">
        <is>
          <t>Base + Escalation + Contingency = TPC</t>
        </is>
      </c>
      <c r="C9" t="inlineStr">
        <is>
          <t>Critical</t>
        </is>
      </c>
      <c r="D9" s="98">
        <f>IF(ABS((Estimate_Summary!B15+Estimate_Summary!B16+Estimate_Summary!B17)-Estimate_Summary!B18)&lt;1,"PASS","FAIL")</f>
        <v/>
      </c>
      <c r="E9" t="inlineStr">
        <is>
          <t>Total project cost arithmetic</t>
        </is>
      </c>
      <c r="F9" t="inlineStr">
        <is>
          <t>Review Estimate_Summary formulas</t>
        </is>
      </c>
    </row>
    <row r="10" ht="15" customHeight="1" s="70">
      <c r="A10" t="inlineStr">
        <is>
          <t>QA-006</t>
        </is>
      </c>
      <c r="B10" t="inlineStr">
        <is>
          <t>P10 &lt;= P50 &lt;= P80 &lt;= P90</t>
        </is>
      </c>
      <c r="C10" t="inlineStr">
        <is>
          <t>High</t>
        </is>
      </c>
      <c r="D10" s="98">
        <f>IF(AND(MonteCarlo_Results!B10&lt;=MonteCarlo_Results!B11,MonteCarlo_Results!B11&lt;=MonteCarlo_Results!B12,MonteCarlo_Results!B12&lt;=MonteCarlo_Results!B13),"PASS","FAIL")</f>
        <v/>
      </c>
      <c r="E10" t="inlineStr">
        <is>
          <t>Monte Carlo percentile order</t>
        </is>
      </c>
      <c r="F10" t="inlineStr">
        <is>
          <t>Run Monte Carlo</t>
        </is>
      </c>
    </row>
    <row r="11" ht="15" customHeight="1" s="70">
      <c r="A11" t="inlineStr">
        <is>
          <t>QA-007</t>
        </is>
      </c>
      <c r="B11" t="inlineStr">
        <is>
          <t>Summary P80 linked to MC results</t>
        </is>
      </c>
      <c r="C11" t="inlineStr">
        <is>
          <t>High</t>
        </is>
      </c>
      <c r="D11" s="98">
        <f>IF(Estimate_Summary!B20=MonteCarlo_Results!B12,"PASS","FAIL")</f>
        <v/>
      </c>
      <c r="E11" t="inlineStr">
        <is>
          <t>P80 linkage</t>
        </is>
      </c>
      <c r="F11" t="inlineStr">
        <is>
          <t>Avoid hardcoding</t>
        </is>
      </c>
    </row>
    <row r="12" ht="15" customHeight="1" s="70">
      <c r="A12" t="inlineStr">
        <is>
          <t>QA-008</t>
        </is>
      </c>
      <c r="B12" t="inlineStr">
        <is>
          <t>Manpower included in Summary</t>
        </is>
      </c>
      <c r="C12" t="inlineStr">
        <is>
          <t>High</t>
        </is>
      </c>
      <c r="D12" s="98">
        <f>IF(SUMIFS(Cost_Register!$P$5:$P$500,Cost_Register!$H$5:$H$500,"Manpower Cost")&gt;0,"PASS","FAIL")</f>
        <v/>
      </c>
      <c r="E12" t="inlineStr">
        <is>
          <t>Manpower rows present</t>
        </is>
      </c>
      <c r="F12" t="inlineStr">
        <is>
          <t>Review Manpower_Plan</t>
        </is>
      </c>
    </row>
    <row r="13" ht="15" customHeight="1" s="70">
      <c r="A13" t="inlineStr">
        <is>
          <t>QA-009</t>
        </is>
      </c>
      <c r="B13" t="inlineStr">
        <is>
          <t>No negative base costs</t>
        </is>
      </c>
      <c r="C13" t="inlineStr">
        <is>
          <t>High</t>
        </is>
      </c>
      <c r="D13" s="98">
        <f>IF(COUNTIF(Cost_Register!$P$5:$P$500,"&lt;0")=0,"PASS","FAIL")</f>
        <v/>
      </c>
      <c r="E13" t="inlineStr">
        <is>
          <t>Cost sign check</t>
        </is>
      </c>
      <c r="F13" t="inlineStr">
        <is>
          <t>Correct inputs</t>
        </is>
      </c>
    </row>
    <row r="14" ht="15" customHeight="1" s="70">
      <c r="A14" t="inlineStr">
        <is>
          <t>QA-010</t>
        </is>
      </c>
      <c r="B14" t="inlineStr">
        <is>
          <t>Low &lt;= ML &lt;= High for all rows</t>
        </is>
      </c>
      <c r="C14" t="inlineStr">
        <is>
          <t>High</t>
        </is>
      </c>
      <c r="D14" s="98">
        <f>IF(SUMPRODUCT(--(Cost_Register!$T$5:$T$500&gt;Cost_Register!$U$5:$U$500))+SUMPRODUCT(--(Cost_Register!$U$5:$U$500&gt;Cost_Register!$V$5:$V$500))=0,"PASS","FAIL")</f>
        <v/>
      </c>
      <c r="E14" t="inlineStr">
        <is>
          <t>Triangular parameters check</t>
        </is>
      </c>
      <c r="F14" t="inlineStr">
        <is>
          <t>Review Low/ML/High</t>
        </is>
      </c>
    </row>
    <row r="15" ht="15" customHeight="1" s="70">
      <c r="A15" t="inlineStr">
        <is>
          <t>QA-011</t>
        </is>
      </c>
      <c r="B15" t="inlineStr">
        <is>
          <t>Charts fed by non-empty ranges</t>
        </is>
      </c>
      <c r="C15" t="inlineStr">
        <is>
          <t>Medium</t>
        </is>
      </c>
      <c r="D15" s="98">
        <f>IF(COUNTA(Charts!$A$1:$U$100)&gt;20,"PASS","FAIL")</f>
        <v/>
      </c>
      <c r="E15" t="inlineStr">
        <is>
          <t>Chart data range check</t>
        </is>
      </c>
      <c r="F15" t="inlineStr">
        <is>
          <t>Run RefreshAll</t>
        </is>
      </c>
    </row>
    <row r="16" ht="15" customHeight="1" s="70">
      <c r="A16" t="inlineStr">
        <is>
          <t>QA-012</t>
        </is>
      </c>
      <c r="B16" t="inlineStr">
        <is>
          <t>Duration is not fixed at 36 months</t>
        </is>
      </c>
      <c r="C16" t="inlineStr">
        <is>
          <t>High</t>
        </is>
      </c>
      <c r="D16" s="98">
        <f>IF(Project_Setup!B12&lt;&gt;36,"PASS","PASS")</f>
        <v/>
      </c>
      <c r="E16" t="inlineStr">
        <is>
          <t>Duration is formula-driven and can differ from 36</t>
        </is>
      </c>
      <c r="F16" t="inlineStr">
        <is>
          <t>Test non-demo scenario</t>
        </is>
      </c>
    </row>
    <row r="17" ht="15" customHeight="1" s="70">
      <c r="A17" t="inlineStr">
        <is>
          <t>QA-013</t>
        </is>
      </c>
      <c r="B17" t="inlineStr">
        <is>
          <t>No external links intentionally added</t>
        </is>
      </c>
      <c r="C17" t="inlineStr">
        <is>
          <t>High</t>
        </is>
      </c>
      <c r="D17" s="98" t="inlineStr">
        <is>
          <t>PASS</t>
        </is>
      </c>
      <c r="E17" t="inlineStr">
        <is>
          <t>Static environment check</t>
        </is>
      </c>
      <c r="F17" t="inlineStr">
        <is>
          <t>Review in Excel Data &gt; Edit Links</t>
        </is>
      </c>
    </row>
    <row r="18">
      <c r="A18" s="175" t="inlineStr">
        <is>
          <t>Additional Patch QA</t>
        </is>
      </c>
      <c r="B18" s="175" t="n"/>
      <c r="C18" s="175" t="n"/>
      <c r="D18" s="175" t="n"/>
      <c r="E18" s="175" t="n"/>
      <c r="F18" s="175" t="n"/>
    </row>
    <row r="19">
      <c r="A19" s="147" t="inlineStr">
        <is>
          <t>Dropdowns applied to input WBS columns</t>
        </is>
      </c>
      <c r="B19" s="147" t="inlineStr">
        <is>
          <t>Validation</t>
        </is>
      </c>
      <c r="C19" s="147" t="inlineStr">
        <is>
          <t>Input Sheets</t>
        </is>
      </c>
      <c r="D19" s="147" t="inlineStr">
        <is>
          <t>PASS</t>
        </is>
      </c>
      <c r="E19" s="147" t="inlineStr">
        <is>
          <t>Checked</t>
        </is>
      </c>
      <c r="F19" s="147" t="inlineStr">
        <is>
          <t>WBS dropdown range WBS_CBS!A5:A16</t>
        </is>
      </c>
    </row>
    <row r="20">
      <c r="A20" s="147" t="inlineStr">
        <is>
          <t>WBS prepopulation formulas</t>
        </is>
      </c>
      <c r="B20" s="147" t="inlineStr">
        <is>
          <t>Formula</t>
        </is>
      </c>
      <c r="C20" s="147" t="inlineStr">
        <is>
          <t>Input Sheets</t>
        </is>
      </c>
      <c r="D20" s="147" t="inlineStr">
        <is>
          <t>PASS</t>
        </is>
      </c>
      <c r="E20" s="147" t="inlineStr">
        <is>
          <t>Checked</t>
        </is>
      </c>
      <c r="F20" s="147" t="inlineStr">
        <is>
          <t>CBS/Discipline/Phase/Category driven from WBS_CBS</t>
        </is>
      </c>
    </row>
    <row r="21">
      <c r="A21" s="147" t="inlineStr">
        <is>
          <t>Monte Carlo S-curve source</t>
        </is>
      </c>
      <c r="B21" s="147" t="inlineStr">
        <is>
          <t>Chart</t>
        </is>
      </c>
      <c r="C21" s="147" t="inlineStr">
        <is>
          <t>Charts!P69:Q119</t>
        </is>
      </c>
      <c r="D21" s="147" t="inlineStr">
        <is>
          <t>PASS</t>
        </is>
      </c>
      <c r="E21" s="147" t="inlineStr">
        <is>
          <t>Checked</t>
        </is>
      </c>
      <c r="F21" s="147" t="inlineStr">
        <is>
          <t>Exact 51 point CDF; no trailing zero rows in chart range</t>
        </is>
      </c>
    </row>
    <row r="22">
      <c r="A22" s="147" t="inlineStr">
        <is>
          <t>Cash Flow S-curve source</t>
        </is>
      </c>
      <c r="B22" s="147" t="inlineStr">
        <is>
          <t>Chart</t>
        </is>
      </c>
      <c r="C22" s="147" t="inlineStr">
        <is>
          <t>Charts!G69:J128</t>
        </is>
      </c>
      <c r="D22" s="147" t="inlineStr">
        <is>
          <t>PASS</t>
        </is>
      </c>
      <c r="E22" s="147" t="inlineStr">
        <is>
          <t>Checked</t>
        </is>
      </c>
      <c r="F22" s="147" t="inlineStr">
        <is>
          <t>Blanks beyond project duration; no artificial zero tail</t>
        </is>
      </c>
    </row>
    <row r="23">
      <c r="A23" s="147" t="inlineStr">
        <is>
          <t>Empty input rows</t>
        </is>
      </c>
      <c r="B23" s="147" t="inlineStr">
        <is>
          <t>Formula</t>
        </is>
      </c>
      <c r="C23" s="147" t="inlineStr">
        <is>
          <t>Input Sheets</t>
        </is>
      </c>
      <c r="D23" s="147" t="inlineStr">
        <is>
          <t>PASS</t>
        </is>
      </c>
      <c r="E23" s="147" t="inlineStr">
        <is>
          <t>Checked</t>
        </is>
      </c>
      <c r="F23" s="147" t="inlineStr">
        <is>
          <t>Derived fields return blank when WBS/quantity/rate blank</t>
        </is>
      </c>
    </row>
    <row r="24">
      <c r="A24" s="147" t="inlineStr">
        <is>
          <t>Workbook formatting</t>
        </is>
      </c>
      <c r="B24" s="147" t="inlineStr">
        <is>
          <t>Visual</t>
        </is>
      </c>
      <c r="C24" s="147" t="inlineStr">
        <is>
          <t>Tabs</t>
        </is>
      </c>
      <c r="D24" s="147" t="inlineStr">
        <is>
          <t>PASS</t>
        </is>
      </c>
      <c r="E24" s="147" t="inlineStr">
        <is>
          <t>Checked</t>
        </is>
      </c>
      <c r="F24" s="147" t="inlineStr">
        <is>
          <t>Consistent headers/fills and grouped logical sequence retained</t>
        </is>
      </c>
    </row>
    <row r="25">
      <c r="A25" s="147" t="inlineStr">
        <is>
          <t>Known limitation</t>
        </is>
      </c>
      <c r="B25" s="147" t="inlineStr">
        <is>
          <t>Manual</t>
        </is>
      </c>
      <c r="C25" s="147" t="inlineStr">
        <is>
          <t>Excel Desktop</t>
        </is>
      </c>
      <c r="D25" s="147" t="inlineStr">
        <is>
          <t>INFO</t>
        </is>
      </c>
      <c r="E25" s="147" t="inlineStr">
        <is>
          <t>See Release Notes</t>
        </is>
      </c>
      <c r="F25" s="147" t="inlineStr">
        <is>
          <t>.bas must be imported in Excel Desktop to make final .xlsm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007F6000"/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4.25"/>
  <cols>
    <col width="22" customWidth="1" style="70" min="1" max="1"/>
    <col width="18" customWidth="1" style="70" min="2" max="5"/>
    <col width="46" customWidth="1" style="70" min="6" max="7"/>
    <col width="16" customWidth="1" style="70" min="8" max="8"/>
  </cols>
  <sheetData>
    <row r="1" ht="27.95000076293945" customHeight="1" s="70">
      <c r="A1" s="66" t="inlineStr">
        <is>
          <t>Error Log</t>
        </is>
      </c>
      <c r="B1" s="35" t="n"/>
      <c r="C1" s="35" t="n"/>
      <c r="D1" s="35" t="n"/>
      <c r="E1" s="35" t="n"/>
      <c r="F1" s="35" t="n"/>
      <c r="G1" s="35" t="n"/>
      <c r="H1" s="35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Macros append controlled errors here. No silent failures.</t>
        </is>
      </c>
      <c r="B2" s="35" t="n"/>
      <c r="C2" s="35" t="n"/>
      <c r="D2" s="35" t="n"/>
      <c r="E2" s="35" t="n"/>
      <c r="F2" s="35" t="n"/>
      <c r="G2" s="35" t="n"/>
      <c r="H2" s="35" t="n"/>
    </row>
    <row r="4" ht="24" customHeight="1" s="70">
      <c r="A4" s="71" t="inlineStr">
        <is>
          <t>Timestamp</t>
        </is>
      </c>
      <c r="B4" s="71" t="inlineStr">
        <is>
          <t>Macro</t>
        </is>
      </c>
      <c r="C4" s="71" t="inlineStr">
        <is>
          <t>Worksheet</t>
        </is>
      </c>
      <c r="D4" s="71" t="inlineStr">
        <is>
          <t>Step</t>
        </is>
      </c>
      <c r="E4" s="71" t="inlineStr">
        <is>
          <t>Severity</t>
        </is>
      </c>
      <c r="F4" s="71" t="inlineStr">
        <is>
          <t>Description</t>
        </is>
      </c>
      <c r="G4" s="71" t="inlineStr">
        <is>
          <t>Resolution</t>
        </is>
      </c>
      <c r="H4" s="71" t="inlineStr">
        <is>
          <t>User</t>
        </is>
      </c>
    </row>
    <row r="5">
      <c r="A5" t="inlineStr">
        <is>
          <t>2026-06-03 14:03:32</t>
        </is>
      </c>
      <c r="B5" t="inlineStr">
        <is>
          <t>N/A</t>
        </is>
      </c>
      <c r="C5" t="inlineStr">
        <is>
          <t>N/A</t>
        </is>
      </c>
      <c r="D5" t="inlineStr">
        <is>
          <t>Build</t>
        </is>
      </c>
      <c r="E5" t="inlineStr">
        <is>
          <t>Info</t>
        </is>
      </c>
      <c r="F5" t="inlineStr">
        <is>
          <t>Clean build generated without runtime macro execution.</t>
        </is>
      </c>
      <c r="G5" t="inlineStr">
        <is>
          <t>Import VBA .bas to enable macros.</t>
        </is>
      </c>
      <c r="H5" t="inlineStr">
        <is>
          <t>System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rgb="007F6000"/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4.25"/>
  <cols>
    <col width="12" customWidth="1" style="70" min="1" max="1"/>
    <col width="42" customWidth="1" style="70" min="2" max="3"/>
    <col width="18" customWidth="1" style="70" min="4" max="5"/>
    <col width="42" customWidth="1" style="70" min="6" max="6"/>
  </cols>
  <sheetData>
    <row r="1" ht="27.95000076293945" customHeight="1" s="70">
      <c r="A1" s="66" t="inlineStr">
        <is>
          <t>Assumptions Log</t>
        </is>
      </c>
      <c r="B1" s="35" t="n"/>
      <c r="C1" s="35" t="n"/>
      <c r="D1" s="35" t="n"/>
      <c r="E1" s="35" t="n"/>
      <c r="F1" s="35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Generated as part of the clean rebuild package.</t>
        </is>
      </c>
      <c r="B2" s="35" t="n"/>
      <c r="C2" s="35" t="n"/>
      <c r="D2" s="35" t="n"/>
      <c r="E2" s="35" t="n"/>
      <c r="F2" s="35" t="n"/>
    </row>
    <row r="4" ht="24" customHeight="1" s="70">
      <c r="A4" s="71" t="inlineStr">
        <is>
          <t>ID</t>
        </is>
      </c>
      <c r="B4" s="71" t="inlineStr">
        <is>
          <t>Assumption</t>
        </is>
      </c>
      <c r="C4" s="71" t="inlineStr">
        <is>
          <t>Impact</t>
        </is>
      </c>
      <c r="D4" s="71" t="inlineStr">
        <is>
          <t>Owner</t>
        </is>
      </c>
      <c r="E4" s="71" t="inlineStr">
        <is>
          <t>Status</t>
        </is>
      </c>
      <c r="F4" s="71" t="inlineStr">
        <is>
          <t>Notes</t>
        </is>
      </c>
    </row>
    <row r="5">
      <c r="A5" t="inlineStr">
        <is>
          <t>ASM-001</t>
        </is>
      </c>
      <c r="B5" t="inlineStr">
        <is>
          <t>Base currency EUR</t>
        </is>
      </c>
      <c r="C5" t="inlineStr">
        <is>
          <t>All costs converted to EUR</t>
        </is>
      </c>
      <c r="D5" t="inlineStr">
        <is>
          <t>Estimator</t>
        </is>
      </c>
      <c r="E5" t="inlineStr">
        <is>
          <t>Active</t>
        </is>
      </c>
      <c r="F5" t="inlineStr">
        <is>
          <t>FX rates configurable</t>
        </is>
      </c>
    </row>
    <row r="6">
      <c r="A6" t="inlineStr">
        <is>
          <t>ASM-002</t>
        </is>
      </c>
      <c r="B6" t="inlineStr">
        <is>
          <t>Demo project base cost 40 M€</t>
        </is>
      </c>
      <c r="C6" t="inlineStr">
        <is>
          <t>UAT reference target</t>
        </is>
      </c>
      <c r="D6" t="inlineStr">
        <is>
          <t>Estimator</t>
        </is>
      </c>
      <c r="E6" t="inlineStr">
        <is>
          <t>Active</t>
        </is>
      </c>
      <c r="F6" t="inlineStr">
        <is>
          <t>Generated from demo rows</t>
        </is>
      </c>
    </row>
    <row r="7">
      <c r="A7" t="inlineStr">
        <is>
          <t>ASM-003</t>
        </is>
      </c>
      <c r="B7" t="inlineStr">
        <is>
          <t>Estimate Class 3 default range -20%/+30%</t>
        </is>
      </c>
      <c r="C7" t="inlineStr">
        <is>
          <t>MC low/high inputs</t>
        </is>
      </c>
      <c r="D7" t="inlineStr">
        <is>
          <t>Estimator</t>
        </is>
      </c>
      <c r="E7" t="inlineStr">
        <is>
          <t>Active</t>
        </is>
      </c>
      <c r="F7" t="inlineStr">
        <is>
          <t>Basis_of_Estimate configurable</t>
        </is>
      </c>
    </row>
    <row r="8">
      <c r="A8" t="inlineStr">
        <is>
          <t>ASM-004</t>
        </is>
      </c>
      <c r="B8" t="inlineStr">
        <is>
          <t>Annual escalation 3%</t>
        </is>
      </c>
      <c r="C8" t="inlineStr">
        <is>
          <t>Applied monthly to cash flow</t>
        </is>
      </c>
      <c r="D8" t="inlineStr">
        <is>
          <t>Project Controls</t>
        </is>
      </c>
      <c r="E8" t="inlineStr">
        <is>
          <t>Active</t>
        </is>
      </c>
      <c r="F8" t="inlineStr">
        <is>
          <t>Separate from contingency</t>
        </is>
      </c>
    </row>
    <row r="9">
      <c r="A9" t="inlineStr">
        <is>
          <t>ASM-005</t>
        </is>
      </c>
      <c r="B9" t="inlineStr">
        <is>
          <t>Recommended contingency = P80 - Base Cost</t>
        </is>
      </c>
      <c r="C9" t="inlineStr">
        <is>
          <t>Summary contingency logic</t>
        </is>
      </c>
      <c r="D9" t="inlineStr">
        <is>
          <t>Cost Engineering</t>
        </is>
      </c>
      <c r="E9" t="inlineStr">
        <is>
          <t>Active</t>
        </is>
      </c>
      <c r="F9" t="inlineStr">
        <is>
          <t>Monte Carlo triangular distribution</t>
        </is>
      </c>
    </row>
    <row r="10">
      <c r="A10" t="inlineStr">
        <is>
          <t>ASM-006</t>
        </is>
      </c>
      <c r="B10" t="inlineStr">
        <is>
          <t>Hours per month = 160</t>
        </is>
      </c>
      <c r="C10" t="inlineStr">
        <is>
          <t>Resource monthly rates</t>
        </is>
      </c>
      <c r="D10" t="inlineStr">
        <is>
          <t>Project Controls</t>
        </is>
      </c>
      <c r="E10" t="inlineStr">
        <is>
          <t>Active</t>
        </is>
      </c>
      <c r="F10" t="inlineStr">
        <is>
          <t>Resource_Rates configurable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007F6000"/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4.25"/>
  <cols>
    <col width="20" customWidth="1" style="70" min="1" max="1"/>
    <col width="14" customWidth="1" style="70" min="2" max="2"/>
    <col width="48" customWidth="1" style="70" min="3" max="4"/>
    <col width="16" customWidth="1" style="70" min="5" max="5"/>
  </cols>
  <sheetData>
    <row r="1" ht="27.95000076293945" customHeight="1" s="70">
      <c r="A1" s="66" t="inlineStr">
        <is>
          <t>Change Log</t>
        </is>
      </c>
      <c r="B1" s="35" t="n"/>
      <c r="C1" s="35" t="n"/>
      <c r="D1" s="35" t="n"/>
      <c r="E1" s="35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Generated as part of the clean rebuild package.</t>
        </is>
      </c>
      <c r="B2" s="35" t="n"/>
      <c r="C2" s="35" t="n"/>
      <c r="D2" s="35" t="n"/>
      <c r="E2" s="35" t="n"/>
    </row>
    <row r="4" ht="24" customHeight="1" s="70">
      <c r="A4" s="71" t="inlineStr">
        <is>
          <t>Version</t>
        </is>
      </c>
      <c r="B4" s="71" t="inlineStr">
        <is>
          <t>Date</t>
        </is>
      </c>
      <c r="C4" s="71" t="inlineStr">
        <is>
          <t>Change</t>
        </is>
      </c>
      <c r="D4" s="71" t="inlineStr">
        <is>
          <t>Reason</t>
        </is>
      </c>
      <c r="E4" s="71" t="inlineStr">
        <is>
          <t>Status</t>
        </is>
      </c>
    </row>
    <row r="5">
      <c r="A5" t="inlineStr">
        <is>
          <t>RC8 Clean Build</t>
        </is>
      </c>
      <c r="B5" s="83" t="n">
        <v>46176</v>
      </c>
      <c r="C5" t="inlineStr">
        <is>
          <t>Rebuilt workbook structure from scratch</t>
        </is>
      </c>
      <c r="D5" t="inlineStr">
        <is>
          <t>Avoid legacy corruption and macro issues</t>
        </is>
      </c>
      <c r="E5" t="inlineStr">
        <is>
          <t>Complete</t>
        </is>
      </c>
    </row>
    <row r="6">
      <c r="A6" t="inlineStr">
        <is>
          <t>RC8 Clean Build</t>
        </is>
      </c>
      <c r="B6" s="83" t="n">
        <v>46176</v>
      </c>
      <c r="C6" t="inlineStr">
        <is>
          <t>Separated data outputs from charts</t>
        </is>
      </c>
      <c r="D6" t="inlineStr">
        <is>
          <t>Avoid chart movement/rotation/blank charts</t>
        </is>
      </c>
      <c r="E6" t="inlineStr">
        <is>
          <t>Complete</t>
        </is>
      </c>
    </row>
    <row r="7">
      <c r="A7" t="inlineStr">
        <is>
          <t>RC8 Clean Build</t>
        </is>
      </c>
      <c r="B7" s="83" t="n">
        <v>46176</v>
      </c>
      <c r="C7" t="inlineStr">
        <is>
          <t>Added .bas VBA source export</t>
        </is>
      </c>
      <c r="D7" t="inlineStr">
        <is>
          <t>Macro source ready for controlled import</t>
        </is>
      </c>
      <c r="E7" t="inlineStr">
        <is>
          <t>Complete</t>
        </is>
      </c>
    </row>
    <row r="8">
      <c r="B8" s="83" t="n"/>
    </row>
    <row r="9">
      <c r="B9" s="83" t="n"/>
    </row>
    <row r="10">
      <c r="B10" s="83" t="n"/>
    </row>
    <row r="11">
      <c r="B11" s="83" t="n"/>
    </row>
    <row r="12">
      <c r="B12" s="83" t="n"/>
    </row>
    <row r="13">
      <c r="B13" s="83" t="n"/>
    </row>
    <row r="14">
      <c r="B14" s="83" t="n"/>
    </row>
    <row r="15">
      <c r="B15" s="83" t="n"/>
    </row>
    <row r="16">
      <c r="B16" s="83" t="n"/>
    </row>
    <row r="17">
      <c r="B17" s="83" t="n"/>
    </row>
    <row r="18">
      <c r="B18" s="83" t="n"/>
    </row>
    <row r="19">
      <c r="B19" s="83" t="n"/>
    </row>
    <row r="20">
      <c r="B20" s="83" t="n"/>
    </row>
  </sheetData>
  <mergeCells count="2">
    <mergeCell ref="A2:E2"/>
    <mergeCell ref="A1:E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007F6000"/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4.25"/>
  <cols>
    <col width="14" customWidth="1" style="70" min="1" max="2"/>
    <col width="24" customWidth="1" style="70" min="3" max="3"/>
    <col width="60" customWidth="1" style="70" min="4" max="4"/>
    <col width="40" customWidth="1" style="70" min="5" max="5"/>
  </cols>
  <sheetData>
    <row r="1" ht="27.95000076293945" customHeight="1" s="70">
      <c r="A1" s="66" t="inlineStr">
        <is>
          <t>Version History</t>
        </is>
      </c>
      <c r="B1" s="35" t="n"/>
      <c r="C1" s="35" t="n"/>
      <c r="D1" s="35" t="n"/>
      <c r="E1" s="35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Generated as part of the clean rebuild package.</t>
        </is>
      </c>
      <c r="B2" s="35" t="n"/>
      <c r="C2" s="35" t="n"/>
      <c r="D2" s="35" t="n"/>
      <c r="E2" s="35" t="n"/>
    </row>
    <row r="4" ht="24" customHeight="1" s="70">
      <c r="A4" s="71" t="inlineStr">
        <is>
          <t>Version</t>
        </is>
      </c>
      <c r="B4" s="71" t="inlineStr">
        <is>
          <t>Date</t>
        </is>
      </c>
      <c r="C4" s="71" t="inlineStr">
        <is>
          <t>Author</t>
        </is>
      </c>
      <c r="D4" s="71" t="inlineStr">
        <is>
          <t>Description</t>
        </is>
      </c>
      <c r="E4" s="71" t="inlineStr">
        <is>
          <t>Compatibility</t>
        </is>
      </c>
    </row>
    <row r="5">
      <c r="A5" t="inlineStr">
        <is>
          <t>RC8.0</t>
        </is>
      </c>
      <c r="B5" s="83" t="n">
        <v>46176</v>
      </c>
      <c r="C5" t="inlineStr">
        <is>
          <t>OpenAI generated build</t>
        </is>
      </c>
      <c r="D5" t="inlineStr">
        <is>
          <t>Clean rebuild package with xlsx workbook + VBA source .bas</t>
        </is>
      </c>
      <c r="E5" t="inlineStr">
        <is>
          <t>Excel desktop; VBA import required for macros</t>
        </is>
      </c>
    </row>
    <row r="6">
      <c r="B6" s="83" t="n"/>
    </row>
    <row r="7">
      <c r="B7" s="83" t="n"/>
    </row>
    <row r="8">
      <c r="B8" s="83" t="n"/>
    </row>
    <row r="9">
      <c r="B9" s="83" t="n"/>
    </row>
    <row r="10">
      <c r="B10" s="83" t="n"/>
    </row>
    <row r="11">
      <c r="B11" s="83" t="n"/>
    </row>
    <row r="12">
      <c r="B12" s="83" t="n"/>
    </row>
    <row r="13">
      <c r="B13" s="83" t="n"/>
    </row>
    <row r="14">
      <c r="B14" s="83" t="n"/>
    </row>
    <row r="15">
      <c r="B15" s="83" t="n"/>
    </row>
    <row r="16">
      <c r="B16" s="83" t="n"/>
    </row>
    <row r="17">
      <c r="B17" s="83" t="n"/>
    </row>
    <row r="18">
      <c r="B18" s="83" t="n"/>
    </row>
    <row r="19">
      <c r="B19" s="83" t="n"/>
    </row>
    <row r="20">
      <c r="B20" s="83" t="n"/>
    </row>
  </sheetData>
  <mergeCells count="2">
    <mergeCell ref="A2:E2"/>
    <mergeCell ref="A1:E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007F6000"/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4.25"/>
  <cols>
    <col width="24" customWidth="1" style="70" min="1" max="2"/>
    <col width="14" customWidth="1" style="70" min="3" max="3"/>
    <col width="52" customWidth="1" style="70" min="4" max="5"/>
  </cols>
  <sheetData>
    <row r="1" ht="27.95000076293945" customHeight="1" s="70">
      <c r="A1" s="66" t="inlineStr">
        <is>
          <t>Validation Log</t>
        </is>
      </c>
      <c r="B1" s="35" t="n"/>
      <c r="C1" s="35" t="n"/>
      <c r="D1" s="35" t="n"/>
      <c r="E1" s="35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Generated as part of the clean rebuild package.</t>
        </is>
      </c>
      <c r="B2" s="35" t="n"/>
      <c r="C2" s="35" t="n"/>
      <c r="D2" s="35" t="n"/>
      <c r="E2" s="35" t="n"/>
    </row>
    <row r="4" ht="24" customHeight="1" s="70">
      <c r="A4" s="71" t="inlineStr">
        <is>
          <t>Gate</t>
        </is>
      </c>
      <c r="B4" s="71" t="inlineStr">
        <is>
          <t>Check</t>
        </is>
      </c>
      <c r="C4" s="71" t="inlineStr">
        <is>
          <t>Result</t>
        </is>
      </c>
      <c r="D4" s="71" t="inlineStr">
        <is>
          <t>Evidence</t>
        </is>
      </c>
      <c r="E4" s="71" t="inlineStr">
        <is>
          <t>Notes</t>
        </is>
      </c>
    </row>
    <row r="5">
      <c r="A5" t="inlineStr">
        <is>
          <t>Gate 1</t>
        </is>
      </c>
      <c r="B5" t="inlineStr">
        <is>
          <t>Workbook structure created</t>
        </is>
      </c>
      <c r="C5" t="inlineStr">
        <is>
          <t>PASS</t>
        </is>
      </c>
      <c r="D5" t="inlineStr">
        <is>
          <t>39 sheets created</t>
        </is>
      </c>
      <c r="E5" t="inlineStr">
        <is>
          <t>No legacy sheet copied</t>
        </is>
      </c>
    </row>
    <row r="6">
      <c r="A6" t="inlineStr">
        <is>
          <t>Gate 2</t>
        </is>
      </c>
      <c r="B6" t="inlineStr">
        <is>
          <t>Core data model populated</t>
        </is>
      </c>
      <c r="C6" t="inlineStr">
        <is>
          <t>PASS</t>
        </is>
      </c>
      <c r="D6" t="inlineStr">
        <is>
          <t>37 Cost_Register rows</t>
        </is>
      </c>
      <c r="E6" t="inlineStr">
        <is>
          <t>Demo loaded</t>
        </is>
      </c>
    </row>
    <row r="7">
      <c r="A7" t="inlineStr">
        <is>
          <t>Gate 3</t>
        </is>
      </c>
      <c r="B7" t="inlineStr">
        <is>
          <t>Base cost reconciliation</t>
        </is>
      </c>
      <c r="C7" t="inlineStr">
        <is>
          <t>PASS</t>
        </is>
      </c>
      <c r="D7" t="inlineStr">
        <is>
          <t>40,000,000 EUR</t>
        </is>
      </c>
      <c r="E7" t="inlineStr">
        <is>
          <t>Python model check</t>
        </is>
      </c>
    </row>
    <row r="8">
      <c r="A8" t="inlineStr">
        <is>
          <t>Gate 4</t>
        </is>
      </c>
      <c r="B8" t="inlineStr">
        <is>
          <t>Cash flow reconciliation</t>
        </is>
      </c>
      <c r="C8" t="inlineStr">
        <is>
          <t>PASS</t>
        </is>
      </c>
      <c r="D8" t="inlineStr">
        <is>
          <t>40,000,000 EUR</t>
        </is>
      </c>
      <c r="E8" t="inlineStr">
        <is>
          <t>Python model check</t>
        </is>
      </c>
    </row>
    <row r="9">
      <c r="A9" t="inlineStr">
        <is>
          <t>Gate 5</t>
        </is>
      </c>
      <c r="B9" t="inlineStr">
        <is>
          <t>Chart source ranges populated</t>
        </is>
      </c>
      <c r="C9" t="inlineStr">
        <is>
          <t>PASS</t>
        </is>
      </c>
      <c r="D9" t="inlineStr">
        <is>
          <t>Charts sheet data present</t>
        </is>
      </c>
      <c r="E9" t="inlineStr">
        <is>
          <t>Chart objects attempted in workbook</t>
        </is>
      </c>
    </row>
    <row r="10">
      <c r="A10" t="inlineStr">
        <is>
          <t>Gate 6</t>
        </is>
      </c>
      <c r="B10" t="inlineStr">
        <is>
          <t>Monte Carlo statistics generated</t>
        </is>
      </c>
      <c r="C10" t="inlineStr">
        <is>
          <t>PASS</t>
        </is>
      </c>
      <c r="D10" t="inlineStr">
        <is>
          <t>10000 iterations</t>
        </is>
      </c>
      <c r="E10" t="inlineStr">
        <is>
          <t>Python simulation with fixed seed</t>
        </is>
      </c>
    </row>
    <row r="11">
      <c r="A11" t="inlineStr">
        <is>
          <t>Gate 7</t>
        </is>
      </c>
      <c r="B11" t="inlineStr">
        <is>
          <t>QA/UAT sheets created</t>
        </is>
      </c>
      <c r="C11" t="inlineStr">
        <is>
          <t>PASS</t>
        </is>
      </c>
      <c r="D11" t="inlineStr">
        <is>
          <t>QA checks sheet populated</t>
        </is>
      </c>
      <c r="E11" t="inlineStr">
        <is>
          <t>Excel formulas should recalculate on open</t>
        </is>
      </c>
    </row>
    <row r="12">
      <c r="A12" t="inlineStr">
        <is>
          <t>Gate 8</t>
        </is>
      </c>
      <c r="B12" t="inlineStr">
        <is>
          <t>Final Excel desktop verification</t>
        </is>
      </c>
      <c r="C12" t="inlineStr">
        <is>
          <t>LIMITATION</t>
        </is>
      </c>
      <c r="D12" t="inlineStr">
        <is>
          <t>Not executable in this environment</t>
        </is>
      </c>
      <c r="E12" t="inlineStr">
        <is>
          <t>User must open in Excel to confirm no repair warnings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007F6000"/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4.25"/>
  <cols>
    <col width="24" customWidth="1" style="70" min="1" max="1"/>
    <col width="90" customWidth="1" style="70" min="2" max="2"/>
  </cols>
  <sheetData>
    <row r="1" ht="27.95000076293945" customHeight="1" s="70">
      <c r="A1" s="66" t="inlineStr">
        <is>
          <t>ReadMe - RC8.1 Candidate</t>
        </is>
      </c>
      <c r="B1" s="35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Purpose</t>
        </is>
      </c>
      <c r="B2" s="35" t="n"/>
    </row>
    <row r="3">
      <c r="A3" t="inlineStr">
        <is>
          <t>How to use</t>
        </is>
      </c>
      <c r="B3" t="inlineStr">
        <is>
          <t>Open workbook, import corrected .bas into VBE, save as .xlsm, then run RefreshAll.</t>
        </is>
      </c>
    </row>
    <row r="4" ht="24" customHeight="1" s="70">
      <c r="A4" s="71" t="inlineStr">
        <is>
          <t>Required Excel</t>
        </is>
      </c>
      <c r="B4" s="71" t="inlineStr">
        <is>
          <t>Microsoft Excel desktop for Windows recommended for VBA execution.</t>
        </is>
      </c>
    </row>
    <row r="5">
      <c r="A5" t="inlineStr">
        <is>
          <t>Data Mode</t>
        </is>
      </c>
      <c r="B5" t="inlineStr">
        <is>
          <t>Use Project_Setup!B18 to mark Blank / Demo / User Data.</t>
        </is>
      </c>
    </row>
    <row r="6">
      <c r="A6" t="inlineStr">
        <is>
          <t>Core workflow</t>
        </is>
      </c>
      <c r="B6" t="inlineStr">
        <is>
          <t>LoadDemoProject or enter inputs, BuildCostRegister, CalculateCashFlow, RunMonteCarlo, RunQA.</t>
        </is>
      </c>
    </row>
    <row r="7">
      <c r="A7" t="inlineStr">
        <is>
          <t>No hardcoding principle</t>
        </is>
      </c>
      <c r="B7" t="inlineStr">
        <is>
          <t>Change duration, class, currency, cost items and rates from input/configuration sheets.</t>
        </is>
      </c>
    </row>
    <row r="8">
      <c r="A8" t="inlineStr">
        <is>
          <t>Macros</t>
        </is>
      </c>
      <c r="B8" t="inlineStr">
        <is>
          <t>VBA writes only controlled output ranges; charts remain pre-positioned and linked to source ranges.</t>
        </is>
      </c>
    </row>
    <row r="9">
      <c r="A9" t="inlineStr">
        <is>
          <t>Known limitation</t>
        </is>
      </c>
      <c r="B9" t="inlineStr">
        <is>
          <t>This generated workbook is xlsx; final xlsm conversion requires importing the supplied .bas in Excel.</t>
        </is>
      </c>
    </row>
    <row r="10">
      <c r="A10" t="inlineStr">
        <is>
          <t>Known limitation</t>
        </is>
      </c>
      <c r="B10" t="inlineStr">
        <is>
          <t>This environment cannot compile or embed a verified vbaProject.bin without Excel desktop/VBE.</t>
        </is>
      </c>
    </row>
  </sheetData>
  <mergeCells count="2">
    <mergeCell ref="A2:B2"/>
    <mergeCell ref="A1:B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tabColor rgb="007F6000"/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4.25"/>
  <cols>
    <col width="22" customWidth="1" style="70" min="1" max="1"/>
    <col width="48" customWidth="1" style="70" min="2" max="4"/>
  </cols>
  <sheetData>
    <row r="1" ht="27.95000076293945" customHeight="1" s="70">
      <c r="A1" s="66" t="inlineStr">
        <is>
          <t>Functional Specification</t>
        </is>
      </c>
      <c r="B1" s="35" t="n"/>
      <c r="C1" s="35" t="n"/>
      <c r="D1" s="35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Generated as part of the clean rebuild package.</t>
        </is>
      </c>
      <c r="B2" s="35" t="n"/>
      <c r="C2" s="35" t="n"/>
      <c r="D2" s="35" t="n"/>
    </row>
    <row r="4" ht="24" customHeight="1" s="70">
      <c r="A4" s="71" t="inlineStr">
        <is>
          <t>Area</t>
        </is>
      </c>
      <c r="B4" s="71" t="inlineStr">
        <is>
          <t>From RC7.1</t>
        </is>
      </c>
      <c r="C4" s="71" t="inlineStr">
        <is>
          <t>From Cargill benchmark</t>
        </is>
      </c>
      <c r="D4" s="71" t="inlineStr">
        <is>
          <t>Decision for RC8</t>
        </is>
      </c>
    </row>
    <row r="5">
      <c r="A5" t="inlineStr">
        <is>
          <t>Project Setup</t>
        </is>
      </c>
      <c r="B5" t="inlineStr">
        <is>
          <t>Compact metadata and setup fields</t>
        </is>
      </c>
      <c r="C5" t="inlineStr">
        <is>
          <t>Formal cover/reporting and project metadata</t>
        </is>
      </c>
      <c r="D5" t="inlineStr">
        <is>
          <t>Use simple Project_Setup plus Control_Panel</t>
        </is>
      </c>
    </row>
    <row r="6">
      <c r="A6" t="inlineStr">
        <is>
          <t>Basis of Estimate</t>
        </is>
      </c>
      <c r="B6" t="inlineStr">
        <is>
          <t>AACE-like Class 1-5 ranges</t>
        </is>
      </c>
      <c r="C6" t="inlineStr">
        <is>
          <t>Estimate maturity and quality matrix</t>
        </is>
      </c>
      <c r="D6" t="inlineStr">
        <is>
          <t>Configurable AACE ranges, linked to input formulas</t>
        </is>
      </c>
    </row>
    <row r="7">
      <c r="A7" t="inlineStr">
        <is>
          <t>Cost Input</t>
        </is>
      </c>
      <c r="B7" t="inlineStr">
        <is>
          <t>Separate discipline input tabs</t>
        </is>
      </c>
      <c r="C7" t="inlineStr">
        <is>
          <t>Detailed MTO and CBS-driven data</t>
        </is>
      </c>
      <c r="D7" t="inlineStr">
        <is>
          <t>Keep discipline tabs but normalize into Cost_Register</t>
        </is>
      </c>
    </row>
    <row r="8">
      <c r="A8" t="inlineStr">
        <is>
          <t>WBS/CBS</t>
        </is>
      </c>
      <c r="B8" t="inlineStr">
        <is>
          <t>Standard list and dropdown concept</t>
        </is>
      </c>
      <c r="C8" t="inlineStr">
        <is>
          <t>Robust CBS reporting and drill-through</t>
        </is>
      </c>
      <c r="D8" t="inlineStr">
        <is>
          <t>Use WBS_CBS config and CBS aggregation</t>
        </is>
      </c>
    </row>
    <row r="9">
      <c r="A9" t="inlineStr">
        <is>
          <t>Cost Register</t>
        </is>
      </c>
      <c r="B9" t="inlineStr">
        <is>
          <t>Flat output from macro</t>
        </is>
      </c>
      <c r="C9" t="inlineStr">
        <is>
          <t>Estimate Data as central calculation core</t>
        </is>
      </c>
      <c r="D9" t="inlineStr">
        <is>
          <t>Cost_Register is single source of truth</t>
        </is>
      </c>
    </row>
    <row r="10">
      <c r="A10" t="inlineStr">
        <is>
          <t>Dashboard / Charts</t>
        </is>
      </c>
      <c r="B10" t="inlineStr">
        <is>
          <t>Linked charts and MC output areas</t>
        </is>
      </c>
      <c r="C10" t="inlineStr">
        <is>
          <t>Executive report and CBS summaries</t>
        </is>
      </c>
      <c r="D10" t="inlineStr">
        <is>
          <t>Use stable chart data ranges; no VBA chart manipulation</t>
        </is>
      </c>
    </row>
    <row r="11">
      <c r="A11" t="inlineStr">
        <is>
          <t>Contingency</t>
        </is>
      </c>
      <c r="B11" t="inlineStr">
        <is>
          <t>Manual/MC concept</t>
        </is>
      </c>
      <c r="C11" t="inlineStr">
        <is>
          <t>3-point estimate / allowance maturity</t>
        </is>
      </c>
      <c r="D11" t="inlineStr">
        <is>
          <t>Triangular MC; contingency separated from escalation</t>
        </is>
      </c>
    </row>
    <row r="12">
      <c r="A12" t="inlineStr">
        <is>
          <t>Escalation / Cash Flow</t>
        </is>
      </c>
      <c r="B12" t="inlineStr">
        <is>
          <t>Basic cashflow sheet</t>
        </is>
      </c>
      <c r="C12" t="inlineStr">
        <is>
          <t>Spend by phase and indexation</t>
        </is>
      </c>
      <c r="D12" t="inlineStr">
        <is>
          <t>Monthly cashflow and escalation by period</t>
        </is>
      </c>
    </row>
    <row r="13">
      <c r="A13" t="inlineStr">
        <is>
          <t>QA</t>
        </is>
      </c>
      <c r="B13" t="inlineStr">
        <is>
          <t>QA sheet existed</t>
        </is>
      </c>
      <c r="C13" t="inlineStr">
        <is>
          <t>Audit checks and quality matrix</t>
        </is>
      </c>
      <c r="D13" t="inlineStr">
        <is>
          <t>Explicit Critical/High QA gates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tabColor rgb="007F6000"/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4.25"/>
  <cols>
    <col width="42" customWidth="1" style="70" min="1" max="4"/>
  </cols>
  <sheetData>
    <row r="1" ht="27.95000076293945" customHeight="1" s="70">
      <c r="A1" s="66" t="inlineStr">
        <is>
          <t>Technical Architecture</t>
        </is>
      </c>
      <c r="B1" s="35" t="n"/>
      <c r="C1" s="35" t="n"/>
      <c r="D1" s="35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Generated as part of the clean rebuild package.</t>
        </is>
      </c>
      <c r="B2" s="35" t="n"/>
      <c r="C2" s="35" t="n"/>
      <c r="D2" s="35" t="n"/>
    </row>
    <row r="4" ht="24" customHeight="1" s="70">
      <c r="A4" s="71" t="inlineStr">
        <is>
          <t>Layer</t>
        </is>
      </c>
      <c r="B4" s="71" t="inlineStr">
        <is>
          <t>Components</t>
        </is>
      </c>
      <c r="C4" s="71" t="inlineStr">
        <is>
          <t>Design Rule</t>
        </is>
      </c>
      <c r="D4" s="71" t="inlineStr">
        <is>
          <t>Rationale</t>
        </is>
      </c>
    </row>
    <row r="5">
      <c r="A5" t="inlineStr">
        <is>
          <t>Presentation</t>
        </is>
      </c>
      <c r="B5" t="inlineStr">
        <is>
          <t>Control_Panel, Summary, Dashboard, Charts</t>
        </is>
      </c>
      <c r="C5" t="inlineStr">
        <is>
          <t>No direct reads from input sheets</t>
        </is>
      </c>
      <c r="D5" t="inlineStr">
        <is>
          <t>Stable reporting</t>
        </is>
      </c>
    </row>
    <row r="6">
      <c r="A6" t="inlineStr">
        <is>
          <t>Business Logic</t>
        </is>
      </c>
      <c r="B6" t="inlineStr">
        <is>
          <t>BuildCostRegister, CashFlow, Escalation, Monte Carlo, QA</t>
        </is>
      </c>
      <c r="C6" t="inlineStr">
        <is>
          <t>Header-based VBA only</t>
        </is>
      </c>
      <c r="D6" t="inlineStr">
        <is>
          <t>Avoid wrong-cell writes</t>
        </is>
      </c>
    </row>
    <row r="7">
      <c r="A7" t="inlineStr">
        <is>
          <t>Data</t>
        </is>
      </c>
      <c r="B7" t="inlineStr">
        <is>
          <t>Cost_Register, WBS_CBS, FX_Rates, Lists_Config</t>
        </is>
      </c>
      <c r="C7" t="inlineStr">
        <is>
          <t>Flat normalized tables, no subtotals</t>
        </is>
      </c>
      <c r="D7" t="inlineStr">
        <is>
          <t>Maintainable model</t>
        </is>
      </c>
    </row>
    <row r="8">
      <c r="A8" t="inlineStr">
        <is>
          <t>Compatibility</t>
        </is>
      </c>
      <c r="B8" t="inlineStr">
        <is>
          <t>xlsx workbook + .bas source</t>
        </is>
      </c>
      <c r="C8" t="inlineStr">
        <is>
          <t>No XML hacking or copied vbaProject</t>
        </is>
      </c>
      <c r="D8" t="inlineStr">
        <is>
          <t>Avoid file corruption</t>
        </is>
      </c>
    </row>
    <row r="9">
      <c r="A9" t="inlineStr">
        <is>
          <t>Charts</t>
        </is>
      </c>
      <c r="B9" t="inlineStr">
        <is>
          <t>Pre-positioned chart objects and source tables</t>
        </is>
      </c>
      <c r="C9" t="inlineStr">
        <is>
          <t>Macros update data only</t>
        </is>
      </c>
      <c r="D9" t="inlineStr">
        <is>
          <t>Avoid blank/rotated/overlapping charts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tabColor rgb="007F6000"/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4.25"/>
  <cols>
    <col width="10" customWidth="1" style="70" min="1" max="1"/>
    <col width="38" customWidth="1" style="70" min="2" max="4"/>
    <col width="28" customWidth="1" style="70" min="5" max="5"/>
  </cols>
  <sheetData>
    <row r="1" ht="27.95000076293945" customHeight="1" s="70">
      <c r="A1" s="66" t="inlineStr">
        <is>
          <t>Data Flow Map</t>
        </is>
      </c>
      <c r="B1" s="35" t="n"/>
      <c r="C1" s="35" t="n"/>
      <c r="D1" s="35" t="n"/>
      <c r="E1" s="35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Generated as part of the clean rebuild package.</t>
        </is>
      </c>
      <c r="B2" s="35" t="n"/>
      <c r="C2" s="35" t="n"/>
      <c r="D2" s="35" t="n"/>
      <c r="E2" s="35" t="n"/>
    </row>
    <row r="4" ht="24" customHeight="1" s="70">
      <c r="A4" s="71" t="inlineStr">
        <is>
          <t>Step</t>
        </is>
      </c>
      <c r="B4" s="71" t="inlineStr">
        <is>
          <t>Source</t>
        </is>
      </c>
      <c r="C4" s="71" t="inlineStr">
        <is>
          <t>Transformation</t>
        </is>
      </c>
      <c r="D4" s="71" t="inlineStr">
        <is>
          <t>Destination</t>
        </is>
      </c>
      <c r="E4" s="71" t="inlineStr">
        <is>
          <t>Control</t>
        </is>
      </c>
    </row>
    <row r="5">
      <c r="A5" t="inlineStr">
        <is>
          <t>1</t>
        </is>
      </c>
      <c r="B5" t="inlineStr">
        <is>
          <t>Project_Setup / Lists_Config / FX_Rates</t>
        </is>
      </c>
      <c r="C5" t="inlineStr">
        <is>
          <t>Configuration and validation lists</t>
        </is>
      </c>
      <c r="D5" t="inlineStr">
        <is>
          <t>Input sheets</t>
        </is>
      </c>
      <c r="E5" t="inlineStr">
        <is>
          <t>Dropdowns / formulas</t>
        </is>
      </c>
    </row>
    <row r="6">
      <c r="A6" t="inlineStr">
        <is>
          <t>2</t>
        </is>
      </c>
      <c r="B6" t="inlineStr">
        <is>
          <t>Input sheets + Manpower_Plan</t>
        </is>
      </c>
      <c r="C6" t="inlineStr">
        <is>
          <t>Header-based extraction</t>
        </is>
      </c>
      <c r="D6" t="inlineStr">
        <is>
          <t>Cost_Register</t>
        </is>
      </c>
      <c r="E6" t="inlineStr">
        <is>
          <t>BuildCostRegister macro</t>
        </is>
      </c>
    </row>
    <row r="7">
      <c r="A7" t="inlineStr">
        <is>
          <t>3</t>
        </is>
      </c>
      <c r="B7" t="inlineStr">
        <is>
          <t>Cost_Register</t>
        </is>
      </c>
      <c r="C7" t="inlineStr">
        <is>
          <t>SUMIFS aggregation</t>
        </is>
      </c>
      <c r="D7" t="inlineStr">
        <is>
          <t>Estimate_BuildUp</t>
        </is>
      </c>
      <c r="E7" t="inlineStr">
        <is>
          <t>Reconciliation check</t>
        </is>
      </c>
    </row>
    <row r="8">
      <c r="A8" t="inlineStr">
        <is>
          <t>4</t>
        </is>
      </c>
      <c r="B8" t="inlineStr">
        <is>
          <t>Cost_Register</t>
        </is>
      </c>
      <c r="C8" t="inlineStr">
        <is>
          <t>Monthly phasing by start/end/curve</t>
        </is>
      </c>
      <c r="D8" t="inlineStr">
        <is>
          <t>CashFlow</t>
        </is>
      </c>
      <c r="E8" t="inlineStr">
        <is>
          <t>Cash flow QA</t>
        </is>
      </c>
    </row>
    <row r="9">
      <c r="A9" t="inlineStr">
        <is>
          <t>5</t>
        </is>
      </c>
      <c r="B9" t="inlineStr">
        <is>
          <t>CashFlow</t>
        </is>
      </c>
      <c r="C9" t="inlineStr">
        <is>
          <t>Apply monthly escalation factors</t>
        </is>
      </c>
      <c r="D9" t="inlineStr">
        <is>
          <t>Escalation</t>
        </is>
      </c>
      <c r="E9" t="inlineStr">
        <is>
          <t>Escalation QA</t>
        </is>
      </c>
    </row>
    <row r="10">
      <c r="A10" t="inlineStr">
        <is>
          <t>6</t>
        </is>
      </c>
      <c r="B10" t="inlineStr">
        <is>
          <t>Cost_Register</t>
        </is>
      </c>
      <c r="C10" t="inlineStr">
        <is>
          <t>Triangular MC on eligible items</t>
        </is>
      </c>
      <c r="D10" t="inlineStr">
        <is>
          <t>MonteCarlo_Results</t>
        </is>
      </c>
      <c r="E10" t="inlineStr">
        <is>
          <t>Percentile QA</t>
        </is>
      </c>
    </row>
    <row r="11">
      <c r="A11" t="inlineStr">
        <is>
          <t>7</t>
        </is>
      </c>
      <c r="B11" t="inlineStr">
        <is>
          <t>BuildUp/Escalation/Contingency/MC</t>
        </is>
      </c>
      <c r="C11" t="inlineStr">
        <is>
          <t>Executive aggregation</t>
        </is>
      </c>
      <c r="D11" t="inlineStr">
        <is>
          <t>Estimate_Summary / Dashboard / Charts</t>
        </is>
      </c>
      <c r="E11" t="inlineStr">
        <is>
          <t>QA_Checks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tabColor rgb="007F6000"/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4.25"/>
  <cols>
    <col width="22" customWidth="1" style="70" min="1" max="1"/>
    <col width="48" customWidth="1" style="70" min="2" max="4"/>
  </cols>
  <sheetData>
    <row r="1" ht="27.95000076293945" customHeight="1" s="70">
      <c r="A1" s="66" t="inlineStr">
        <is>
          <t>Gap Analysis</t>
        </is>
      </c>
      <c r="B1" s="35" t="n"/>
      <c r="C1" s="35" t="n"/>
      <c r="D1" s="35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Generated as part of the clean rebuild package.</t>
        </is>
      </c>
      <c r="B2" s="35" t="n"/>
      <c r="C2" s="35" t="n"/>
      <c r="D2" s="35" t="n"/>
    </row>
    <row r="4" ht="24" customHeight="1" s="70">
      <c r="A4" s="71" t="inlineStr">
        <is>
          <t>Area</t>
        </is>
      </c>
      <c r="B4" s="71" t="inlineStr">
        <is>
          <t>RC7.1 Gap</t>
        </is>
      </c>
      <c r="C4" s="71" t="inlineStr">
        <is>
          <t>Cargill Benchmark Strength</t>
        </is>
      </c>
      <c r="D4" s="71" t="inlineStr">
        <is>
          <t>RC8 Response</t>
        </is>
      </c>
    </row>
    <row r="5">
      <c r="A5" t="inlineStr">
        <is>
          <t>Macro stability</t>
        </is>
      </c>
      <c r="B5" t="inlineStr">
        <is>
          <t>MC/chart macros had wrong-cell/chart manipulation risks</t>
        </is>
      </c>
      <c r="C5" t="inlineStr">
        <is>
          <t>Cargill relies on stable report tabs</t>
        </is>
      </c>
      <c r="D5" t="inlineStr">
        <is>
          <t>Separate macro data output from charts</t>
        </is>
      </c>
    </row>
    <row r="6">
      <c r="A6" t="inlineStr">
        <is>
          <t>Corporate reporting</t>
        </is>
      </c>
      <c r="B6" t="inlineStr">
        <is>
          <t>Limited summary/report views</t>
        </is>
      </c>
      <c r="C6" t="inlineStr">
        <is>
          <t>Strong CBS/IPA/DPET reporting</t>
        </is>
      </c>
      <c r="D6" t="inlineStr">
        <is>
          <t>Add Functional_Spec, UAT, QA and dashboard</t>
        </is>
      </c>
    </row>
    <row r="7">
      <c r="A7" t="inlineStr">
        <is>
          <t>Complexity</t>
        </is>
      </c>
      <c r="B7" t="inlineStr">
        <is>
          <t>Small and manageable</t>
        </is>
      </c>
      <c r="C7" t="inlineStr">
        <is>
          <t>Very complex with many helper sheets</t>
        </is>
      </c>
      <c r="D7" t="inlineStr">
        <is>
          <t>Use only best-practice concepts, not technical copy</t>
        </is>
      </c>
    </row>
    <row r="8">
      <c r="A8" t="inlineStr">
        <is>
          <t>Manpower</t>
        </is>
      </c>
      <c r="B8" t="inlineStr">
        <is>
          <t>Needs robust integration</t>
        </is>
      </c>
      <c r="C8" t="inlineStr">
        <is>
          <t>FTE alignment and labour calcs exist</t>
        </is>
      </c>
      <c r="D8" t="inlineStr">
        <is>
          <t>Resource_Rates + Manpower_Plan included in Cost_Register</t>
        </is>
      </c>
    </row>
    <row r="9">
      <c r="A9" t="inlineStr">
        <is>
          <t>File integrity</t>
        </is>
      </c>
      <c r="B9" t="inlineStr">
        <is>
          <t>Prior builds had repair warnings</t>
        </is>
      </c>
      <c r="C9" t="inlineStr">
        <is>
          <t>Mature but heavy template</t>
        </is>
      </c>
      <c r="D9" t="inlineStr">
        <is>
          <t>No legacy XML, no copied sheets, avoid tables where not necessary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tabColor rgb="007F6000"/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4.25"/>
  <cols>
    <col width="12" customWidth="1" style="70" min="1" max="1"/>
    <col width="34" customWidth="1" style="70" min="2" max="4"/>
    <col width="14" customWidth="1" style="70" min="5" max="5"/>
    <col width="50" customWidth="1" style="70" min="6" max="6"/>
  </cols>
  <sheetData>
    <row r="1" ht="27.95000076293945" customHeight="1" s="70">
      <c r="A1" s="66" t="inlineStr">
        <is>
          <t>UAT Report</t>
        </is>
      </c>
      <c r="B1" s="35" t="n"/>
      <c r="C1" s="35" t="n"/>
      <c r="D1" s="35" t="n"/>
      <c r="E1" s="35" t="n"/>
      <c r="F1" s="35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Generated as part of the clean rebuild package.</t>
        </is>
      </c>
      <c r="B2" s="35" t="n"/>
      <c r="C2" s="35" t="n"/>
      <c r="D2" s="35" t="n"/>
      <c r="E2" s="35" t="n"/>
      <c r="F2" s="35" t="n"/>
    </row>
    <row r="4" ht="24" customHeight="1" s="70">
      <c r="A4" s="71" t="inlineStr">
        <is>
          <t>Test ID</t>
        </is>
      </c>
      <c r="B4" s="71" t="inlineStr">
        <is>
          <t>Scenario</t>
        </is>
      </c>
      <c r="C4" s="71" t="inlineStr">
        <is>
          <t>Expected</t>
        </is>
      </c>
      <c r="D4" s="71" t="inlineStr">
        <is>
          <t>Actual</t>
        </is>
      </c>
      <c r="E4" s="71" t="inlineStr">
        <is>
          <t>Status</t>
        </is>
      </c>
      <c r="F4" s="71" t="inlineStr">
        <is>
          <t>Evidence</t>
        </is>
      </c>
    </row>
    <row r="5">
      <c r="A5" t="inlineStr">
        <is>
          <t>UAT-001</t>
        </is>
      </c>
      <c r="B5" t="inlineStr">
        <is>
          <t>Demo base cost equals 40 M€</t>
        </is>
      </c>
      <c r="C5" t="inlineStr">
        <is>
          <t>40,000,000 EUR</t>
        </is>
      </c>
      <c r="D5" t="inlineStr">
        <is>
          <t>40,000,000 EUR</t>
        </is>
      </c>
      <c r="E5" t="inlineStr">
        <is>
          <t>PASS</t>
        </is>
      </c>
      <c r="F5" t="inlineStr">
        <is>
          <t>Python pre-release calculation</t>
        </is>
      </c>
    </row>
    <row r="6">
      <c r="A6" t="inlineStr">
        <is>
          <t>UAT-002</t>
        </is>
      </c>
      <c r="B6" t="inlineStr">
        <is>
          <t>Direct + Indirect + Owner + Manpower + Other = Base Cost</t>
        </is>
      </c>
      <c r="C6" t="inlineStr">
        <is>
          <t>0 EUR variance</t>
        </is>
      </c>
      <c r="D6" t="inlineStr">
        <is>
          <t>0 EUR variance</t>
        </is>
      </c>
      <c r="E6" t="inlineStr">
        <is>
          <t>PASS</t>
        </is>
      </c>
      <c r="F6" t="inlineStr">
        <is>
          <t>{"Direct Cost": 31000000.0, "Indirect Cost": 3400000.0, "Owner Cost": 600000.0, "Other Cost": 1000000.0, "Manpower Cost": 4000000.0}</t>
        </is>
      </c>
    </row>
    <row r="7">
      <c r="A7" t="inlineStr">
        <is>
          <t>UAT-003</t>
        </is>
      </c>
      <c r="B7" t="inlineStr">
        <is>
          <t>Monthly cash flow equals Base Cost</t>
        </is>
      </c>
      <c r="C7" t="inlineStr">
        <is>
          <t>0 EUR variance</t>
        </is>
      </c>
      <c r="D7" t="inlineStr">
        <is>
          <t>0.00 EUR</t>
        </is>
      </c>
      <c r="E7" t="inlineStr">
        <is>
          <t>PASS</t>
        </is>
      </c>
      <c r="F7" t="inlineStr">
        <is>
          <t>CashFlow sheet data</t>
        </is>
      </c>
    </row>
    <row r="8">
      <c r="A8" t="inlineStr">
        <is>
          <t>UAT-004</t>
        </is>
      </c>
      <c r="B8" t="inlineStr">
        <is>
          <t>Escalation separated from contingency</t>
        </is>
      </c>
      <c r="C8" t="inlineStr">
        <is>
          <t>Separate lines</t>
        </is>
      </c>
      <c r="D8" t="inlineStr">
        <is>
          <t>Escalation and Contingency sheets</t>
        </is>
      </c>
      <c r="E8" t="inlineStr">
        <is>
          <t>PASS</t>
        </is>
      </c>
      <c r="F8" t="inlineStr">
        <is>
          <t>Summary structure</t>
        </is>
      </c>
    </row>
    <row r="9">
      <c r="A9" t="inlineStr">
        <is>
          <t>UAT-005</t>
        </is>
      </c>
      <c r="B9" t="inlineStr">
        <is>
          <t>Monte Carlo percentile order</t>
        </is>
      </c>
      <c r="C9" t="inlineStr">
        <is>
          <t>P10&lt;=P50&lt;=P80&lt;=P90</t>
        </is>
      </c>
      <c r="D9" t="inlineStr">
        <is>
          <t>40,255,944 &lt;= 41,322,505 &lt;= 42,043,336 &lt;= 42,415,053</t>
        </is>
      </c>
      <c r="E9" t="inlineStr">
        <is>
          <t>PASS</t>
        </is>
      </c>
      <c r="F9" t="inlineStr">
        <is>
          <t>MonteCarlo_Results</t>
        </is>
      </c>
    </row>
    <row r="10">
      <c r="A10" t="inlineStr">
        <is>
          <t>UAT-006</t>
        </is>
      </c>
      <c r="B10" t="inlineStr">
        <is>
          <t>Recommended contingency = P80 - Base</t>
        </is>
      </c>
      <c r="C10" t="inlineStr">
        <is>
          <t>0 EUR variance</t>
        </is>
      </c>
      <c r="D10" t="inlineStr">
        <is>
          <t>0.00 EUR</t>
        </is>
      </c>
      <c r="E10" t="inlineStr">
        <is>
          <t>PASS</t>
        </is>
      </c>
      <c r="F10" t="inlineStr">
        <is>
          <t>Contingency sheet</t>
        </is>
      </c>
    </row>
    <row r="11">
      <c r="A11" t="inlineStr">
        <is>
          <t>UAT-007</t>
        </is>
      </c>
      <c r="B11" t="inlineStr">
        <is>
          <t>Final Excel open/repair test</t>
        </is>
      </c>
      <c r="C11" t="inlineStr">
        <is>
          <t>No repair warning</t>
        </is>
      </c>
      <c r="D11" t="inlineStr">
        <is>
          <t>Not executed here</t>
        </is>
      </c>
      <c r="E11" t="inlineStr">
        <is>
          <t>LIMITATION</t>
        </is>
      </c>
      <c r="F11" t="inlineStr">
        <is>
          <t>Requires Excel desktop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tabColor rgb="007F6000"/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4.25"/>
  <cols>
    <col width="24" customWidth="1" style="70" min="1" max="1"/>
    <col width="100" customWidth="1" style="70" min="2" max="2"/>
  </cols>
  <sheetData>
    <row r="1" ht="27.95000076293945" customHeight="1" s="70">
      <c r="A1" s="66" t="inlineStr">
        <is>
          <t>Release Notes RC8.1 Candidate</t>
        </is>
      </c>
      <c r="B1" s="35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</row>
    <row r="2" ht="21.95000076293945" customHeight="1" s="70">
      <c r="A2" s="67" t="inlineStr">
        <is>
          <t>Status</t>
        </is>
      </c>
      <c r="B2" s="35" t="n"/>
    </row>
    <row r="3">
      <c r="A3" t="inlineStr">
        <is>
          <t>Important limitation</t>
        </is>
      </c>
      <c r="B3" t="inlineStr">
        <is>
          <t>This environment can export the corrected workbook as .xlsx and the corrected .bas; embedding VBA into a compiled .xlsm requires Excel/VBE.</t>
        </is>
      </c>
    </row>
    <row r="4" ht="24" customHeight="1" s="70">
      <c r="A4" s="71" t="inlineStr">
        <is>
          <t>Core fixes</t>
        </is>
      </c>
      <c r="B4" s="71" t="inlineStr">
        <is>
          <t>Estimate_Summary duration, contingency and total project cost formulas corrected.</t>
        </is>
      </c>
    </row>
    <row r="5">
      <c r="A5" t="inlineStr">
        <is>
          <t>QA fixes</t>
        </is>
      </c>
      <c r="B5" t="inlineStr">
        <is>
          <t>QA_Checks now uses real formula-driven checks instead of hardcoded PASS where feasible.</t>
        </is>
      </c>
    </row>
    <row r="6">
      <c r="A6" t="inlineStr">
        <is>
          <t>No-hardcoding fixes</t>
        </is>
      </c>
      <c r="B6" t="inlineStr">
        <is>
          <t>Project duration, Monte Carlo iterations, standard hours/month and data mode added as configurable parameters.</t>
        </is>
      </c>
    </row>
    <row r="7">
      <c r="A7" t="inlineStr">
        <is>
          <t>CashFlow</t>
        </is>
      </c>
      <c r="B7" t="inlineStr">
        <is>
          <t>Workbook includes formula fallback; corrected VBA rebuilds cash flow dynamically from Cost_Register.</t>
        </is>
      </c>
    </row>
    <row r="8">
      <c r="A8" t="inlineStr">
        <is>
          <t>Manpower</t>
        </is>
      </c>
      <c r="B8" t="inlineStr">
        <is>
          <t>Monthly rate is linked to Resource_Rates; corrected VBA detects active month range instead of forcing 1-36.</t>
        </is>
      </c>
    </row>
    <row r="9">
      <c r="A9" t="inlineStr">
        <is>
          <t>Monte Carlo</t>
        </is>
      </c>
      <c r="B9" t="inlineStr">
        <is>
          <t>Corrected VBA reads iterations from Project_Setup/Control_Panel and writes data only to MonteCarlo_Results.</t>
        </is>
      </c>
    </row>
    <row r="10">
      <c r="A10" t="inlineStr">
        <is>
          <t>Charts</t>
        </is>
      </c>
      <c r="B10" t="inlineStr">
        <is>
          <t>Charts sheet source ranges linked to stable calculation ranges; macro does not manipulate charts.</t>
        </is>
      </c>
    </row>
    <row r="11">
      <c r="A11" t="inlineStr">
        <is>
          <t>Known limitation</t>
        </is>
      </c>
      <c r="B11" t="inlineStr">
        <is>
          <t>Excel desktop is required to import the .bas and save the workbook as a true .xlsm.</t>
        </is>
      </c>
    </row>
    <row r="12">
      <c r="A12" t="inlineStr">
        <is>
          <t>Deferred</t>
        </is>
      </c>
      <c r="B12" t="inlineStr">
        <is>
          <t>Full Cargill MTO suite, IPA metrics and procurement tracker are deferred to a later release.</t>
        </is>
      </c>
    </row>
    <row r="13">
      <c r="A13" t="inlineStr">
        <is>
          <t>Validation</t>
        </is>
      </c>
      <c r="B13" t="inlineStr">
        <is>
          <t>Artifact-level formula scan and structural checks performed; final VBA compile/open test must be performed in Excel desktop after import.</t>
        </is>
      </c>
    </row>
    <row r="14">
      <c r="A14" t="inlineStr">
        <is>
          <t>RC8.1 Chart Patch</t>
        </is>
      </c>
      <c r="B14" t="inlineStr">
        <is>
          <t>Rebuilt Dashboard and Charts using stable source ranges.</t>
        </is>
      </c>
    </row>
    <row r="15">
      <c r="A15" t="inlineStr">
        <is>
          <t>Added</t>
        </is>
      </c>
      <c r="B15" t="inlineStr">
        <is>
          <t>CAPEX waterfall, CAPEX pie breakdown, cash flow S-curve, Monte Carlo S-curve, Monte Carlo distribution, discipline breakdown.</t>
        </is>
      </c>
    </row>
    <row r="16">
      <c r="A16" t="inlineStr">
        <is>
          <t>Design control</t>
        </is>
      </c>
      <c r="B16" t="inlineStr">
        <is>
          <t>Macros update data/ranges only; charts are pre-positioned and linked to Charts sheet source tables.</t>
        </is>
      </c>
    </row>
    <row r="17">
      <c r="A17" t="inlineStr">
        <is>
          <t>Issue addressed</t>
        </is>
      </c>
      <c r="B17" t="inlineStr">
        <is>
          <t>Removed strange/low-value charts and replaced dense/incorrect chart ranges with M€ normalized sources.</t>
        </is>
      </c>
    </row>
    <row r="18">
      <c r="A18" t="inlineStr">
        <is>
          <t>Known limitation</t>
        </is>
      </c>
      <c r="B18" t="inlineStr">
        <is>
          <t>Final macro embedding still requires Excel Desktop to save as .xlsm after importing the .bas module.</t>
        </is>
      </c>
    </row>
    <row r="19">
      <c r="A19" t="inlineStr">
        <is>
          <t>Chart patch refinement</t>
        </is>
      </c>
      <c r="B19" t="inlineStr">
        <is>
          <t>Replaced unstable native Waterfall object with a visible waterfall-style CAPEX composition chart to avoid missing/blank charts in exported workbook.</t>
        </is>
      </c>
    </row>
    <row r="20">
      <c r="A20" t="inlineStr">
        <is>
          <t>Chart patch refinement</t>
        </is>
      </c>
      <c r="B20" t="inlineStr">
        <is>
          <t>Monte Carlo S-curve and cash flow S-curve now use clean M€ / mmm-yy label sources instead of serial/date/index labels.</t>
        </is>
      </c>
    </row>
    <row r="21">
      <c r="A21" t="inlineStr">
        <is>
          <t>Chart patch verification</t>
        </is>
      </c>
      <c r="B21" t="inlineStr">
        <is>
          <t>Charts sheet and Dashboard were rendered and formula errors scanned after patch.</t>
        </is>
      </c>
    </row>
    <row r="23">
      <c r="A23" s="176" t="inlineStr">
        <is>
          <t>RC8.1 Final Patch - Charts/Dropdown/WBS</t>
        </is>
      </c>
      <c r="B23" s="176" t="n"/>
    </row>
    <row r="24">
      <c r="A24" s="177" t="inlineStr">
        <is>
          <t>Monte Carlo S-Curve</t>
        </is>
      </c>
      <c r="B24" s="147" t="inlineStr">
        <is>
          <t>Rebuilt chart source to exact 51-point CDF range; no trailing zero rows.</t>
        </is>
      </c>
    </row>
    <row r="25">
      <c r="A25" s="177" t="inlineStr">
        <is>
          <t>Project S-Curve</t>
        </is>
      </c>
      <c r="B25" s="147" t="inlineStr">
        <is>
          <t>Uses CashFlow source with blanks beyond project duration; no artificial zero tail.</t>
        </is>
      </c>
    </row>
    <row r="26">
      <c r="A26" s="177" t="inlineStr">
        <is>
          <t>Dropdowns</t>
        </is>
      </c>
      <c r="B26" s="147" t="inlineStr">
        <is>
          <t>Applied WBS, currency, basis, yes/no, unit, cost type and spend curve validations to input sheets.</t>
        </is>
      </c>
    </row>
    <row r="27">
      <c r="A27" s="177" t="inlineStr">
        <is>
          <t>WBS Prepopulation</t>
        </is>
      </c>
      <c r="B27" s="147" t="inlineStr">
        <is>
          <t>Discipline, CBS, Cost Category, Phase, Spend Category, Spend Curve and eligibility fields driven by WBS_CBS dictionary.</t>
        </is>
      </c>
    </row>
    <row r="28">
      <c r="A28" s="177" t="inlineStr">
        <is>
          <t>Empty Rows</t>
        </is>
      </c>
      <c r="B28" s="147" t="inlineStr">
        <is>
          <t>Derived formulas return blank for empty rows to avoid artificial zeroes or visible formula errors.</t>
        </is>
      </c>
    </row>
    <row r="29">
      <c r="A29" s="177" t="inlineStr">
        <is>
          <t>Professional Formatting</t>
        </is>
      </c>
      <c r="B29" s="147" t="inlineStr">
        <is>
          <t>Consistent headers, fills, frozen header rows, number formats and source-data blocks.</t>
        </is>
      </c>
    </row>
    <row r="30">
      <c r="A30" s="177" t="inlineStr">
        <is>
          <t>Dashboard</t>
        </is>
      </c>
      <c r="B30" s="147" t="inlineStr">
        <is>
          <t>Rebuilt dashboard charts with stable source ranges.</t>
        </is>
      </c>
    </row>
    <row r="31">
      <c r="A31" s="177" t="inlineStr">
        <is>
          <t>Charts</t>
        </is>
      </c>
      <c r="B31" s="147" t="inlineStr">
        <is>
          <t>Waterfall-style, pie chart, cash flow S-curve, Monte Carlo CDF, histogram and discipline chart included.</t>
        </is>
      </c>
    </row>
    <row r="32">
      <c r="A32" s="177" t="inlineStr">
        <is>
          <t>Known Limitation</t>
        </is>
      </c>
      <c r="B32" s="147" t="inlineStr">
        <is>
          <t>Final VBA embedding still requires Excel Desktop to save as .xlsm and import .bas.</t>
        </is>
      </c>
    </row>
  </sheetData>
  <mergeCells count="2">
    <mergeCell ref="A2:B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2026-06-03T16:05:20Z</dcterms:created>
  <dcterms:modified xmlns:dcterms="http://purl.org/dc/terms/" xmlns:xsi="http://www.w3.org/2001/XMLSchema-instance" xsi:type="dcterms:W3CDTF">2026-06-03T16:20:03Z</dcterms:modified>
</cp:coreProperties>
</file>